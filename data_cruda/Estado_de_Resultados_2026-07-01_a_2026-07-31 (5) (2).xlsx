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v-3\Downloads\"/>
    </mc:Choice>
  </mc:AlternateContent>
  <xr:revisionPtr revIDLastSave="0" documentId="13_ncr:1_{E580EC7A-F5FF-407D-A823-71C3376EE331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Estado de Resultados" sheetId="1" r:id="rId1"/>
    <sheet name="Ingresos de Operacion" sheetId="2" r:id="rId2"/>
    <sheet name="Costo de Ingresos" sheetId="3" r:id="rId3"/>
    <sheet name="Otros Ingresos" sheetId="4" r:id="rId4"/>
    <sheet name="Gastos" sheetId="5" r:id="rId5"/>
    <sheet name="Depreciac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2" i="2"/>
</calcChain>
</file>

<file path=xl/sharedStrings.xml><?xml version="1.0" encoding="utf-8"?>
<sst xmlns="http://schemas.openxmlformats.org/spreadsheetml/2006/main" count="446" uniqueCount="431">
  <si>
    <t>ESTADO DE RESULTADOS</t>
  </si>
  <si>
    <t>Período: 2026-07-01 al 2026-07-31</t>
  </si>
  <si>
    <t>GANANCIAS NETAS</t>
  </si>
  <si>
    <t>INGRESOS</t>
  </si>
  <si>
    <t>Ingreso Total</t>
  </si>
  <si>
    <t>Ganancia Bruta</t>
  </si>
  <si>
    <t>Ingresos de operación</t>
  </si>
  <si>
    <t>Costo de ingresos</t>
  </si>
  <si>
    <t>Otros ingresos</t>
  </si>
  <si>
    <t>GASTOS</t>
  </si>
  <si>
    <t>Gastos Total</t>
  </si>
  <si>
    <t>Gastos</t>
  </si>
  <si>
    <t>Depreciación</t>
  </si>
  <si>
    <t>Código</t>
  </si>
  <si>
    <t>Cuenta</t>
  </si>
  <si>
    <t>Monto</t>
  </si>
  <si>
    <t>%</t>
  </si>
  <si>
    <t>41350101</t>
  </si>
  <si>
    <t>INGRESOS ACCESORIOS</t>
  </si>
  <si>
    <t>41350102</t>
  </si>
  <si>
    <t>INGRESOS  ACRILICOS Y CASES</t>
  </si>
  <si>
    <t>41350104</t>
  </si>
  <si>
    <t>INGRESOS  AUDIFONOS</t>
  </si>
  <si>
    <t>41350107</t>
  </si>
  <si>
    <t>INGRESOS  CANGURO HOME</t>
  </si>
  <si>
    <t>41350108</t>
  </si>
  <si>
    <t>INGRESOS CARGADORES Y CABLES</t>
  </si>
  <si>
    <t>41350117</t>
  </si>
  <si>
    <t>INGRESOS EQUIPOS DE AUDIO</t>
  </si>
  <si>
    <t>41350119</t>
  </si>
  <si>
    <t>INGRESOS EQUIPOS ELECTRONICOS</t>
  </si>
  <si>
    <t>41350120</t>
  </si>
  <si>
    <t>INGRESOS EQUIPOS Y HERRAMIENTAS FIX</t>
  </si>
  <si>
    <t>41350125</t>
  </si>
  <si>
    <t>INGRESOS LENTES</t>
  </si>
  <si>
    <t>41350130</t>
  </si>
  <si>
    <t>INGRESOS PROTECTORES DE PANTALLA</t>
  </si>
  <si>
    <t>41350132</t>
  </si>
  <si>
    <t>INGRESOS VASOS</t>
  </si>
  <si>
    <t>41350135</t>
  </si>
  <si>
    <t>INGRESOS VIDEO JUEGOS Y ACCESORIOS</t>
  </si>
  <si>
    <t>41350201</t>
  </si>
  <si>
    <t>INGRESOS BATERIAS</t>
  </si>
  <si>
    <t>41350205</t>
  </si>
  <si>
    <t>INGRESOS MICAS</t>
  </si>
  <si>
    <t>41350207</t>
  </si>
  <si>
    <t>INGRESOS MICROPIEZAS</t>
  </si>
  <si>
    <t>41350211</t>
  </si>
  <si>
    <t>INGRESOS PANTALLAS</t>
  </si>
  <si>
    <t>41350218</t>
  </si>
  <si>
    <t>INGRESOS TAPAS TRASERAS</t>
  </si>
  <si>
    <t>41350401</t>
  </si>
  <si>
    <t>INGRESOS  TELEFONIA</t>
  </si>
  <si>
    <t>41350405</t>
  </si>
  <si>
    <t>INGRESOS  SMARTWATCHES Y ACCESORIOS</t>
  </si>
  <si>
    <t>41350803</t>
  </si>
  <si>
    <t>INGRESOS TARJETAS</t>
  </si>
  <si>
    <t>41352001</t>
  </si>
  <si>
    <t>INGRESOS  JUGUETES Y JUEGOS</t>
  </si>
  <si>
    <t>41353006</t>
  </si>
  <si>
    <t>INGRESOS SNACKS Y DULCES</t>
  </si>
  <si>
    <t>41353008</t>
  </si>
  <si>
    <t>INGRESOS CHOCOLATES</t>
  </si>
  <si>
    <t>41353010</t>
  </si>
  <si>
    <t>INGRESOS TORTAS Y PONQUES</t>
  </si>
  <si>
    <t>41370501</t>
  </si>
  <si>
    <t>INGRESOS MUEBLES Y ORGANIZADORES</t>
  </si>
  <si>
    <t>41370503</t>
  </si>
  <si>
    <t>INGRESOS DECORACION HOGAR</t>
  </si>
  <si>
    <t>41370504</t>
  </si>
  <si>
    <t>INGRESOS ENSERES DE COCINA</t>
  </si>
  <si>
    <t>41370505</t>
  </si>
  <si>
    <t>INGRESOS ARTICULOS DE REPOSTERIA</t>
  </si>
  <si>
    <t>41370507</t>
  </si>
  <si>
    <t>INGRESOS HERRAMIENTAS E INSUMOS DE LIMPIEZA</t>
  </si>
  <si>
    <t>41370510</t>
  </si>
  <si>
    <t>INGRESOS ELECTRODOMESTICOS MENORES</t>
  </si>
  <si>
    <t>41370511</t>
  </si>
  <si>
    <t>INGRESOS ACCESORIOS DE USO FRECUENTE</t>
  </si>
  <si>
    <t>41370703</t>
  </si>
  <si>
    <t>INGRESOS CARNAVAL Y FIESTAS TEMATICAS</t>
  </si>
  <si>
    <t>41370704</t>
  </si>
  <si>
    <t>INGRESOS CELEBRACIONES ESPECIALES</t>
  </si>
  <si>
    <t>41370706</t>
  </si>
  <si>
    <t>INGRESOS ARTICULOS PARA FIESTAS</t>
  </si>
  <si>
    <t>41370901</t>
  </si>
  <si>
    <t>INGRESOS  REGALOS Y EMPAQUE</t>
  </si>
  <si>
    <t>41370902</t>
  </si>
  <si>
    <t xml:space="preserve">INGRESOS PELUCHES </t>
  </si>
  <si>
    <t>41370903</t>
  </si>
  <si>
    <t>INGRESOS SOUVENIRS Y RECUERDOS</t>
  </si>
  <si>
    <t>41371501</t>
  </si>
  <si>
    <t>INGRESOS PAPELERIA Y OFICINA</t>
  </si>
  <si>
    <t>41372003</t>
  </si>
  <si>
    <t>INGRESOS CUIDADO DEL CABELLO</t>
  </si>
  <si>
    <t>41372005</t>
  </si>
  <si>
    <t>INGRESOS ARTICULOS  Y HERRAMIENTAS DE BELLEZA</t>
  </si>
  <si>
    <t>41372006</t>
  </si>
  <si>
    <t>INGRESOS ACCESORIOS DIVERSOS</t>
  </si>
  <si>
    <t>41372103</t>
  </si>
  <si>
    <t>INGRESOS ROPA Y CALZADO HOMBRE</t>
  </si>
  <si>
    <t>41372503</t>
  </si>
  <si>
    <t>INGRESOS JUGUETES PARA EXTERIOR</t>
  </si>
  <si>
    <t>41372507</t>
  </si>
  <si>
    <t>INGRESOS JUGUETERIA VARIADA NIÑOS</t>
  </si>
  <si>
    <t>41372701</t>
  </si>
  <si>
    <t>INGRESOS ACCESORIOS Y JUGUETES MASCOTAS</t>
  </si>
  <si>
    <t>41373001</t>
  </si>
  <si>
    <t>INGRESOS HERRAMIENTAS MANUALES</t>
  </si>
  <si>
    <t>41373002</t>
  </si>
  <si>
    <t>INGRESOS MATERIALES ELECTRICOS, ILUMINACION Y ACCESORIOS</t>
  </si>
  <si>
    <t>41373003</t>
  </si>
  <si>
    <t>INGRESOS FERRETERIA GENERAL</t>
  </si>
  <si>
    <t>41373201</t>
  </si>
  <si>
    <t>INGRESOS ARTICULOS DEPORTIVOS Y DE CAMPING</t>
  </si>
  <si>
    <t>4170010100</t>
  </si>
  <si>
    <t>Materiales y Mercancias de Uso</t>
  </si>
  <si>
    <t>4175010100</t>
  </si>
  <si>
    <t>Devoluciones en Ventas</t>
  </si>
  <si>
    <t>4195000100</t>
  </si>
  <si>
    <t>Ingresos Servicios de Etiquetado y Codificacion</t>
  </si>
  <si>
    <t>4195010100</t>
  </si>
  <si>
    <t>Ingresos Servicios Fix</t>
  </si>
  <si>
    <t>4195050200</t>
  </si>
  <si>
    <t>Delivery</t>
  </si>
  <si>
    <t>4195050300</t>
  </si>
  <si>
    <t>CANGURO CARGO</t>
  </si>
  <si>
    <t>61350101</t>
  </si>
  <si>
    <t>ACCESORIOS</t>
  </si>
  <si>
    <t>61350102</t>
  </si>
  <si>
    <t xml:space="preserve"> ACRILICOS Y CASES</t>
  </si>
  <si>
    <t>61350104</t>
  </si>
  <si>
    <t>AUDIFONOS</t>
  </si>
  <si>
    <t>61350107</t>
  </si>
  <si>
    <t>CANGURO HOME</t>
  </si>
  <si>
    <t>61350108</t>
  </si>
  <si>
    <t>CARGADORES Y CABLES</t>
  </si>
  <si>
    <t>61350110</t>
  </si>
  <si>
    <t>CASCOS</t>
  </si>
  <si>
    <t>61350117</t>
  </si>
  <si>
    <t>EQUIPOS DE AUDIO</t>
  </si>
  <si>
    <t>61350119</t>
  </si>
  <si>
    <t>EQUIPOS ELECTRONICOS</t>
  </si>
  <si>
    <t>61350120</t>
  </si>
  <si>
    <t>EQUIPOS Y HERRAMIENTAS FIX</t>
  </si>
  <si>
    <t>61350125</t>
  </si>
  <si>
    <t>LENTES</t>
  </si>
  <si>
    <t>61350130</t>
  </si>
  <si>
    <t xml:space="preserve"> PROTECTORES DE PANTALLA</t>
  </si>
  <si>
    <t>61350132</t>
  </si>
  <si>
    <t>VASOS</t>
  </si>
  <si>
    <t>61350135</t>
  </si>
  <si>
    <t>VIDEO JUEGOS Y ACCESORIOS</t>
  </si>
  <si>
    <t>61350201</t>
  </si>
  <si>
    <t xml:space="preserve"> BATERIAS</t>
  </si>
  <si>
    <t>61350203</t>
  </si>
  <si>
    <t xml:space="preserve"> IC-CIRCUITOS INTEGRADOS Y STENCIL</t>
  </si>
  <si>
    <t>61350205</t>
  </si>
  <si>
    <t xml:space="preserve"> MICAS</t>
  </si>
  <si>
    <t>61350207</t>
  </si>
  <si>
    <t xml:space="preserve"> MICROPIEZAS</t>
  </si>
  <si>
    <t>61350211</t>
  </si>
  <si>
    <t xml:space="preserve"> PANTALLAS</t>
  </si>
  <si>
    <t>61350215</t>
  </si>
  <si>
    <t xml:space="preserve"> TACTILES</t>
  </si>
  <si>
    <t>61350218</t>
  </si>
  <si>
    <t xml:space="preserve"> TAPAS TRASERAS</t>
  </si>
  <si>
    <t>61350401</t>
  </si>
  <si>
    <t>TELEFONIA</t>
  </si>
  <si>
    <t>61350405</t>
  </si>
  <si>
    <t>SMARTWATCHES Y ACCESORIOS</t>
  </si>
  <si>
    <t>61350803</t>
  </si>
  <si>
    <t>TARJETAS</t>
  </si>
  <si>
    <t>61352001</t>
  </si>
  <si>
    <t>JUGUETES Y JUEGOS</t>
  </si>
  <si>
    <t>61353006</t>
  </si>
  <si>
    <t>SNACKS Y DULCES</t>
  </si>
  <si>
    <t>61353008</t>
  </si>
  <si>
    <t>CHOCOLATES</t>
  </si>
  <si>
    <t>61353010</t>
  </si>
  <si>
    <t>TORTAS Y PONQUES</t>
  </si>
  <si>
    <t>61370501</t>
  </si>
  <si>
    <t xml:space="preserve"> MUEBLES Y ORGANIZADORES</t>
  </si>
  <si>
    <t>61370503</t>
  </si>
  <si>
    <t xml:space="preserve"> DECORACION HOGAR</t>
  </si>
  <si>
    <t>61370504</t>
  </si>
  <si>
    <t xml:space="preserve"> ENSERES DE COCINA</t>
  </si>
  <si>
    <t>61370505</t>
  </si>
  <si>
    <t xml:space="preserve"> ARTICULOS DE REPOSTERIA</t>
  </si>
  <si>
    <t>61370507</t>
  </si>
  <si>
    <t xml:space="preserve"> HERRAMIENTAS E INSUMOS DE LIMPIEZA</t>
  </si>
  <si>
    <t>61370510</t>
  </si>
  <si>
    <t xml:space="preserve"> ELECTRODOMESTICOS MENORES</t>
  </si>
  <si>
    <t>61370511</t>
  </si>
  <si>
    <t xml:space="preserve"> ACCESORIOS DE USO FRECUENTE</t>
  </si>
  <si>
    <t>61370703</t>
  </si>
  <si>
    <t xml:space="preserve"> CARNAVAL Y FIESTAS TEMATICAS</t>
  </si>
  <si>
    <t>61370704</t>
  </si>
  <si>
    <t xml:space="preserve"> CELEBRACIONES ESPECIALES</t>
  </si>
  <si>
    <t>61370706</t>
  </si>
  <si>
    <t xml:space="preserve"> ARTICULOS PARA FIESTAS</t>
  </si>
  <si>
    <t>61370901</t>
  </si>
  <si>
    <t>ARTICULOS PARA REGALOS Y EMPAQUE</t>
  </si>
  <si>
    <t>61370902</t>
  </si>
  <si>
    <t xml:space="preserve"> PELUCHES </t>
  </si>
  <si>
    <t>61370903</t>
  </si>
  <si>
    <t xml:space="preserve"> SOUVENIRS Y RECUERDOS</t>
  </si>
  <si>
    <t>61371501</t>
  </si>
  <si>
    <t xml:space="preserve"> PAPELERIA Y OFICINA</t>
  </si>
  <si>
    <t>61372003</t>
  </si>
  <si>
    <t xml:space="preserve"> CUIDADO DEL CABELLO</t>
  </si>
  <si>
    <t>61372005</t>
  </si>
  <si>
    <t xml:space="preserve"> ARTICULOS Y HERRAMIENTAS DE BELLEZA</t>
  </si>
  <si>
    <t>61372006</t>
  </si>
  <si>
    <t xml:space="preserve"> ACCESORIOS DIVERSOS</t>
  </si>
  <si>
    <t>61372103</t>
  </si>
  <si>
    <t>ROPA Y CALZADO HOMBRE</t>
  </si>
  <si>
    <t>61372503</t>
  </si>
  <si>
    <t xml:space="preserve"> JUGUETES PARA EXTERIOR</t>
  </si>
  <si>
    <t>61372507</t>
  </si>
  <si>
    <t xml:space="preserve"> JUGUETERIA VARIADA NIÑOS</t>
  </si>
  <si>
    <t>61372701</t>
  </si>
  <si>
    <t xml:space="preserve"> ACCESORIOS Y JUGUETES MASCOTAS</t>
  </si>
  <si>
    <t>61373001</t>
  </si>
  <si>
    <t xml:space="preserve"> HERRAMIENTAS MANUALES</t>
  </si>
  <si>
    <t>61373002</t>
  </si>
  <si>
    <t>MATERIALES ELECTRICOS, ILUMINACION Y ACCESORIOS</t>
  </si>
  <si>
    <t>61373003</t>
  </si>
  <si>
    <t xml:space="preserve"> FERRETERIA GENERAL</t>
  </si>
  <si>
    <t>61373201</t>
  </si>
  <si>
    <t xml:space="preserve"> ARTICULOS DEPORTIVOS Y DE CAMPING</t>
  </si>
  <si>
    <t>4210100100</t>
  </si>
  <si>
    <t>GANANCIA POR DIFERENCIA EN CAMBIO</t>
  </si>
  <si>
    <t>4235200100</t>
  </si>
  <si>
    <t>INGRESOS SERVICIOS ADMINISTRATIVOS CORPORATIVOS A VINCULADAS</t>
  </si>
  <si>
    <t>4295950100</t>
  </si>
  <si>
    <t>OTROS INGRESOS</t>
  </si>
  <si>
    <t>%RG</t>
  </si>
  <si>
    <t>%RI</t>
  </si>
  <si>
    <t>5101060100</t>
  </si>
  <si>
    <t>Sueldos</t>
  </si>
  <si>
    <t>5101390100</t>
  </si>
  <si>
    <t>Gastos Nomina Vacaciones</t>
  </si>
  <si>
    <t>5101480300</t>
  </si>
  <si>
    <t>Ayuda Transporte</t>
  </si>
  <si>
    <t>5101480301</t>
  </si>
  <si>
    <t>Gastos Nomina Liquidacion</t>
  </si>
  <si>
    <t>5101480303</t>
  </si>
  <si>
    <t>Gastos Nomina Domingos y Feriados</t>
  </si>
  <si>
    <t>5101480305</t>
  </si>
  <si>
    <t>Pagos cesta tickets</t>
  </si>
  <si>
    <t>5101480306</t>
  </si>
  <si>
    <t>Gastos Bono Nocturno</t>
  </si>
  <si>
    <t>5102690100</t>
  </si>
  <si>
    <t>Aportes al Seguro Social Obligatorio</t>
  </si>
  <si>
    <t>5102690200</t>
  </si>
  <si>
    <t>Aportes a Regimen Prestacional Vivienda y Habitat</t>
  </si>
  <si>
    <t>5102690300</t>
  </si>
  <si>
    <t>Aportes a INCE</t>
  </si>
  <si>
    <t>5103390100</t>
  </si>
  <si>
    <t>Gastos complemento Variable</t>
  </si>
  <si>
    <t>5103390103</t>
  </si>
  <si>
    <t>Gastos Nomina FIX Complementaria</t>
  </si>
  <si>
    <t>5105060100</t>
  </si>
  <si>
    <t>Gastos Nomina Complementaria de Alimentacion</t>
  </si>
  <si>
    <t>5105950401</t>
  </si>
  <si>
    <t>Gastos Nomina Liquidación Complemento</t>
  </si>
  <si>
    <t>5106950300</t>
  </si>
  <si>
    <t>Viaticos</t>
  </si>
  <si>
    <t>5106950500</t>
  </si>
  <si>
    <t>Cursos y Capacitaciones</t>
  </si>
  <si>
    <t>5106950501</t>
  </si>
  <si>
    <t>Gastos médicos</t>
  </si>
  <si>
    <t>5106950505</t>
  </si>
  <si>
    <t>Seguros HCM</t>
  </si>
  <si>
    <t>5106950506</t>
  </si>
  <si>
    <t>Seguros Accidentes Personales</t>
  </si>
  <si>
    <t>5106950550</t>
  </si>
  <si>
    <t>Viaticos RRHH</t>
  </si>
  <si>
    <t>5110350100</t>
  </si>
  <si>
    <t>Asesoría técnica</t>
  </si>
  <si>
    <t>5110350200</t>
  </si>
  <si>
    <t>Otros honorarios</t>
  </si>
  <si>
    <t>5115350200</t>
  </si>
  <si>
    <t>Municipales</t>
  </si>
  <si>
    <t>5120100100</t>
  </si>
  <si>
    <t>Arrendamiento oficinas Administrativas VEN</t>
  </si>
  <si>
    <t>5120100150</t>
  </si>
  <si>
    <t>Arrendamiento Sede Comercial</t>
  </si>
  <si>
    <t>5120300200</t>
  </si>
  <si>
    <t>Otros Arrendamientos</t>
  </si>
  <si>
    <t>5121050100</t>
  </si>
  <si>
    <t>Arrendamientos bienes Inmuebles</t>
  </si>
  <si>
    <t>5121100100</t>
  </si>
  <si>
    <t>Mantenimientos bienes Inmuebles arrendados</t>
  </si>
  <si>
    <t>5121200100</t>
  </si>
  <si>
    <t>Condominios bienes Inmuebles arrendados</t>
  </si>
  <si>
    <t>5121300100</t>
  </si>
  <si>
    <t xml:space="preserve">Dotaciones varias </t>
  </si>
  <si>
    <t>5125100400</t>
  </si>
  <si>
    <t>La Ley de Protección de las Pensiones de Seguridad Social</t>
  </si>
  <si>
    <t>5125100600</t>
  </si>
  <si>
    <t>Ley de Ciencia y Tecnologia (FONACIT</t>
  </si>
  <si>
    <t>5130100400</t>
  </si>
  <si>
    <t>Servicio de Alarmas</t>
  </si>
  <si>
    <t>5130400400</t>
  </si>
  <si>
    <t>Flota y Equipo de Transporte</t>
  </si>
  <si>
    <t>5130950600</t>
  </si>
  <si>
    <t>Otros Seguros</t>
  </si>
  <si>
    <t>5130950700</t>
  </si>
  <si>
    <t>Seguros latitud</t>
  </si>
  <si>
    <t>5135050100</t>
  </si>
  <si>
    <t>Aseo</t>
  </si>
  <si>
    <t>5135050200</t>
  </si>
  <si>
    <t>Vigilancia</t>
  </si>
  <si>
    <t>5135250100</t>
  </si>
  <si>
    <t>Agua Potable y Saneamiento</t>
  </si>
  <si>
    <t>5135350100</t>
  </si>
  <si>
    <t>Teléfono y Lineas Corporativas (POST PAGO)</t>
  </si>
  <si>
    <t>5135350200</t>
  </si>
  <si>
    <t>Internet</t>
  </si>
  <si>
    <t>5135350400</t>
  </si>
  <si>
    <t>Energia Electrica</t>
  </si>
  <si>
    <t>5135400100</t>
  </si>
  <si>
    <t>Correos y Valijas</t>
  </si>
  <si>
    <t>5135500200</t>
  </si>
  <si>
    <t>Transporte de personal</t>
  </si>
  <si>
    <t>5135500300</t>
  </si>
  <si>
    <t xml:space="preserve"> Transporte y  fletes</t>
  </si>
  <si>
    <t>5135550100</t>
  </si>
  <si>
    <t>Gasolina</t>
  </si>
  <si>
    <t>5135560100</t>
  </si>
  <si>
    <t>Gasoil</t>
  </si>
  <si>
    <t>5135600100</t>
  </si>
  <si>
    <t>Servicios de Personal no relacionado</t>
  </si>
  <si>
    <t>5135700100</t>
  </si>
  <si>
    <t>Condominio</t>
  </si>
  <si>
    <t>5135700150</t>
  </si>
  <si>
    <t>Publicidad y Promocion</t>
  </si>
  <si>
    <t>5135700200</t>
  </si>
  <si>
    <t>Redes Sociales</t>
  </si>
  <si>
    <t>5135700250</t>
  </si>
  <si>
    <t>Eventos CANGURO</t>
  </si>
  <si>
    <t>5135700300</t>
  </si>
  <si>
    <t>Reparaciones y mantenimientos a sedes y otras oficinas</t>
  </si>
  <si>
    <t>5135700350</t>
  </si>
  <si>
    <t>Estacionamiento</t>
  </si>
  <si>
    <t>5135800100</t>
  </si>
  <si>
    <t>Otros Servicios</t>
  </si>
  <si>
    <t>5138050100</t>
  </si>
  <si>
    <t>Servidor</t>
  </si>
  <si>
    <t>5138050150</t>
  </si>
  <si>
    <t>Aplicaciones</t>
  </si>
  <si>
    <t>5138200200</t>
  </si>
  <si>
    <t>Licencias</t>
  </si>
  <si>
    <t>5138350300</t>
  </si>
  <si>
    <t>Licencias y Usuarios ERP</t>
  </si>
  <si>
    <t>5138350450</t>
  </si>
  <si>
    <t>Credito de Servidores FIX</t>
  </si>
  <si>
    <t>5138350500</t>
  </si>
  <si>
    <t xml:space="preserve">Otros Servicios de Procesamiento </t>
  </si>
  <si>
    <t>5140150100</t>
  </si>
  <si>
    <t>Trámites y licencias</t>
  </si>
  <si>
    <t>5140950100</t>
  </si>
  <si>
    <t>Otros gastos legales</t>
  </si>
  <si>
    <t>5145100100</t>
  </si>
  <si>
    <t>Materiales para la construccion y  remodelaciones</t>
  </si>
  <si>
    <t>5145400100</t>
  </si>
  <si>
    <t>Mantenimiento de Flota y equipo de transporte</t>
  </si>
  <si>
    <t>5145400500</t>
  </si>
  <si>
    <t>Otros gastos de mantenimiento</t>
  </si>
  <si>
    <t>5145400600</t>
  </si>
  <si>
    <t>Mudanza y Remodelaciones mayores</t>
  </si>
  <si>
    <t>5155150100</t>
  </si>
  <si>
    <t>Pasajes aéreos</t>
  </si>
  <si>
    <t>5155950100</t>
  </si>
  <si>
    <t>Otros gastos de viajes</t>
  </si>
  <si>
    <t>5160050100</t>
  </si>
  <si>
    <t>Edificios y Almacenes Depreciacion</t>
  </si>
  <si>
    <t>5160060100</t>
  </si>
  <si>
    <t>Mejora en Propiedades Arrendadas</t>
  </si>
  <si>
    <t>5160350300</t>
  </si>
  <si>
    <t>Camiones Depreciacion</t>
  </si>
  <si>
    <t>5163050100</t>
  </si>
  <si>
    <t>Amortizacion Derechos en Arrendamiento</t>
  </si>
  <si>
    <t>5165100100</t>
  </si>
  <si>
    <t>Viaticos China</t>
  </si>
  <si>
    <t>5195150100</t>
  </si>
  <si>
    <t>Comisiones y Servicios Bancarios</t>
  </si>
  <si>
    <t>5195200100</t>
  </si>
  <si>
    <t>Intereses</t>
  </si>
  <si>
    <t>5195200200</t>
  </si>
  <si>
    <t>Comisiones Financiadoras</t>
  </si>
  <si>
    <t>5195350100</t>
  </si>
  <si>
    <t>Papeleria, utiles de Oficina y consumibles</t>
  </si>
  <si>
    <t>5195400100</t>
  </si>
  <si>
    <t>Elementos de Aseo y Cafetería</t>
  </si>
  <si>
    <t>5195450100</t>
  </si>
  <si>
    <t>Material publicitario</t>
  </si>
  <si>
    <t>5195500100</t>
  </si>
  <si>
    <t>Mobiliario y equipo de oficinas</t>
  </si>
  <si>
    <t>5195500150</t>
  </si>
  <si>
    <t>Equipo y partes electronicas de oficinas</t>
  </si>
  <si>
    <t>5195500200</t>
  </si>
  <si>
    <t>Electrodomesticos y otros elementos de equipamiento</t>
  </si>
  <si>
    <t>5195500300</t>
  </si>
  <si>
    <t xml:space="preserve">Equipos, materiales e insumos FIX </t>
  </si>
  <si>
    <t>5195600150</t>
  </si>
  <si>
    <t>Herramientas para la construccion</t>
  </si>
  <si>
    <t>5195650100</t>
  </si>
  <si>
    <t>Otros elementos de consumo</t>
  </si>
  <si>
    <t>5195650200</t>
  </si>
  <si>
    <t>Otras comisiones</t>
  </si>
  <si>
    <t>5195650300</t>
  </si>
  <si>
    <t>Otros gastos diversos</t>
  </si>
  <si>
    <t>5195650400</t>
  </si>
  <si>
    <t>Insumos</t>
  </si>
  <si>
    <t>5195650450</t>
  </si>
  <si>
    <t>Redes y materiales de Conectabilidad</t>
  </si>
  <si>
    <t>5305250100</t>
  </si>
  <si>
    <t>PERDIDA POR DIFERENCIA EN CAMBIO</t>
  </si>
  <si>
    <t>5315250200</t>
  </si>
  <si>
    <t>OTRAS CONTINGENCIAS E IMPREVISTOS</t>
  </si>
  <si>
    <t>5395200100</t>
  </si>
  <si>
    <t>Multas y Sanciones</t>
  </si>
  <si>
    <t>5395250200</t>
  </si>
  <si>
    <t xml:space="preserve">Donaciones </t>
  </si>
  <si>
    <t>5395350250</t>
  </si>
  <si>
    <t>Perdidas daños fix</t>
  </si>
  <si>
    <t>5396150100</t>
  </si>
  <si>
    <t>Perdida por 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</si>
</sst>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3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4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4" fontId="0" fillId="0" borderId="1" xfId="0" applyNumberFormat="1" applyBorder="1"/>
    <xf numFmtId="10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3" width="30.7109375" customWidth="1"/>
  </cols>
  <sheetData>
    <row r="1" spans="1:3" ht="21" x14ac:dyDescent="0.25">
      <c r="A1" s="7" t="s">
        <v>0</v>
      </c>
      <c r="B1" s="7"/>
      <c r="C1" s="7"/>
    </row>
    <row r="2" spans="1:3" ht="15.75" x14ac:dyDescent="0.25">
      <c r="A2" s="8" t="s">
        <v>1</v>
      </c>
      <c r="B2" s="8"/>
      <c r="C2" s="8"/>
    </row>
    <row r="4" spans="1:3" ht="15.75" x14ac:dyDescent="0.25">
      <c r="A4" s="1" t="s">
        <v>2</v>
      </c>
      <c r="C4" s="2">
        <v>1983676.4939999999</v>
      </c>
    </row>
    <row r="5" spans="1:3" ht="15.75" x14ac:dyDescent="0.25">
      <c r="A5" s="8" t="s">
        <v>3</v>
      </c>
      <c r="B5" s="8"/>
      <c r="C5" s="8"/>
    </row>
    <row r="6" spans="1:3" x14ac:dyDescent="0.25">
      <c r="A6" s="3" t="s">
        <v>4</v>
      </c>
      <c r="C6" s="2">
        <v>13271219.5897</v>
      </c>
    </row>
    <row r="7" spans="1:3" x14ac:dyDescent="0.25">
      <c r="A7" s="3" t="s">
        <v>5</v>
      </c>
      <c r="C7" s="2">
        <v>4937527.2849000003</v>
      </c>
    </row>
    <row r="8" spans="1:3" x14ac:dyDescent="0.25">
      <c r="A8" s="3" t="s">
        <v>6</v>
      </c>
      <c r="C8" s="2">
        <v>11678475.5241</v>
      </c>
    </row>
    <row r="9" spans="1:3" x14ac:dyDescent="0.25">
      <c r="A9" s="3" t="s">
        <v>7</v>
      </c>
      <c r="C9" s="2">
        <v>6740948.2391999997</v>
      </c>
    </row>
    <row r="10" spans="1:3" x14ac:dyDescent="0.25">
      <c r="A10" s="3" t="s">
        <v>8</v>
      </c>
      <c r="C10" s="2">
        <v>1592744.0656000001</v>
      </c>
    </row>
    <row r="11" spans="1:3" ht="15.75" x14ac:dyDescent="0.25">
      <c r="A11" s="8" t="s">
        <v>9</v>
      </c>
      <c r="B11" s="8"/>
      <c r="C11" s="8"/>
    </row>
    <row r="12" spans="1:3" x14ac:dyDescent="0.25">
      <c r="A12" s="3" t="s">
        <v>10</v>
      </c>
      <c r="C12" s="2">
        <v>4546594.8564999998</v>
      </c>
    </row>
    <row r="13" spans="1:3" x14ac:dyDescent="0.25">
      <c r="A13" s="3" t="s">
        <v>11</v>
      </c>
      <c r="C13" s="2">
        <v>4546594.8564999998</v>
      </c>
    </row>
    <row r="14" spans="1:3" x14ac:dyDescent="0.25">
      <c r="A14" s="3" t="s">
        <v>12</v>
      </c>
      <c r="C14" s="2">
        <v>0</v>
      </c>
    </row>
  </sheetData>
  <mergeCells count="4">
    <mergeCell ref="A1:C1"/>
    <mergeCell ref="A2:C2"/>
    <mergeCell ref="A5:C5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>
      <pane ySplit="3" topLeftCell="A40" activePane="bottomLeft" state="frozen"/>
      <selection pane="bottomLeft" activeCell="A2" sqref="A2:C56"/>
    </sheetView>
  </sheetViews>
  <sheetFormatPr baseColWidth="10" defaultColWidth="9.140625" defaultRowHeight="15" x14ac:dyDescent="0.25"/>
  <cols>
    <col min="1" max="1" width="30.7109375" customWidth="1"/>
    <col min="2" max="2" width="60.7109375" customWidth="1"/>
    <col min="3" max="3" width="24.140625" customWidth="1"/>
    <col min="4" max="4" width="30.140625" customWidth="1"/>
    <col min="5" max="6" width="30.7109375" customWidth="1"/>
  </cols>
  <sheetData>
    <row r="1" spans="1:6" ht="15.75" x14ac:dyDescent="0.25">
      <c r="A1" s="1" t="s">
        <v>13</v>
      </c>
      <c r="B1" s="1" t="s">
        <v>14</v>
      </c>
      <c r="C1" s="1"/>
      <c r="D1" s="1"/>
      <c r="E1" s="1" t="s">
        <v>15</v>
      </c>
      <c r="F1" s="1" t="s">
        <v>16</v>
      </c>
    </row>
    <row r="2" spans="1:6" x14ac:dyDescent="0.25">
      <c r="A2" s="4" t="s">
        <v>17</v>
      </c>
      <c r="B2" s="4" t="s">
        <v>18</v>
      </c>
      <c r="C2" s="4">
        <f>E2*D2</f>
        <v>-290191.36680000002</v>
      </c>
      <c r="D2" s="4">
        <v>-1</v>
      </c>
      <c r="E2" s="5">
        <v>290191.36680000002</v>
      </c>
      <c r="F2" s="6">
        <v>2.4848394484464489E-2</v>
      </c>
    </row>
    <row r="3" spans="1:6" x14ac:dyDescent="0.25">
      <c r="A3" s="4" t="s">
        <v>19</v>
      </c>
      <c r="B3" s="4" t="s">
        <v>20</v>
      </c>
      <c r="C3" s="4">
        <f t="shared" ref="C3:C56" si="0">E3*D3</f>
        <v>-369905.18389999989</v>
      </c>
      <c r="D3" s="4">
        <v>-1</v>
      </c>
      <c r="E3" s="5">
        <v>369905.18389999989</v>
      </c>
      <c r="F3" s="6">
        <v>3.1674098484571388E-2</v>
      </c>
    </row>
    <row r="4" spans="1:6" x14ac:dyDescent="0.25">
      <c r="A4" s="4" t="s">
        <v>21</v>
      </c>
      <c r="B4" s="4" t="s">
        <v>22</v>
      </c>
      <c r="C4" s="4">
        <f t="shared" si="0"/>
        <v>-352599.06579999998</v>
      </c>
      <c r="D4" s="4">
        <v>-1</v>
      </c>
      <c r="E4" s="5">
        <v>352599.06579999998</v>
      </c>
      <c r="F4" s="6">
        <v>3.0192216875598841E-2</v>
      </c>
    </row>
    <row r="5" spans="1:6" x14ac:dyDescent="0.25">
      <c r="A5" s="4" t="s">
        <v>23</v>
      </c>
      <c r="B5" s="4" t="s">
        <v>24</v>
      </c>
      <c r="C5" s="4">
        <f t="shared" si="0"/>
        <v>-70.689900000000009</v>
      </c>
      <c r="D5" s="4">
        <v>-1</v>
      </c>
      <c r="E5" s="5">
        <v>70.689900000000009</v>
      </c>
      <c r="F5" s="6">
        <v>6.0530075054849864E-6</v>
      </c>
    </row>
    <row r="6" spans="1:6" x14ac:dyDescent="0.25">
      <c r="A6" s="4" t="s">
        <v>25</v>
      </c>
      <c r="B6" s="4" t="s">
        <v>26</v>
      </c>
      <c r="C6" s="4">
        <f t="shared" si="0"/>
        <v>-520480.4167</v>
      </c>
      <c r="D6" s="4">
        <v>-1</v>
      </c>
      <c r="E6" s="5">
        <v>520480.4167</v>
      </c>
      <c r="F6" s="6">
        <v>4.456749647040175E-2</v>
      </c>
    </row>
    <row r="7" spans="1:6" x14ac:dyDescent="0.25">
      <c r="A7" s="4" t="s">
        <v>27</v>
      </c>
      <c r="B7" s="4" t="s">
        <v>28</v>
      </c>
      <c r="C7" s="4">
        <f t="shared" si="0"/>
        <v>-339457.61690000002</v>
      </c>
      <c r="D7" s="4">
        <v>-1</v>
      </c>
      <c r="E7" s="5">
        <v>339457.61690000002</v>
      </c>
      <c r="F7" s="6">
        <v>2.9066945955359209E-2</v>
      </c>
    </row>
    <row r="8" spans="1:6" x14ac:dyDescent="0.25">
      <c r="A8" s="4" t="s">
        <v>29</v>
      </c>
      <c r="B8" s="4" t="s">
        <v>30</v>
      </c>
      <c r="C8" s="4">
        <f t="shared" si="0"/>
        <v>-948849.96580000001</v>
      </c>
      <c r="D8" s="4">
        <v>-1</v>
      </c>
      <c r="E8" s="5">
        <v>948849.96580000001</v>
      </c>
      <c r="F8" s="6">
        <v>8.12477590796786E-2</v>
      </c>
    </row>
    <row r="9" spans="1:6" x14ac:dyDescent="0.25">
      <c r="A9" s="4" t="s">
        <v>31</v>
      </c>
      <c r="B9" s="4" t="s">
        <v>32</v>
      </c>
      <c r="C9" s="4">
        <f t="shared" si="0"/>
        <v>-226.05490000000009</v>
      </c>
      <c r="D9" s="4">
        <v>-1</v>
      </c>
      <c r="E9" s="5">
        <v>226.05490000000009</v>
      </c>
      <c r="F9" s="6">
        <v>1.9356541830610289E-5</v>
      </c>
    </row>
    <row r="10" spans="1:6" x14ac:dyDescent="0.25">
      <c r="A10" s="4" t="s">
        <v>33</v>
      </c>
      <c r="B10" s="4" t="s">
        <v>34</v>
      </c>
      <c r="C10" s="4">
        <f t="shared" si="0"/>
        <v>-34532.953500000003</v>
      </c>
      <c r="D10" s="4">
        <v>-1</v>
      </c>
      <c r="E10" s="5">
        <v>34532.953500000003</v>
      </c>
      <c r="F10" s="6">
        <v>2.9569744294738569E-3</v>
      </c>
    </row>
    <row r="11" spans="1:6" x14ac:dyDescent="0.25">
      <c r="A11" s="4" t="s">
        <v>35</v>
      </c>
      <c r="B11" s="4" t="s">
        <v>36</v>
      </c>
      <c r="C11" s="4">
        <f t="shared" si="0"/>
        <v>-186084.28940000001</v>
      </c>
      <c r="D11" s="4">
        <v>-1</v>
      </c>
      <c r="E11" s="5">
        <v>186084.28940000001</v>
      </c>
      <c r="F11" s="6">
        <v>1.5933953795252791E-2</v>
      </c>
    </row>
    <row r="12" spans="1:6" x14ac:dyDescent="0.25">
      <c r="A12" s="4" t="s">
        <v>37</v>
      </c>
      <c r="B12" s="4" t="s">
        <v>38</v>
      </c>
      <c r="C12" s="4">
        <f t="shared" si="0"/>
        <v>-33183.263400000003</v>
      </c>
      <c r="D12" s="4">
        <v>-1</v>
      </c>
      <c r="E12" s="5">
        <v>33183.263400000003</v>
      </c>
      <c r="F12" s="6">
        <v>2.8414036859110742E-3</v>
      </c>
    </row>
    <row r="13" spans="1:6" x14ac:dyDescent="0.25">
      <c r="A13" s="4" t="s">
        <v>39</v>
      </c>
      <c r="B13" s="4" t="s">
        <v>40</v>
      </c>
      <c r="C13" s="4">
        <f t="shared" si="0"/>
        <v>-104079.5647</v>
      </c>
      <c r="D13" s="4">
        <v>-1</v>
      </c>
      <c r="E13" s="5">
        <v>104079.5647</v>
      </c>
      <c r="F13" s="6">
        <v>8.9120848423425419E-3</v>
      </c>
    </row>
    <row r="14" spans="1:6" x14ac:dyDescent="0.25">
      <c r="A14" s="4" t="s">
        <v>41</v>
      </c>
      <c r="B14" s="4" t="s">
        <v>42</v>
      </c>
      <c r="C14" s="4">
        <f t="shared" si="0"/>
        <v>-247859.07380000001</v>
      </c>
      <c r="D14" s="4">
        <v>-1</v>
      </c>
      <c r="E14" s="5">
        <v>247859.07380000001</v>
      </c>
      <c r="F14" s="6">
        <v>2.1223581219013701E-2</v>
      </c>
    </row>
    <row r="15" spans="1:6" x14ac:dyDescent="0.25">
      <c r="A15" s="4" t="s">
        <v>43</v>
      </c>
      <c r="B15" s="4" t="s">
        <v>44</v>
      </c>
      <c r="C15" s="4">
        <f t="shared" si="0"/>
        <v>-20.689800000000002</v>
      </c>
      <c r="D15" s="4">
        <v>-1</v>
      </c>
      <c r="E15" s="5">
        <v>20.689800000000002</v>
      </c>
      <c r="F15" s="6">
        <v>1.771618218260081E-6</v>
      </c>
    </row>
    <row r="16" spans="1:6" x14ac:dyDescent="0.25">
      <c r="A16" s="4" t="s">
        <v>45</v>
      </c>
      <c r="B16" s="4" t="s">
        <v>46</v>
      </c>
      <c r="C16" s="4">
        <f t="shared" si="0"/>
        <v>-9259.9431000000004</v>
      </c>
      <c r="D16" s="4">
        <v>-1</v>
      </c>
      <c r="E16" s="5">
        <v>9259.9431000000004</v>
      </c>
      <c r="F16" s="6">
        <v>7.9290683795936771E-4</v>
      </c>
    </row>
    <row r="17" spans="1:6" x14ac:dyDescent="0.25">
      <c r="A17" s="4" t="s">
        <v>47</v>
      </c>
      <c r="B17" s="4" t="s">
        <v>48</v>
      </c>
      <c r="C17" s="4">
        <f t="shared" si="0"/>
        <v>-295298.19500000012</v>
      </c>
      <c r="D17" s="4">
        <v>-1</v>
      </c>
      <c r="E17" s="5">
        <v>295298.19500000012</v>
      </c>
      <c r="F17" s="6">
        <v>2.528568000083703E-2</v>
      </c>
    </row>
    <row r="18" spans="1:6" x14ac:dyDescent="0.25">
      <c r="A18" s="4" t="s">
        <v>49</v>
      </c>
      <c r="B18" s="4" t="s">
        <v>50</v>
      </c>
      <c r="C18" s="4">
        <f t="shared" si="0"/>
        <v>-260.34539999999998</v>
      </c>
      <c r="D18" s="4">
        <v>-1</v>
      </c>
      <c r="E18" s="5">
        <v>260.34539999999998</v>
      </c>
      <c r="F18" s="6">
        <v>2.2292755545254561E-5</v>
      </c>
    </row>
    <row r="19" spans="1:6" x14ac:dyDescent="0.25">
      <c r="A19" s="4" t="s">
        <v>51</v>
      </c>
      <c r="B19" s="4" t="s">
        <v>52</v>
      </c>
      <c r="C19" s="4">
        <f t="shared" si="0"/>
        <v>-7314572.7205000008</v>
      </c>
      <c r="D19" s="4">
        <v>-1</v>
      </c>
      <c r="E19" s="5">
        <v>7314572.7205000008</v>
      </c>
      <c r="F19" s="6">
        <v>0.62632941306469858</v>
      </c>
    </row>
    <row r="20" spans="1:6" x14ac:dyDescent="0.25">
      <c r="A20" s="4" t="s">
        <v>53</v>
      </c>
      <c r="B20" s="4" t="s">
        <v>54</v>
      </c>
      <c r="C20" s="4">
        <f t="shared" si="0"/>
        <v>-153709.36900000001</v>
      </c>
      <c r="D20" s="4">
        <v>-1</v>
      </c>
      <c r="E20" s="5">
        <v>153709.36900000001</v>
      </c>
      <c r="F20" s="6">
        <v>1.3161766592120819E-2</v>
      </c>
    </row>
    <row r="21" spans="1:6" x14ac:dyDescent="0.25">
      <c r="A21" s="4" t="s">
        <v>55</v>
      </c>
      <c r="B21" s="4" t="s">
        <v>56</v>
      </c>
      <c r="C21" s="4">
        <f t="shared" si="0"/>
        <v>-19013.112499999999</v>
      </c>
      <c r="D21" s="4">
        <v>-1</v>
      </c>
      <c r="E21" s="5">
        <v>19013.112499999999</v>
      </c>
      <c r="F21" s="6">
        <v>1.628047467391104E-3</v>
      </c>
    </row>
    <row r="22" spans="1:6" x14ac:dyDescent="0.25">
      <c r="A22" s="4" t="s">
        <v>57</v>
      </c>
      <c r="B22" s="4" t="s">
        <v>58</v>
      </c>
      <c r="C22" s="4">
        <f t="shared" si="0"/>
        <v>-106423.5736</v>
      </c>
      <c r="D22" s="4">
        <v>-1</v>
      </c>
      <c r="E22" s="5">
        <v>106423.5736</v>
      </c>
      <c r="F22" s="6">
        <v>9.112796732791157E-3</v>
      </c>
    </row>
    <row r="23" spans="1:6" x14ac:dyDescent="0.25">
      <c r="A23" s="4" t="s">
        <v>59</v>
      </c>
      <c r="B23" s="4" t="s">
        <v>60</v>
      </c>
      <c r="C23" s="4">
        <f t="shared" si="0"/>
        <v>-156.8972</v>
      </c>
      <c r="D23" s="4">
        <v>-1</v>
      </c>
      <c r="E23" s="5">
        <v>156.8972</v>
      </c>
      <c r="F23" s="6">
        <v>1.343473295604576E-5</v>
      </c>
    </row>
    <row r="24" spans="1:6" x14ac:dyDescent="0.25">
      <c r="A24" s="4" t="s">
        <v>61</v>
      </c>
      <c r="B24" s="4" t="s">
        <v>62</v>
      </c>
      <c r="C24" s="4">
        <f t="shared" si="0"/>
        <v>-8</v>
      </c>
      <c r="D24" s="4">
        <v>-1</v>
      </c>
      <c r="E24" s="5">
        <v>8</v>
      </c>
      <c r="F24" s="6">
        <v>6.8502091591415296E-7</v>
      </c>
    </row>
    <row r="25" spans="1:6" x14ac:dyDescent="0.25">
      <c r="A25" s="4" t="s">
        <v>63</v>
      </c>
      <c r="B25" s="4" t="s">
        <v>64</v>
      </c>
      <c r="C25" s="4">
        <f t="shared" si="0"/>
        <v>-32.862099999999998</v>
      </c>
      <c r="D25" s="4">
        <v>-1</v>
      </c>
      <c r="E25" s="5">
        <v>32.862099999999998</v>
      </c>
      <c r="F25" s="6">
        <v>2.8139032301078111E-6</v>
      </c>
    </row>
    <row r="26" spans="1:6" x14ac:dyDescent="0.25">
      <c r="A26" s="4" t="s">
        <v>65</v>
      </c>
      <c r="B26" s="4" t="s">
        <v>66</v>
      </c>
      <c r="C26" s="4">
        <f t="shared" si="0"/>
        <v>-65.381799999999998</v>
      </c>
      <c r="D26" s="4">
        <v>-1</v>
      </c>
      <c r="E26" s="5">
        <v>65.381799999999998</v>
      </c>
      <c r="F26" s="6">
        <v>5.5984875650144956E-6</v>
      </c>
    </row>
    <row r="27" spans="1:6" x14ac:dyDescent="0.25">
      <c r="A27" s="4" t="s">
        <v>67</v>
      </c>
      <c r="B27" s="4" t="s">
        <v>68</v>
      </c>
      <c r="C27" s="4">
        <f t="shared" si="0"/>
        <v>-99.492099999999979</v>
      </c>
      <c r="D27" s="4">
        <v>-1</v>
      </c>
      <c r="E27" s="5">
        <v>99.492099999999979</v>
      </c>
      <c r="F27" s="6">
        <v>8.5192711835278117E-6</v>
      </c>
    </row>
    <row r="28" spans="1:6" x14ac:dyDescent="0.25">
      <c r="A28" s="4" t="s">
        <v>69</v>
      </c>
      <c r="B28" s="4" t="s">
        <v>70</v>
      </c>
      <c r="C28" s="4">
        <f t="shared" si="0"/>
        <v>-51.549500000000009</v>
      </c>
      <c r="D28" s="4">
        <v>-1</v>
      </c>
      <c r="E28" s="5">
        <v>51.549500000000009</v>
      </c>
      <c r="F28" s="6">
        <v>4.4140607131145797E-6</v>
      </c>
    </row>
    <row r="29" spans="1:6" x14ac:dyDescent="0.25">
      <c r="A29" s="4" t="s">
        <v>71</v>
      </c>
      <c r="B29" s="4" t="s">
        <v>72</v>
      </c>
      <c r="C29" s="4">
        <f t="shared" si="0"/>
        <v>-6.9721000000000002</v>
      </c>
      <c r="D29" s="4">
        <v>-1</v>
      </c>
      <c r="E29" s="5">
        <v>6.9721000000000002</v>
      </c>
      <c r="F29" s="6">
        <v>5.9700429098063329E-7</v>
      </c>
    </row>
    <row r="30" spans="1:6" x14ac:dyDescent="0.25">
      <c r="A30" s="4" t="s">
        <v>73</v>
      </c>
      <c r="B30" s="4" t="s">
        <v>74</v>
      </c>
      <c r="C30" s="4">
        <f t="shared" si="0"/>
        <v>-22.635999999999999</v>
      </c>
      <c r="D30" s="4">
        <v>-1</v>
      </c>
      <c r="E30" s="5">
        <v>22.635999999999999</v>
      </c>
      <c r="F30" s="6">
        <v>1.938266681579096E-6</v>
      </c>
    </row>
    <row r="31" spans="1:6" x14ac:dyDescent="0.25">
      <c r="A31" s="4" t="s">
        <v>75</v>
      </c>
      <c r="B31" s="4" t="s">
        <v>76</v>
      </c>
      <c r="C31" s="4">
        <f t="shared" si="0"/>
        <v>-4.0732999999999997</v>
      </c>
      <c r="D31" s="4">
        <v>-1</v>
      </c>
      <c r="E31" s="5">
        <v>4.0732999999999997</v>
      </c>
      <c r="F31" s="6">
        <v>3.4878696209913989E-7</v>
      </c>
    </row>
    <row r="32" spans="1:6" x14ac:dyDescent="0.25">
      <c r="A32" s="4" t="s">
        <v>77</v>
      </c>
      <c r="B32" s="4" t="s">
        <v>78</v>
      </c>
      <c r="C32" s="4">
        <f t="shared" si="0"/>
        <v>-243.88399999999999</v>
      </c>
      <c r="D32" s="4">
        <v>-1</v>
      </c>
      <c r="E32" s="5">
        <v>243.88399999999999</v>
      </c>
      <c r="F32" s="6">
        <v>2.0883205132100911E-5</v>
      </c>
    </row>
    <row r="33" spans="1:6" x14ac:dyDescent="0.25">
      <c r="A33" s="4" t="s">
        <v>79</v>
      </c>
      <c r="B33" s="4" t="s">
        <v>80</v>
      </c>
      <c r="C33" s="4">
        <f t="shared" si="0"/>
        <v>-73.354100000000003</v>
      </c>
      <c r="D33" s="4">
        <v>-1</v>
      </c>
      <c r="E33" s="5">
        <v>73.354100000000003</v>
      </c>
      <c r="F33" s="6">
        <v>6.2811365960072964E-6</v>
      </c>
    </row>
    <row r="34" spans="1:6" x14ac:dyDescent="0.25">
      <c r="A34" s="4" t="s">
        <v>81</v>
      </c>
      <c r="B34" s="4" t="s">
        <v>82</v>
      </c>
      <c r="C34" s="4">
        <f t="shared" si="0"/>
        <v>-20.366499999999998</v>
      </c>
      <c r="D34" s="4">
        <v>-1</v>
      </c>
      <c r="E34" s="5">
        <v>20.366499999999998</v>
      </c>
      <c r="F34" s="6">
        <v>1.7439348104957E-6</v>
      </c>
    </row>
    <row r="35" spans="1:6" x14ac:dyDescent="0.25">
      <c r="A35" s="4" t="s">
        <v>83</v>
      </c>
      <c r="B35" s="4" t="s">
        <v>84</v>
      </c>
      <c r="C35" s="4">
        <f t="shared" si="0"/>
        <v>-2717.0207</v>
      </c>
      <c r="D35" s="4">
        <v>-1</v>
      </c>
      <c r="E35" s="5">
        <v>2717.0207</v>
      </c>
      <c r="F35" s="6">
        <v>2.3265200105896411E-4</v>
      </c>
    </row>
    <row r="36" spans="1:6" x14ac:dyDescent="0.25">
      <c r="A36" s="4" t="s">
        <v>85</v>
      </c>
      <c r="B36" s="4" t="s">
        <v>86</v>
      </c>
      <c r="C36" s="4">
        <f t="shared" si="0"/>
        <v>-592.26260000000002</v>
      </c>
      <c r="D36" s="4">
        <v>-1</v>
      </c>
      <c r="E36" s="5">
        <v>592.26260000000002</v>
      </c>
      <c r="F36" s="6">
        <v>5.0714033589212198E-5</v>
      </c>
    </row>
    <row r="37" spans="1:6" x14ac:dyDescent="0.25">
      <c r="A37" s="4" t="s">
        <v>87</v>
      </c>
      <c r="B37" s="4" t="s">
        <v>88</v>
      </c>
      <c r="C37" s="4">
        <f t="shared" si="0"/>
        <v>-1579.326</v>
      </c>
      <c r="D37" s="4">
        <v>-1</v>
      </c>
      <c r="E37" s="5">
        <v>1579.326</v>
      </c>
      <c r="F37" s="6">
        <v>1.3523391788087939E-4</v>
      </c>
    </row>
    <row r="38" spans="1:6" x14ac:dyDescent="0.25">
      <c r="A38" s="4" t="s">
        <v>89</v>
      </c>
      <c r="B38" s="4" t="s">
        <v>90</v>
      </c>
      <c r="C38" s="4">
        <f t="shared" si="0"/>
        <v>-959.66439999999989</v>
      </c>
      <c r="D38" s="4">
        <v>-1</v>
      </c>
      <c r="E38" s="5">
        <v>959.66439999999989</v>
      </c>
      <c r="F38" s="6">
        <v>8.2173773282275751E-5</v>
      </c>
    </row>
    <row r="39" spans="1:6" x14ac:dyDescent="0.25">
      <c r="A39" s="4" t="s">
        <v>91</v>
      </c>
      <c r="B39" s="4" t="s">
        <v>92</v>
      </c>
      <c r="C39" s="4">
        <f t="shared" si="0"/>
        <v>-810.44380000000001</v>
      </c>
      <c r="D39" s="4">
        <v>-1</v>
      </c>
      <c r="E39" s="5">
        <v>810.44380000000001</v>
      </c>
      <c r="F39" s="6">
        <v>6.9396369271618327E-5</v>
      </c>
    </row>
    <row r="40" spans="1:6" x14ac:dyDescent="0.25">
      <c r="A40" s="4" t="s">
        <v>93</v>
      </c>
      <c r="B40" s="4" t="s">
        <v>94</v>
      </c>
      <c r="C40" s="4">
        <f t="shared" si="0"/>
        <v>-4.3757999999999999</v>
      </c>
      <c r="D40" s="4">
        <v>-1</v>
      </c>
      <c r="E40" s="5">
        <v>4.3757999999999999</v>
      </c>
      <c r="F40" s="6">
        <v>3.7468931548214379E-7</v>
      </c>
    </row>
    <row r="41" spans="1:6" x14ac:dyDescent="0.25">
      <c r="A41" s="4" t="s">
        <v>95</v>
      </c>
      <c r="B41" s="4" t="s">
        <v>96</v>
      </c>
      <c r="C41" s="4">
        <f t="shared" si="0"/>
        <v>-126.2122</v>
      </c>
      <c r="D41" s="4">
        <v>-1</v>
      </c>
      <c r="E41" s="5">
        <v>126.2122</v>
      </c>
      <c r="F41" s="6">
        <v>1.080724960544253E-5</v>
      </c>
    </row>
    <row r="42" spans="1:6" x14ac:dyDescent="0.25">
      <c r="A42" s="4" t="s">
        <v>97</v>
      </c>
      <c r="B42" s="4" t="s">
        <v>98</v>
      </c>
      <c r="C42" s="4">
        <f t="shared" si="0"/>
        <v>-3458.2078000000001</v>
      </c>
      <c r="D42" s="4">
        <v>-1</v>
      </c>
      <c r="E42" s="5">
        <v>3458.2078000000001</v>
      </c>
      <c r="F42" s="6">
        <v>2.9611808432218351E-4</v>
      </c>
    </row>
    <row r="43" spans="1:6" x14ac:dyDescent="0.25">
      <c r="A43" s="4" t="s">
        <v>99</v>
      </c>
      <c r="B43" s="4" t="s">
        <v>100</v>
      </c>
      <c r="C43" s="4">
        <f t="shared" si="0"/>
        <v>-14.547499999999999</v>
      </c>
      <c r="D43" s="4">
        <v>-1</v>
      </c>
      <c r="E43" s="5">
        <v>14.547499999999999</v>
      </c>
      <c r="F43" s="6">
        <v>1.245667721782642E-6</v>
      </c>
    </row>
    <row r="44" spans="1:6" x14ac:dyDescent="0.25">
      <c r="A44" s="4" t="s">
        <v>101</v>
      </c>
      <c r="B44" s="4" t="s">
        <v>102</v>
      </c>
      <c r="C44" s="4">
        <f t="shared" si="0"/>
        <v>-114.7248</v>
      </c>
      <c r="D44" s="4">
        <v>-1</v>
      </c>
      <c r="E44" s="5">
        <v>114.7248</v>
      </c>
      <c r="F44" s="6">
        <v>9.823610946758501E-6</v>
      </c>
    </row>
    <row r="45" spans="1:6" x14ac:dyDescent="0.25">
      <c r="A45" s="4" t="s">
        <v>103</v>
      </c>
      <c r="B45" s="4" t="s">
        <v>104</v>
      </c>
      <c r="C45" s="4">
        <f t="shared" si="0"/>
        <v>-2175.7383</v>
      </c>
      <c r="D45" s="4">
        <v>-1</v>
      </c>
      <c r="E45" s="5">
        <v>2175.7383</v>
      </c>
      <c r="F45" s="6">
        <v>1.863032803819378E-4</v>
      </c>
    </row>
    <row r="46" spans="1:6" x14ac:dyDescent="0.25">
      <c r="A46" s="4" t="s">
        <v>105</v>
      </c>
      <c r="B46" s="4" t="s">
        <v>106</v>
      </c>
      <c r="C46" s="4">
        <f t="shared" si="0"/>
        <v>-367.12310000000002</v>
      </c>
      <c r="D46" s="4">
        <v>-1</v>
      </c>
      <c r="E46" s="5">
        <v>367.12310000000002</v>
      </c>
      <c r="F46" s="6">
        <v>3.1435875276905397E-5</v>
      </c>
    </row>
    <row r="47" spans="1:6" x14ac:dyDescent="0.25">
      <c r="A47" s="4" t="s">
        <v>107</v>
      </c>
      <c r="B47" s="4" t="s">
        <v>108</v>
      </c>
      <c r="C47" s="4">
        <f t="shared" si="0"/>
        <v>-3.2585999999999999</v>
      </c>
      <c r="D47" s="4">
        <v>-1</v>
      </c>
      <c r="E47" s="5">
        <v>3.2585999999999999</v>
      </c>
      <c r="F47" s="6">
        <v>2.7902614457473241E-7</v>
      </c>
    </row>
    <row r="48" spans="1:6" x14ac:dyDescent="0.25">
      <c r="A48" s="4" t="s">
        <v>109</v>
      </c>
      <c r="B48" s="4" t="s">
        <v>110</v>
      </c>
      <c r="C48" s="4">
        <f t="shared" si="0"/>
        <v>-45.7256</v>
      </c>
      <c r="D48" s="4">
        <v>-1</v>
      </c>
      <c r="E48" s="5">
        <v>45.7256</v>
      </c>
      <c r="F48" s="6">
        <v>3.9153740490905241E-6</v>
      </c>
    </row>
    <row r="49" spans="1:6" x14ac:dyDescent="0.25">
      <c r="A49" s="4" t="s">
        <v>111</v>
      </c>
      <c r="B49" s="4" t="s">
        <v>112</v>
      </c>
      <c r="C49" s="4">
        <f t="shared" si="0"/>
        <v>-57.947899999999997</v>
      </c>
      <c r="D49" s="4">
        <v>-1</v>
      </c>
      <c r="E49" s="5">
        <v>57.947899999999997</v>
      </c>
      <c r="F49" s="6">
        <v>4.9619404416627181E-6</v>
      </c>
    </row>
    <row r="50" spans="1:6" x14ac:dyDescent="0.25">
      <c r="A50" s="4" t="s">
        <v>113</v>
      </c>
      <c r="B50" s="4" t="s">
        <v>114</v>
      </c>
      <c r="C50" s="4">
        <f t="shared" si="0"/>
        <v>-3088.8667999999998</v>
      </c>
      <c r="D50" s="4">
        <v>-1</v>
      </c>
      <c r="E50" s="5">
        <v>3088.8667999999998</v>
      </c>
      <c r="F50" s="6">
        <v>2.6449229555910238E-4</v>
      </c>
    </row>
    <row r="51" spans="1:6" x14ac:dyDescent="0.25">
      <c r="A51" s="4" t="s">
        <v>115</v>
      </c>
      <c r="B51" s="4" t="s">
        <v>116</v>
      </c>
      <c r="C51" s="4">
        <f t="shared" si="0"/>
        <v>-610.78800000000012</v>
      </c>
      <c r="D51" s="4">
        <v>-1</v>
      </c>
      <c r="E51" s="5">
        <v>610.78800000000012</v>
      </c>
      <c r="F51" s="6">
        <v>5.230031939867172E-5</v>
      </c>
    </row>
    <row r="52" spans="1:6" x14ac:dyDescent="0.25">
      <c r="A52" s="4" t="s">
        <v>117</v>
      </c>
      <c r="B52" s="4" t="s">
        <v>118</v>
      </c>
      <c r="C52" s="4">
        <f t="shared" si="0"/>
        <v>705.42759999999998</v>
      </c>
      <c r="D52" s="4">
        <v>-1</v>
      </c>
      <c r="E52" s="5">
        <v>-705.42759999999998</v>
      </c>
      <c r="F52" s="6">
        <v>-6.0404082582890341E-5</v>
      </c>
    </row>
    <row r="53" spans="1:6" x14ac:dyDescent="0.25">
      <c r="A53" s="4" t="s">
        <v>119</v>
      </c>
      <c r="B53" s="4" t="s">
        <v>120</v>
      </c>
      <c r="C53" s="4">
        <f t="shared" si="0"/>
        <v>-1477.7239999999999</v>
      </c>
      <c r="D53" s="4">
        <v>-1</v>
      </c>
      <c r="E53" s="5">
        <v>1477.7239999999999</v>
      </c>
      <c r="F53" s="6">
        <v>1.265339809935407E-4</v>
      </c>
    </row>
    <row r="54" spans="1:6" x14ac:dyDescent="0.25">
      <c r="A54" s="4" t="s">
        <v>121</v>
      </c>
      <c r="B54" s="4" t="s">
        <v>122</v>
      </c>
      <c r="C54" s="4">
        <f t="shared" si="0"/>
        <v>-308809.54080000002</v>
      </c>
      <c r="D54" s="4">
        <v>-1</v>
      </c>
      <c r="E54" s="5">
        <v>308809.54080000002</v>
      </c>
      <c r="F54" s="6">
        <v>2.644262431023062E-2</v>
      </c>
    </row>
    <row r="55" spans="1:6" x14ac:dyDescent="0.25">
      <c r="A55" s="4" t="s">
        <v>123</v>
      </c>
      <c r="B55" s="4" t="s">
        <v>124</v>
      </c>
      <c r="C55" s="4">
        <f t="shared" si="0"/>
        <v>-390.51620000000003</v>
      </c>
      <c r="D55" s="4">
        <v>-1</v>
      </c>
      <c r="E55" s="5">
        <v>390.51620000000003</v>
      </c>
      <c r="F55" s="6">
        <v>3.3438970625414319E-5</v>
      </c>
    </row>
    <row r="56" spans="1:6" x14ac:dyDescent="0.25">
      <c r="A56" s="4" t="s">
        <v>125</v>
      </c>
      <c r="B56" s="4" t="s">
        <v>126</v>
      </c>
      <c r="C56" s="4">
        <f t="shared" si="0"/>
        <v>-24914.0137</v>
      </c>
      <c r="D56" s="4">
        <v>-1</v>
      </c>
      <c r="E56" s="5">
        <v>24914.0137</v>
      </c>
      <c r="F56" s="6">
        <v>2.13332756048397E-3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>
      <pane ySplit="3" topLeftCell="A37" activePane="bottomLeft" state="frozen"/>
      <selection pane="bottomLeft" activeCell="A2" sqref="A2:C53"/>
    </sheetView>
  </sheetViews>
  <sheetFormatPr baseColWidth="10" defaultColWidth="9.140625" defaultRowHeight="15" x14ac:dyDescent="0.25"/>
  <cols>
    <col min="1" max="1" width="30.7109375" customWidth="1"/>
    <col min="2" max="2" width="60.7109375" customWidth="1"/>
    <col min="3" max="4" width="30.7109375" customWidth="1"/>
  </cols>
  <sheetData>
    <row r="1" spans="1:4" ht="15.75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s="4" t="s">
        <v>127</v>
      </c>
      <c r="B2" s="4" t="s">
        <v>128</v>
      </c>
      <c r="C2" s="5">
        <v>106481.7466</v>
      </c>
      <c r="D2" s="6">
        <v>1.5796256375443851E-2</v>
      </c>
    </row>
    <row r="3" spans="1:4" x14ac:dyDescent="0.25">
      <c r="A3" s="4" t="s">
        <v>129</v>
      </c>
      <c r="B3" s="4" t="s">
        <v>130</v>
      </c>
      <c r="C3" s="5">
        <v>67649.318500000008</v>
      </c>
      <c r="D3" s="6">
        <v>1.00355789867374E-2</v>
      </c>
    </row>
    <row r="4" spans="1:4" x14ac:dyDescent="0.25">
      <c r="A4" s="4" t="s">
        <v>131</v>
      </c>
      <c r="B4" s="4" t="s">
        <v>132</v>
      </c>
      <c r="C4" s="5">
        <v>98412.346300000005</v>
      </c>
      <c r="D4" s="6">
        <v>1.4599184388883449E-2</v>
      </c>
    </row>
    <row r="5" spans="1:4" x14ac:dyDescent="0.25">
      <c r="A5" s="4" t="s">
        <v>133</v>
      </c>
      <c r="B5" s="4" t="s">
        <v>134</v>
      </c>
      <c r="C5" s="5">
        <v>23.7</v>
      </c>
      <c r="D5" s="6">
        <v>3.5158258391867819E-6</v>
      </c>
    </row>
    <row r="6" spans="1:4" x14ac:dyDescent="0.25">
      <c r="A6" s="4" t="s">
        <v>135</v>
      </c>
      <c r="B6" s="4" t="s">
        <v>136</v>
      </c>
      <c r="C6" s="5">
        <v>87238.117199999993</v>
      </c>
      <c r="D6" s="6">
        <v>1.294152011028544E-2</v>
      </c>
    </row>
    <row r="7" spans="1:4" x14ac:dyDescent="0.25">
      <c r="A7" s="4" t="s">
        <v>137</v>
      </c>
      <c r="B7" s="4" t="s">
        <v>138</v>
      </c>
      <c r="C7" s="5">
        <v>27.55</v>
      </c>
      <c r="D7" s="6">
        <v>4.0869621042023568E-6</v>
      </c>
    </row>
    <row r="8" spans="1:4" x14ac:dyDescent="0.25">
      <c r="A8" s="4" t="s">
        <v>139</v>
      </c>
      <c r="B8" s="4" t="s">
        <v>140</v>
      </c>
      <c r="C8" s="5">
        <v>144943.61120000001</v>
      </c>
      <c r="D8" s="6">
        <v>2.1501961750295472E-2</v>
      </c>
    </row>
    <row r="9" spans="1:4" x14ac:dyDescent="0.25">
      <c r="A9" s="4" t="s">
        <v>141</v>
      </c>
      <c r="B9" s="4" t="s">
        <v>142</v>
      </c>
      <c r="C9" s="5">
        <v>457514.05899999978</v>
      </c>
      <c r="D9" s="6">
        <v>6.7870875545292211E-2</v>
      </c>
    </row>
    <row r="10" spans="1:4" x14ac:dyDescent="0.25">
      <c r="A10" s="4" t="s">
        <v>143</v>
      </c>
      <c r="B10" s="4" t="s">
        <v>144</v>
      </c>
      <c r="C10" s="5">
        <v>3641.9582</v>
      </c>
      <c r="D10" s="6">
        <v>5.4027387108853092E-4</v>
      </c>
    </row>
    <row r="11" spans="1:4" x14ac:dyDescent="0.25">
      <c r="A11" s="4" t="s">
        <v>145</v>
      </c>
      <c r="B11" s="4" t="s">
        <v>146</v>
      </c>
      <c r="C11" s="5">
        <v>9533.4629000000023</v>
      </c>
      <c r="D11" s="6">
        <v>1.4142614008754669E-3</v>
      </c>
    </row>
    <row r="12" spans="1:4" x14ac:dyDescent="0.25">
      <c r="A12" s="4" t="s">
        <v>147</v>
      </c>
      <c r="B12" s="4" t="s">
        <v>148</v>
      </c>
      <c r="C12" s="5">
        <v>11697.2672</v>
      </c>
      <c r="D12" s="6">
        <v>1.7352554544148541E-3</v>
      </c>
    </row>
    <row r="13" spans="1:4" x14ac:dyDescent="0.25">
      <c r="A13" s="4" t="s">
        <v>149</v>
      </c>
      <c r="B13" s="4" t="s">
        <v>150</v>
      </c>
      <c r="C13" s="5">
        <v>14783.4774</v>
      </c>
      <c r="D13" s="6">
        <v>2.1930857314748451E-3</v>
      </c>
    </row>
    <row r="14" spans="1:4" x14ac:dyDescent="0.25">
      <c r="A14" s="4" t="s">
        <v>151</v>
      </c>
      <c r="B14" s="4" t="s">
        <v>152</v>
      </c>
      <c r="C14" s="5">
        <v>39831.585300000013</v>
      </c>
      <c r="D14" s="6">
        <v>5.9088994436081194E-3</v>
      </c>
    </row>
    <row r="15" spans="1:4" x14ac:dyDescent="0.25">
      <c r="A15" s="4" t="s">
        <v>153</v>
      </c>
      <c r="B15" s="4" t="s">
        <v>154</v>
      </c>
      <c r="C15" s="5">
        <v>64372.756199999982</v>
      </c>
      <c r="D15" s="6">
        <v>9.5495105311236735E-3</v>
      </c>
    </row>
    <row r="16" spans="1:4" x14ac:dyDescent="0.25">
      <c r="A16" s="4" t="s">
        <v>155</v>
      </c>
      <c r="B16" s="4" t="s">
        <v>156</v>
      </c>
      <c r="C16" s="5">
        <v>296.51530000000002</v>
      </c>
      <c r="D16" s="6">
        <v>4.3987179470642209E-5</v>
      </c>
    </row>
    <row r="17" spans="1:4" x14ac:dyDescent="0.25">
      <c r="A17" s="4" t="s">
        <v>157</v>
      </c>
      <c r="B17" s="4" t="s">
        <v>158</v>
      </c>
      <c r="C17" s="5">
        <v>398.55</v>
      </c>
      <c r="D17" s="6">
        <v>5.912372946024861E-5</v>
      </c>
    </row>
    <row r="18" spans="1:4" x14ac:dyDescent="0.25">
      <c r="A18" s="4" t="s">
        <v>159</v>
      </c>
      <c r="B18" s="4" t="s">
        <v>160</v>
      </c>
      <c r="C18" s="5">
        <v>249.9838</v>
      </c>
      <c r="D18" s="6">
        <v>3.7084367232831248E-5</v>
      </c>
    </row>
    <row r="19" spans="1:4" x14ac:dyDescent="0.25">
      <c r="A19" s="4" t="s">
        <v>161</v>
      </c>
      <c r="B19" s="4" t="s">
        <v>162</v>
      </c>
      <c r="C19" s="5">
        <v>143364.19200000001</v>
      </c>
      <c r="D19" s="6">
        <v>2.1267659521001469E-2</v>
      </c>
    </row>
    <row r="20" spans="1:4" x14ac:dyDescent="0.25">
      <c r="A20" s="4" t="s">
        <v>163</v>
      </c>
      <c r="B20" s="4" t="s">
        <v>164</v>
      </c>
      <c r="C20" s="5">
        <v>1537.54</v>
      </c>
      <c r="D20" s="6">
        <v>2.28089572184947E-4</v>
      </c>
    </row>
    <row r="21" spans="1:4" x14ac:dyDescent="0.25">
      <c r="A21" s="4" t="s">
        <v>165</v>
      </c>
      <c r="B21" s="4" t="s">
        <v>166</v>
      </c>
      <c r="C21" s="5">
        <v>263.37</v>
      </c>
      <c r="D21" s="6">
        <v>3.9070170939519948E-5</v>
      </c>
    </row>
    <row r="22" spans="1:4" x14ac:dyDescent="0.25">
      <c r="A22" s="4" t="s">
        <v>167</v>
      </c>
      <c r="B22" s="4" t="s">
        <v>168</v>
      </c>
      <c r="C22" s="5">
        <v>5392382.5949000008</v>
      </c>
      <c r="D22" s="6">
        <v>0.79994422202238369</v>
      </c>
    </row>
    <row r="23" spans="1:4" x14ac:dyDescent="0.25">
      <c r="A23" s="4" t="s">
        <v>169</v>
      </c>
      <c r="B23" s="4" t="s">
        <v>170</v>
      </c>
      <c r="C23" s="5">
        <v>47525.584199999998</v>
      </c>
      <c r="D23" s="6">
        <v>7.0502817279665423E-3</v>
      </c>
    </row>
    <row r="24" spans="1:4" x14ac:dyDescent="0.25">
      <c r="A24" s="4" t="s">
        <v>171</v>
      </c>
      <c r="B24" s="4" t="s">
        <v>172</v>
      </c>
      <c r="C24" s="5">
        <v>12379.711499999999</v>
      </c>
      <c r="D24" s="6">
        <v>1.8364940748260661E-3</v>
      </c>
    </row>
    <row r="25" spans="1:4" x14ac:dyDescent="0.25">
      <c r="A25" s="4" t="s">
        <v>173</v>
      </c>
      <c r="B25" s="4" t="s">
        <v>174</v>
      </c>
      <c r="C25" s="5">
        <v>30171.778399999999</v>
      </c>
      <c r="D25" s="6">
        <v>4.4758952790269037E-3</v>
      </c>
    </row>
    <row r="26" spans="1:4" x14ac:dyDescent="0.25">
      <c r="A26" s="4" t="s">
        <v>175</v>
      </c>
      <c r="B26" s="4" t="s">
        <v>176</v>
      </c>
      <c r="C26" s="5">
        <v>111.58</v>
      </c>
      <c r="D26" s="6">
        <v>1.6552567389724099E-5</v>
      </c>
    </row>
    <row r="27" spans="1:4" x14ac:dyDescent="0.25">
      <c r="A27" s="4" t="s">
        <v>177</v>
      </c>
      <c r="B27" s="4" t="s">
        <v>178</v>
      </c>
      <c r="C27" s="5">
        <v>5</v>
      </c>
      <c r="D27" s="6">
        <v>7.4173540911113543E-7</v>
      </c>
    </row>
    <row r="28" spans="1:4" x14ac:dyDescent="0.25">
      <c r="A28" s="4" t="s">
        <v>179</v>
      </c>
      <c r="B28" s="4" t="s">
        <v>180</v>
      </c>
      <c r="C28" s="5">
        <v>19.14</v>
      </c>
      <c r="D28" s="6">
        <v>2.8393631460774271E-6</v>
      </c>
    </row>
    <row r="29" spans="1:4" x14ac:dyDescent="0.25">
      <c r="A29" s="4" t="s">
        <v>181</v>
      </c>
      <c r="B29" s="4" t="s">
        <v>182</v>
      </c>
      <c r="C29" s="5">
        <v>22.51</v>
      </c>
      <c r="D29" s="6">
        <v>3.339292811818331E-6</v>
      </c>
    </row>
    <row r="30" spans="1:4" x14ac:dyDescent="0.25">
      <c r="A30" s="4" t="s">
        <v>183</v>
      </c>
      <c r="B30" s="4" t="s">
        <v>184</v>
      </c>
      <c r="C30" s="5">
        <v>39.319000000000003</v>
      </c>
      <c r="D30" s="6">
        <v>5.8328589101681461E-6</v>
      </c>
    </row>
    <row r="31" spans="1:4" x14ac:dyDescent="0.25">
      <c r="A31" s="4" t="s">
        <v>185</v>
      </c>
      <c r="B31" s="4" t="s">
        <v>186</v>
      </c>
      <c r="C31" s="5">
        <v>21.25</v>
      </c>
      <c r="D31" s="6">
        <v>3.1523754887223261E-6</v>
      </c>
    </row>
    <row r="32" spans="1:4" x14ac:dyDescent="0.25">
      <c r="A32" s="4" t="s">
        <v>187</v>
      </c>
      <c r="B32" s="4" t="s">
        <v>188</v>
      </c>
      <c r="C32" s="5">
        <v>3.3</v>
      </c>
      <c r="D32" s="6">
        <v>4.8954537001334942E-7</v>
      </c>
    </row>
    <row r="33" spans="1:4" x14ac:dyDescent="0.25">
      <c r="A33" s="4" t="s">
        <v>189</v>
      </c>
      <c r="B33" s="4" t="s">
        <v>190</v>
      </c>
      <c r="C33" s="5">
        <v>10.15</v>
      </c>
      <c r="D33" s="6">
        <v>1.5057228804956049E-6</v>
      </c>
    </row>
    <row r="34" spans="1:4" x14ac:dyDescent="0.25">
      <c r="A34" s="4" t="s">
        <v>191</v>
      </c>
      <c r="B34" s="4" t="s">
        <v>192</v>
      </c>
      <c r="C34" s="5">
        <v>1</v>
      </c>
      <c r="D34" s="6">
        <v>1.4834708182222711E-7</v>
      </c>
    </row>
    <row r="35" spans="1:4" x14ac:dyDescent="0.25">
      <c r="A35" s="4" t="s">
        <v>193</v>
      </c>
      <c r="B35" s="4" t="s">
        <v>194</v>
      </c>
      <c r="C35" s="5">
        <v>81.889400000000009</v>
      </c>
      <c r="D35" s="6">
        <v>1.2148053522173081E-5</v>
      </c>
    </row>
    <row r="36" spans="1:4" x14ac:dyDescent="0.25">
      <c r="A36" s="4" t="s">
        <v>195</v>
      </c>
      <c r="B36" s="4" t="s">
        <v>196</v>
      </c>
      <c r="C36" s="5">
        <v>24.56</v>
      </c>
      <c r="D36" s="6">
        <v>3.6434043295538969E-6</v>
      </c>
    </row>
    <row r="37" spans="1:4" x14ac:dyDescent="0.25">
      <c r="A37" s="4" t="s">
        <v>197</v>
      </c>
      <c r="B37" s="4" t="s">
        <v>198</v>
      </c>
      <c r="C37" s="5">
        <v>9.1</v>
      </c>
      <c r="D37" s="6">
        <v>1.349958444582267E-6</v>
      </c>
    </row>
    <row r="38" spans="1:4" x14ac:dyDescent="0.25">
      <c r="A38" s="4" t="s">
        <v>199</v>
      </c>
      <c r="B38" s="4" t="s">
        <v>200</v>
      </c>
      <c r="C38" s="5">
        <v>832.78000000000009</v>
      </c>
      <c r="D38" s="6">
        <v>1.2354048279991431E-4</v>
      </c>
    </row>
    <row r="39" spans="1:4" x14ac:dyDescent="0.25">
      <c r="A39" s="4" t="s">
        <v>201</v>
      </c>
      <c r="B39" s="4" t="s">
        <v>202</v>
      </c>
      <c r="C39" s="5">
        <v>143.79</v>
      </c>
      <c r="D39" s="6">
        <v>2.133082689521804E-5</v>
      </c>
    </row>
    <row r="40" spans="1:4" x14ac:dyDescent="0.25">
      <c r="A40" s="4" t="s">
        <v>203</v>
      </c>
      <c r="B40" s="4" t="s">
        <v>204</v>
      </c>
      <c r="C40" s="5">
        <v>465.39</v>
      </c>
      <c r="D40" s="6">
        <v>6.9039248409246272E-5</v>
      </c>
    </row>
    <row r="41" spans="1:4" x14ac:dyDescent="0.25">
      <c r="A41" s="4" t="s">
        <v>205</v>
      </c>
      <c r="B41" s="4" t="s">
        <v>206</v>
      </c>
      <c r="C41" s="5">
        <v>333.8</v>
      </c>
      <c r="D41" s="6">
        <v>4.9518255912259397E-5</v>
      </c>
    </row>
    <row r="42" spans="1:4" x14ac:dyDescent="0.25">
      <c r="A42" s="4" t="s">
        <v>207</v>
      </c>
      <c r="B42" s="4" t="s">
        <v>208</v>
      </c>
      <c r="C42" s="5">
        <v>383.04059999999993</v>
      </c>
      <c r="D42" s="6">
        <v>5.6822955229434952E-5</v>
      </c>
    </row>
    <row r="43" spans="1:4" x14ac:dyDescent="0.25">
      <c r="A43" s="4" t="s">
        <v>209</v>
      </c>
      <c r="B43" s="4" t="s">
        <v>210</v>
      </c>
      <c r="C43" s="5">
        <v>1.5</v>
      </c>
      <c r="D43" s="6">
        <v>2.225206227333406E-7</v>
      </c>
    </row>
    <row r="44" spans="1:4" x14ac:dyDescent="0.25">
      <c r="A44" s="4" t="s">
        <v>211</v>
      </c>
      <c r="B44" s="4" t="s">
        <v>212</v>
      </c>
      <c r="C44" s="5">
        <v>55.54</v>
      </c>
      <c r="D44" s="6">
        <v>8.2391969244064929E-6</v>
      </c>
    </row>
    <row r="45" spans="1:4" x14ac:dyDescent="0.25">
      <c r="A45" s="4" t="s">
        <v>213</v>
      </c>
      <c r="B45" s="4" t="s">
        <v>214</v>
      </c>
      <c r="C45" s="5">
        <v>1438.8263999999999</v>
      </c>
      <c r="D45" s="6">
        <v>2.1344569768878041E-4</v>
      </c>
    </row>
    <row r="46" spans="1:4" x14ac:dyDescent="0.25">
      <c r="A46" s="4" t="s">
        <v>215</v>
      </c>
      <c r="B46" s="4" t="s">
        <v>216</v>
      </c>
      <c r="C46" s="5">
        <v>6.5</v>
      </c>
      <c r="D46" s="6">
        <v>9.6425603184447605E-7</v>
      </c>
    </row>
    <row r="47" spans="1:4" x14ac:dyDescent="0.25">
      <c r="A47" s="4" t="s">
        <v>217</v>
      </c>
      <c r="B47" s="4" t="s">
        <v>218</v>
      </c>
      <c r="C47" s="5">
        <v>39.381600000000013</v>
      </c>
      <c r="D47" s="6">
        <v>5.8421454374902194E-6</v>
      </c>
    </row>
    <row r="48" spans="1:4" x14ac:dyDescent="0.25">
      <c r="A48" s="4" t="s">
        <v>219</v>
      </c>
      <c r="B48" s="4" t="s">
        <v>220</v>
      </c>
      <c r="C48" s="5">
        <v>880.58999999999992</v>
      </c>
      <c r="D48" s="6">
        <v>1.306329567818349E-4</v>
      </c>
    </row>
    <row r="49" spans="1:4" x14ac:dyDescent="0.25">
      <c r="A49" s="4" t="s">
        <v>221</v>
      </c>
      <c r="B49" s="4" t="s">
        <v>222</v>
      </c>
      <c r="C49" s="5">
        <v>131.88999999999999</v>
      </c>
      <c r="D49" s="6">
        <v>1.9565496621533529E-5</v>
      </c>
    </row>
    <row r="50" spans="1:4" x14ac:dyDescent="0.25">
      <c r="A50" s="4" t="s">
        <v>223</v>
      </c>
      <c r="B50" s="4" t="s">
        <v>224</v>
      </c>
      <c r="C50" s="5">
        <v>11.92</v>
      </c>
      <c r="D50" s="6">
        <v>1.768297215320947E-6</v>
      </c>
    </row>
    <row r="51" spans="1:4" x14ac:dyDescent="0.25">
      <c r="A51" s="4" t="s">
        <v>225</v>
      </c>
      <c r="B51" s="4" t="s">
        <v>226</v>
      </c>
      <c r="C51" s="5">
        <v>17.600000000000001</v>
      </c>
      <c r="D51" s="6">
        <v>2.6109086400711972E-6</v>
      </c>
    </row>
    <row r="52" spans="1:4" x14ac:dyDescent="0.25">
      <c r="A52" s="4" t="s">
        <v>227</v>
      </c>
      <c r="B52" s="4" t="s">
        <v>228</v>
      </c>
      <c r="C52" s="5">
        <v>25.875399999999999</v>
      </c>
      <c r="D52" s="6">
        <v>3.838540080982855E-6</v>
      </c>
    </row>
    <row r="53" spans="1:4" x14ac:dyDescent="0.25">
      <c r="A53" s="4" t="s">
        <v>229</v>
      </c>
      <c r="B53" s="4" t="s">
        <v>230</v>
      </c>
      <c r="C53" s="5">
        <v>1110.2407000000001</v>
      </c>
      <c r="D53" s="6">
        <v>1.6470096796526669E-4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3" topLeftCell="A4" activePane="bottomLeft" state="frozen"/>
      <selection pane="bottomLeft" activeCell="A2" sqref="A2:C4"/>
    </sheetView>
  </sheetViews>
  <sheetFormatPr baseColWidth="10" defaultColWidth="9.140625" defaultRowHeight="15" x14ac:dyDescent="0.25"/>
  <cols>
    <col min="1" max="1" width="30.7109375" customWidth="1"/>
    <col min="2" max="2" width="60.7109375" customWidth="1"/>
    <col min="3" max="4" width="27.140625" customWidth="1"/>
    <col min="5" max="6" width="30.7109375" customWidth="1"/>
  </cols>
  <sheetData>
    <row r="1" spans="1:6" ht="15.75" x14ac:dyDescent="0.25">
      <c r="A1" s="1" t="s">
        <v>13</v>
      </c>
      <c r="B1" s="1" t="s">
        <v>14</v>
      </c>
      <c r="C1" s="1"/>
      <c r="D1" s="1"/>
      <c r="E1" s="1" t="s">
        <v>15</v>
      </c>
      <c r="F1" s="1" t="s">
        <v>16</v>
      </c>
    </row>
    <row r="2" spans="1:6" x14ac:dyDescent="0.25">
      <c r="A2" s="4" t="s">
        <v>231</v>
      </c>
      <c r="B2" s="4" t="s">
        <v>232</v>
      </c>
      <c r="C2" s="4">
        <f>E2*D2</f>
        <v>-6615.4990000000007</v>
      </c>
      <c r="D2" s="4">
        <v>-1</v>
      </c>
      <c r="E2" s="5">
        <v>6615.4990000000007</v>
      </c>
      <c r="F2" s="6">
        <v>4.1535229311985451E-3</v>
      </c>
    </row>
    <row r="3" spans="1:6" x14ac:dyDescent="0.25">
      <c r="A3" s="4" t="s">
        <v>233</v>
      </c>
      <c r="B3" s="4" t="s">
        <v>234</v>
      </c>
      <c r="C3" s="4">
        <f t="shared" ref="C3:C4" si="0">E3*D3</f>
        <v>-1578433.4188999999</v>
      </c>
      <c r="D3" s="4">
        <v>-1</v>
      </c>
      <c r="E3" s="5">
        <v>1578433.4188999999</v>
      </c>
      <c r="F3" s="6">
        <v>0.99101509965782897</v>
      </c>
    </row>
    <row r="4" spans="1:6" x14ac:dyDescent="0.25">
      <c r="A4" s="4" t="s">
        <v>235</v>
      </c>
      <c r="B4" s="4" t="s">
        <v>236</v>
      </c>
      <c r="C4" s="4">
        <f t="shared" si="0"/>
        <v>-7695.1477000000004</v>
      </c>
      <c r="D4" s="4">
        <v>-1</v>
      </c>
      <c r="E4" s="5">
        <v>7695.1477000000004</v>
      </c>
      <c r="F4" s="6">
        <v>4.8313774109722853E-3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"/>
  <sheetViews>
    <sheetView tabSelected="1" workbookViewId="0">
      <pane ySplit="4" topLeftCell="A82" activePane="bottomLeft" state="frozen"/>
      <selection pane="bottomLeft" activeCell="A2" sqref="A2:C97"/>
    </sheetView>
  </sheetViews>
  <sheetFormatPr baseColWidth="10" defaultColWidth="9.140625" defaultRowHeight="15" x14ac:dyDescent="0.25"/>
  <cols>
    <col min="1" max="1" width="30.7109375" customWidth="1"/>
    <col min="2" max="2" width="60.7109375" customWidth="1"/>
    <col min="3" max="5" width="30.7109375" customWidth="1"/>
  </cols>
  <sheetData>
    <row r="1" spans="1:5" ht="15.75" x14ac:dyDescent="0.25">
      <c r="A1" s="1" t="s">
        <v>13</v>
      </c>
      <c r="B1" s="1" t="s">
        <v>14</v>
      </c>
      <c r="C1" s="1" t="s">
        <v>15</v>
      </c>
      <c r="D1" s="1" t="s">
        <v>237</v>
      </c>
      <c r="E1" s="1" t="s">
        <v>238</v>
      </c>
    </row>
    <row r="2" spans="1:5" x14ac:dyDescent="0.25">
      <c r="A2" s="4" t="s">
        <v>239</v>
      </c>
      <c r="B2" s="4" t="s">
        <v>240</v>
      </c>
      <c r="C2" s="5">
        <v>3345.5493000000001</v>
      </c>
      <c r="D2" s="6">
        <v>7.3583624791574828E-4</v>
      </c>
      <c r="E2" s="6">
        <v>2.5209056917395391E-4</v>
      </c>
    </row>
    <row r="3" spans="1:5" x14ac:dyDescent="0.25">
      <c r="A3" s="4" t="s">
        <v>241</v>
      </c>
      <c r="B3" s="4" t="s">
        <v>242</v>
      </c>
      <c r="C3" s="5">
        <v>203.30940000000001</v>
      </c>
      <c r="D3" s="6">
        <v>4.4716849954057477E-5</v>
      </c>
      <c r="E3" s="6">
        <v>1.5319571696168121E-5</v>
      </c>
    </row>
    <row r="4" spans="1:5" x14ac:dyDescent="0.25">
      <c r="A4" s="4" t="s">
        <v>243</v>
      </c>
      <c r="B4" s="4" t="s">
        <v>244</v>
      </c>
      <c r="C4" s="5">
        <v>101294.62850000001</v>
      </c>
      <c r="D4" s="6">
        <v>2.2279229114770371E-2</v>
      </c>
      <c r="E4" s="6">
        <v>7.6326540914609178E-3</v>
      </c>
    </row>
    <row r="5" spans="1:5" x14ac:dyDescent="0.25">
      <c r="A5" s="4" t="s">
        <v>245</v>
      </c>
      <c r="B5" s="4" t="s">
        <v>246</v>
      </c>
      <c r="C5" s="5">
        <v>23785.456200000001</v>
      </c>
      <c r="D5" s="6">
        <v>5.2314879488317137E-3</v>
      </c>
      <c r="E5" s="6">
        <v>1.79225850640436E-3</v>
      </c>
    </row>
    <row r="6" spans="1:5" x14ac:dyDescent="0.25">
      <c r="A6" s="4" t="s">
        <v>247</v>
      </c>
      <c r="B6" s="4" t="s">
        <v>248</v>
      </c>
      <c r="C6" s="5">
        <v>389.37659999999988</v>
      </c>
      <c r="D6" s="6">
        <v>8.5641367284646234E-5</v>
      </c>
      <c r="E6" s="6">
        <v>2.933992594789112E-5</v>
      </c>
    </row>
    <row r="7" spans="1:5" x14ac:dyDescent="0.25">
      <c r="A7" s="4" t="s">
        <v>249</v>
      </c>
      <c r="B7" s="4" t="s">
        <v>250</v>
      </c>
      <c r="C7" s="5">
        <v>82845.334799999997</v>
      </c>
      <c r="D7" s="6">
        <v>1.82214024813671E-2</v>
      </c>
      <c r="E7" s="6">
        <v>6.2424808993664406E-3</v>
      </c>
    </row>
    <row r="8" spans="1:5" x14ac:dyDescent="0.25">
      <c r="A8" s="4" t="s">
        <v>251</v>
      </c>
      <c r="B8" s="4" t="s">
        <v>252</v>
      </c>
      <c r="C8" s="5">
        <v>162.05799999999999</v>
      </c>
      <c r="D8" s="6">
        <v>3.5643818091316218E-5</v>
      </c>
      <c r="E8" s="6">
        <v>1.22112364206358E-5</v>
      </c>
    </row>
    <row r="9" spans="1:5" x14ac:dyDescent="0.25">
      <c r="A9" s="4" t="s">
        <v>253</v>
      </c>
      <c r="B9" s="4" t="s">
        <v>254</v>
      </c>
      <c r="C9" s="5">
        <v>236.4699</v>
      </c>
      <c r="D9" s="6">
        <v>5.2010330250106367E-5</v>
      </c>
      <c r="E9" s="6">
        <v>1.781824936296947E-5</v>
      </c>
    </row>
    <row r="10" spans="1:5" x14ac:dyDescent="0.25">
      <c r="A10" s="4" t="s">
        <v>255</v>
      </c>
      <c r="B10" s="4" t="s">
        <v>256</v>
      </c>
      <c r="C10" s="5">
        <v>81.781800000000004</v>
      </c>
      <c r="D10" s="6">
        <v>1.798748350825264E-5</v>
      </c>
      <c r="E10" s="6">
        <v>6.1623424619898631E-6</v>
      </c>
    </row>
    <row r="11" spans="1:5" x14ac:dyDescent="0.25">
      <c r="A11" s="4" t="s">
        <v>257</v>
      </c>
      <c r="B11" s="4" t="s">
        <v>258</v>
      </c>
      <c r="C11" s="5">
        <v>503.87</v>
      </c>
      <c r="D11" s="6">
        <v>1.108235978579984E-4</v>
      </c>
      <c r="E11" s="6">
        <v>3.7967121001528862E-5</v>
      </c>
    </row>
    <row r="12" spans="1:5" x14ac:dyDescent="0.25">
      <c r="A12" s="4" t="s">
        <v>259</v>
      </c>
      <c r="B12" s="4" t="s">
        <v>260</v>
      </c>
      <c r="C12" s="5">
        <v>453490.50720000011</v>
      </c>
      <c r="D12" s="6">
        <v>9.9742889241972221E-2</v>
      </c>
      <c r="E12" s="6">
        <v>3.4170974576591372E-2</v>
      </c>
    </row>
    <row r="13" spans="1:5" x14ac:dyDescent="0.25">
      <c r="A13" s="4" t="s">
        <v>261</v>
      </c>
      <c r="B13" s="4" t="s">
        <v>262</v>
      </c>
      <c r="C13" s="5">
        <v>115363.28</v>
      </c>
      <c r="D13" s="6">
        <v>2.5373556175798659E-2</v>
      </c>
      <c r="E13" s="6">
        <v>8.6927414033247732E-3</v>
      </c>
    </row>
    <row r="14" spans="1:5" x14ac:dyDescent="0.25">
      <c r="A14" s="4" t="s">
        <v>263</v>
      </c>
      <c r="B14" s="4" t="s">
        <v>264</v>
      </c>
      <c r="C14" s="5">
        <v>573714.72519999999</v>
      </c>
      <c r="D14" s="6">
        <v>0.1261855835647625</v>
      </c>
      <c r="E14" s="6">
        <v>4.3229992641013112E-2</v>
      </c>
    </row>
    <row r="15" spans="1:5" x14ac:dyDescent="0.25">
      <c r="A15" s="4" t="s">
        <v>265</v>
      </c>
      <c r="B15" s="4" t="s">
        <v>266</v>
      </c>
      <c r="C15" s="5">
        <v>6800</v>
      </c>
      <c r="D15" s="6">
        <v>1.49562479495582E-3</v>
      </c>
      <c r="E15" s="6">
        <v>5.1238697046935959E-4</v>
      </c>
    </row>
    <row r="16" spans="1:5" x14ac:dyDescent="0.25">
      <c r="A16" s="4" t="s">
        <v>267</v>
      </c>
      <c r="B16" s="4" t="s">
        <v>268</v>
      </c>
      <c r="C16" s="5">
        <v>80692.499999999985</v>
      </c>
      <c r="D16" s="6">
        <v>1.7747897612790081E-2</v>
      </c>
      <c r="E16" s="6">
        <v>6.0802625903821749E-3</v>
      </c>
    </row>
    <row r="17" spans="1:5" x14ac:dyDescent="0.25">
      <c r="A17" s="4" t="s">
        <v>269</v>
      </c>
      <c r="B17" s="4" t="s">
        <v>270</v>
      </c>
      <c r="C17" s="5">
        <v>1380</v>
      </c>
      <c r="D17" s="6">
        <v>3.0352385544691652E-4</v>
      </c>
      <c r="E17" s="6">
        <v>1.039844145952524E-4</v>
      </c>
    </row>
    <row r="18" spans="1:5" x14ac:dyDescent="0.25">
      <c r="A18" s="4" t="s">
        <v>271</v>
      </c>
      <c r="B18" s="4" t="s">
        <v>272</v>
      </c>
      <c r="C18" s="5">
        <v>466.61</v>
      </c>
      <c r="D18" s="6">
        <v>1.026284537609317E-4</v>
      </c>
      <c r="E18" s="6">
        <v>3.515954180745704E-5</v>
      </c>
    </row>
    <row r="19" spans="1:5" x14ac:dyDescent="0.25">
      <c r="A19" s="4" t="s">
        <v>273</v>
      </c>
      <c r="B19" s="4" t="s">
        <v>274</v>
      </c>
      <c r="C19" s="5">
        <v>7981.33</v>
      </c>
      <c r="D19" s="6">
        <v>1.75545221245952E-3</v>
      </c>
      <c r="E19" s="6">
        <v>6.0140139691414901E-4</v>
      </c>
    </row>
    <row r="20" spans="1:5" x14ac:dyDescent="0.25">
      <c r="A20" s="4" t="s">
        <v>275</v>
      </c>
      <c r="B20" s="4" t="s">
        <v>276</v>
      </c>
      <c r="C20" s="5">
        <v>16118.2</v>
      </c>
      <c r="D20" s="6">
        <v>3.545114642655427E-3</v>
      </c>
      <c r="E20" s="6">
        <v>1.2145228922675339E-3</v>
      </c>
    </row>
    <row r="21" spans="1:5" x14ac:dyDescent="0.25">
      <c r="A21" s="4" t="s">
        <v>277</v>
      </c>
      <c r="B21" s="4" t="s">
        <v>278</v>
      </c>
      <c r="C21" s="5">
        <v>3378.99</v>
      </c>
      <c r="D21" s="6">
        <v>7.4319135675114222E-4</v>
      </c>
      <c r="E21" s="6">
        <v>2.5461036019797957E-4</v>
      </c>
    </row>
    <row r="22" spans="1:5" x14ac:dyDescent="0.25">
      <c r="A22" s="4" t="s">
        <v>279</v>
      </c>
      <c r="B22" s="4" t="s">
        <v>280</v>
      </c>
      <c r="C22" s="5">
        <v>9158</v>
      </c>
      <c r="D22" s="6">
        <v>2.0142546870890298E-3</v>
      </c>
      <c r="E22" s="6">
        <v>6.9006468758211689E-4</v>
      </c>
    </row>
    <row r="23" spans="1:5" x14ac:dyDescent="0.25">
      <c r="A23" s="4" t="s">
        <v>281</v>
      </c>
      <c r="B23" s="4" t="s">
        <v>282</v>
      </c>
      <c r="C23" s="5">
        <v>42732.789999999994</v>
      </c>
      <c r="D23" s="6">
        <v>9.3988559237706062E-3</v>
      </c>
      <c r="E23" s="6">
        <v>3.219959530559314E-3</v>
      </c>
    </row>
    <row r="24" spans="1:5" x14ac:dyDescent="0.25">
      <c r="A24" s="4" t="s">
        <v>283</v>
      </c>
      <c r="B24" s="4" t="s">
        <v>284</v>
      </c>
      <c r="C24" s="5">
        <v>34567.094599999997</v>
      </c>
      <c r="D24" s="6">
        <v>7.6028534960799182E-3</v>
      </c>
      <c r="E24" s="6">
        <v>2.6046660117679051E-3</v>
      </c>
    </row>
    <row r="25" spans="1:5" x14ac:dyDescent="0.25">
      <c r="A25" s="4" t="s">
        <v>285</v>
      </c>
      <c r="B25" s="4" t="s">
        <v>286</v>
      </c>
      <c r="C25" s="5">
        <v>10933.28</v>
      </c>
      <c r="D25" s="6">
        <v>2.4047183320874371E-3</v>
      </c>
      <c r="E25" s="6">
        <v>8.2383385536665278E-4</v>
      </c>
    </row>
    <row r="26" spans="1:5" x14ac:dyDescent="0.25">
      <c r="A26" s="4" t="s">
        <v>287</v>
      </c>
      <c r="B26" s="4" t="s">
        <v>288</v>
      </c>
      <c r="C26" s="5">
        <v>236775.55</v>
      </c>
      <c r="D26" s="6">
        <v>5.2077556385191417E-2</v>
      </c>
      <c r="E26" s="6">
        <v>1.7841280403781822E-2</v>
      </c>
    </row>
    <row r="27" spans="1:5" x14ac:dyDescent="0.25">
      <c r="A27" s="4" t="s">
        <v>289</v>
      </c>
      <c r="B27" s="4" t="s">
        <v>290</v>
      </c>
      <c r="C27" s="5">
        <v>0</v>
      </c>
      <c r="D27" s="6">
        <v>0</v>
      </c>
      <c r="E27" s="6">
        <v>0</v>
      </c>
    </row>
    <row r="28" spans="1:5" x14ac:dyDescent="0.25">
      <c r="A28" s="4" t="s">
        <v>291</v>
      </c>
      <c r="B28" s="4" t="s">
        <v>292</v>
      </c>
      <c r="C28" s="5">
        <v>11080</v>
      </c>
      <c r="D28" s="6">
        <v>2.4369886364868369E-3</v>
      </c>
      <c r="E28" s="6">
        <v>8.3488935776477994E-4</v>
      </c>
    </row>
    <row r="29" spans="1:5" x14ac:dyDescent="0.25">
      <c r="A29" s="4" t="s">
        <v>293</v>
      </c>
      <c r="B29" s="4" t="s">
        <v>294</v>
      </c>
      <c r="C29" s="5">
        <v>2420</v>
      </c>
      <c r="D29" s="6">
        <v>5.3226647114604198E-4</v>
      </c>
      <c r="E29" s="6">
        <v>1.823494806670368E-4</v>
      </c>
    </row>
    <row r="30" spans="1:5" x14ac:dyDescent="0.25">
      <c r="A30" s="4" t="s">
        <v>295</v>
      </c>
      <c r="B30" s="4" t="s">
        <v>296</v>
      </c>
      <c r="C30" s="5">
        <v>35</v>
      </c>
      <c r="D30" s="6">
        <v>7.698068797566722E-6</v>
      </c>
      <c r="E30" s="6">
        <v>2.6372858774158208E-6</v>
      </c>
    </row>
    <row r="31" spans="1:5" x14ac:dyDescent="0.25">
      <c r="A31" s="4" t="s">
        <v>297</v>
      </c>
      <c r="B31" s="4" t="s">
        <v>298</v>
      </c>
      <c r="C31" s="5">
        <v>83.88</v>
      </c>
      <c r="D31" s="6">
        <v>1.8448971735425619E-5</v>
      </c>
      <c r="E31" s="6">
        <v>6.3204439827896873E-6</v>
      </c>
    </row>
    <row r="32" spans="1:5" x14ac:dyDescent="0.25">
      <c r="A32" s="4" t="s">
        <v>299</v>
      </c>
      <c r="B32" s="4" t="s">
        <v>300</v>
      </c>
      <c r="C32" s="5">
        <v>40388.800000000003</v>
      </c>
      <c r="D32" s="6">
        <v>8.8833074586046543E-3</v>
      </c>
      <c r="E32" s="6">
        <v>3.043337481307775E-3</v>
      </c>
    </row>
    <row r="33" spans="1:5" x14ac:dyDescent="0.25">
      <c r="A33" s="4" t="s">
        <v>301</v>
      </c>
      <c r="B33" s="4" t="s">
        <v>302</v>
      </c>
      <c r="C33" s="5">
        <v>633.6</v>
      </c>
      <c r="D33" s="6">
        <v>1.3935703971823651E-4</v>
      </c>
      <c r="E33" s="6">
        <v>4.7742409483733269E-5</v>
      </c>
    </row>
    <row r="34" spans="1:5" x14ac:dyDescent="0.25">
      <c r="A34" s="4" t="s">
        <v>303</v>
      </c>
      <c r="B34" s="4" t="s">
        <v>304</v>
      </c>
      <c r="C34" s="5">
        <v>959</v>
      </c>
      <c r="D34" s="6">
        <v>2.109270850533282E-4</v>
      </c>
      <c r="E34" s="6">
        <v>7.2261633041193499E-5</v>
      </c>
    </row>
    <row r="35" spans="1:5" x14ac:dyDescent="0.25">
      <c r="A35" s="4" t="s">
        <v>305</v>
      </c>
      <c r="B35" s="4" t="s">
        <v>306</v>
      </c>
      <c r="C35" s="5">
        <v>25</v>
      </c>
      <c r="D35" s="6">
        <v>5.4986205696905162E-6</v>
      </c>
      <c r="E35" s="6">
        <v>1.883775626725587E-6</v>
      </c>
    </row>
    <row r="36" spans="1:5" x14ac:dyDescent="0.25">
      <c r="A36" s="4" t="s">
        <v>307</v>
      </c>
      <c r="B36" s="4" t="s">
        <v>308</v>
      </c>
      <c r="C36" s="5">
        <v>425</v>
      </c>
      <c r="D36" s="6">
        <v>9.3476549684738778E-5</v>
      </c>
      <c r="E36" s="6">
        <v>3.2024185654334967E-5</v>
      </c>
    </row>
    <row r="37" spans="1:5" x14ac:dyDescent="0.25">
      <c r="A37" s="4" t="s">
        <v>309</v>
      </c>
      <c r="B37" s="4" t="s">
        <v>310</v>
      </c>
      <c r="C37" s="5">
        <v>7686.6</v>
      </c>
      <c r="D37" s="6">
        <v>1.690627874839325E-3</v>
      </c>
      <c r="E37" s="6">
        <v>5.7919318929555577E-4</v>
      </c>
    </row>
    <row r="38" spans="1:5" x14ac:dyDescent="0.25">
      <c r="A38" s="4" t="s">
        <v>311</v>
      </c>
      <c r="B38" s="4" t="s">
        <v>312</v>
      </c>
      <c r="C38" s="5">
        <v>6446.51</v>
      </c>
      <c r="D38" s="6">
        <v>1.417876499548624E-3</v>
      </c>
      <c r="E38" s="6">
        <v>4.857511366177104E-4</v>
      </c>
    </row>
    <row r="39" spans="1:5" x14ac:dyDescent="0.25">
      <c r="A39" s="4" t="s">
        <v>313</v>
      </c>
      <c r="B39" s="4" t="s">
        <v>314</v>
      </c>
      <c r="C39" s="5">
        <v>10</v>
      </c>
      <c r="D39" s="6">
        <v>2.1994482278762071E-6</v>
      </c>
      <c r="E39" s="6">
        <v>7.5351025069023464E-7</v>
      </c>
    </row>
    <row r="40" spans="1:5" x14ac:dyDescent="0.25">
      <c r="A40" s="4" t="s">
        <v>315</v>
      </c>
      <c r="B40" s="4" t="s">
        <v>316</v>
      </c>
      <c r="C40" s="5">
        <v>3609.9133999999999</v>
      </c>
      <c r="D40" s="6">
        <v>7.9398176304165712E-4</v>
      </c>
      <c r="E40" s="6">
        <v>2.7201067510040369E-4</v>
      </c>
    </row>
    <row r="41" spans="1:5" x14ac:dyDescent="0.25">
      <c r="A41" s="4" t="s">
        <v>317</v>
      </c>
      <c r="B41" s="4" t="s">
        <v>318</v>
      </c>
      <c r="C41" s="5">
        <v>8066.8654999999999</v>
      </c>
      <c r="D41" s="6">
        <v>1.774265302849071E-3</v>
      </c>
      <c r="E41" s="6">
        <v>6.0784658451894051E-4</v>
      </c>
    </row>
    <row r="42" spans="1:5" x14ac:dyDescent="0.25">
      <c r="A42" s="4" t="s">
        <v>319</v>
      </c>
      <c r="B42" s="4" t="s">
        <v>320</v>
      </c>
      <c r="C42" s="5">
        <v>18099.689399999999</v>
      </c>
      <c r="D42" s="6">
        <v>3.9809329775939758E-3</v>
      </c>
      <c r="E42" s="6">
        <v>1.363830149720938E-3</v>
      </c>
    </row>
    <row r="43" spans="1:5" x14ac:dyDescent="0.25">
      <c r="A43" s="4" t="s">
        <v>321</v>
      </c>
      <c r="B43" s="4" t="s">
        <v>322</v>
      </c>
      <c r="C43" s="5">
        <v>9968.4243000000024</v>
      </c>
      <c r="D43" s="6">
        <v>2.1925033161353121E-3</v>
      </c>
      <c r="E43" s="6">
        <v>7.511309893279629E-4</v>
      </c>
    </row>
    <row r="44" spans="1:5" x14ac:dyDescent="0.25">
      <c r="A44" s="4" t="s">
        <v>323</v>
      </c>
      <c r="B44" s="4" t="s">
        <v>324</v>
      </c>
      <c r="C44" s="5">
        <v>7.34</v>
      </c>
      <c r="D44" s="6">
        <v>1.6143949992611359E-6</v>
      </c>
      <c r="E44" s="6">
        <v>5.5307652400663218E-7</v>
      </c>
    </row>
    <row r="45" spans="1:5" x14ac:dyDescent="0.25">
      <c r="A45" s="4" t="s">
        <v>325</v>
      </c>
      <c r="B45" s="4" t="s">
        <v>326</v>
      </c>
      <c r="C45" s="5">
        <v>2187.38</v>
      </c>
      <c r="D45" s="6">
        <v>4.811029064691857E-4</v>
      </c>
      <c r="E45" s="6">
        <v>1.6482132521548049E-4</v>
      </c>
    </row>
    <row r="46" spans="1:5" x14ac:dyDescent="0.25">
      <c r="A46" s="4" t="s">
        <v>327</v>
      </c>
      <c r="B46" s="4" t="s">
        <v>328</v>
      </c>
      <c r="C46" s="5">
        <v>54650.31</v>
      </c>
      <c r="D46" s="6">
        <v>1.202005274823853E-2</v>
      </c>
      <c r="E46" s="6">
        <v>4.1179568788399044E-3</v>
      </c>
    </row>
    <row r="47" spans="1:5" x14ac:dyDescent="0.25">
      <c r="A47" s="4" t="s">
        <v>329</v>
      </c>
      <c r="B47" s="4" t="s">
        <v>330</v>
      </c>
      <c r="C47" s="5">
        <v>6822.26</v>
      </c>
      <c r="D47" s="6">
        <v>1.5005207667110731E-3</v>
      </c>
      <c r="E47" s="6">
        <v>5.1406428428739598E-4</v>
      </c>
    </row>
    <row r="48" spans="1:5" x14ac:dyDescent="0.25">
      <c r="A48" s="4" t="s">
        <v>331</v>
      </c>
      <c r="B48" s="4" t="s">
        <v>332</v>
      </c>
      <c r="C48" s="5">
        <v>13687.91</v>
      </c>
      <c r="D48" s="6">
        <v>3.0105849392829012E-3</v>
      </c>
      <c r="E48" s="6">
        <v>1.031398049552537E-3</v>
      </c>
    </row>
    <row r="49" spans="1:5" x14ac:dyDescent="0.25">
      <c r="A49" s="4" t="s">
        <v>333</v>
      </c>
      <c r="B49" s="4" t="s">
        <v>334</v>
      </c>
      <c r="C49" s="5">
        <v>675</v>
      </c>
      <c r="D49" s="6">
        <v>1.484627553816439E-4</v>
      </c>
      <c r="E49" s="6">
        <v>5.0861941921590827E-5</v>
      </c>
    </row>
    <row r="50" spans="1:5" x14ac:dyDescent="0.25">
      <c r="A50" s="4" t="s">
        <v>335</v>
      </c>
      <c r="B50" s="4" t="s">
        <v>336</v>
      </c>
      <c r="C50" s="5">
        <v>9692.3700000000008</v>
      </c>
      <c r="D50" s="6">
        <v>2.1317866020420509E-3</v>
      </c>
      <c r="E50" s="6">
        <v>7.3033001484825095E-4</v>
      </c>
    </row>
    <row r="51" spans="1:5" x14ac:dyDescent="0.25">
      <c r="A51" s="4" t="s">
        <v>337</v>
      </c>
      <c r="B51" s="4" t="s">
        <v>338</v>
      </c>
      <c r="C51" s="5">
        <v>27415.119999999999</v>
      </c>
      <c r="D51" s="6">
        <v>6.0298137101013546E-3</v>
      </c>
      <c r="E51" s="6">
        <v>2.065757394390287E-3</v>
      </c>
    </row>
    <row r="52" spans="1:5" x14ac:dyDescent="0.25">
      <c r="A52" s="4" t="s">
        <v>339</v>
      </c>
      <c r="B52" s="4" t="s">
        <v>340</v>
      </c>
      <c r="C52" s="5">
        <v>409.77</v>
      </c>
      <c r="D52" s="6">
        <v>9.0126790033683314E-5</v>
      </c>
      <c r="E52" s="6">
        <v>3.0876589542533742E-5</v>
      </c>
    </row>
    <row r="53" spans="1:5" x14ac:dyDescent="0.25">
      <c r="A53" s="4" t="s">
        <v>341</v>
      </c>
      <c r="B53" s="4" t="s">
        <v>342</v>
      </c>
      <c r="C53" s="5">
        <v>104.77</v>
      </c>
      <c r="D53" s="6">
        <v>2.304361908345902E-5</v>
      </c>
      <c r="E53" s="6">
        <v>7.8945268964815888E-6</v>
      </c>
    </row>
    <row r="54" spans="1:5" x14ac:dyDescent="0.25">
      <c r="A54" s="4" t="s">
        <v>343</v>
      </c>
      <c r="B54" s="4" t="s">
        <v>344</v>
      </c>
      <c r="C54" s="5">
        <v>15893.48</v>
      </c>
      <c r="D54" s="6">
        <v>3.495688642078592E-3</v>
      </c>
      <c r="E54" s="6">
        <v>1.1975900099140231E-3</v>
      </c>
    </row>
    <row r="55" spans="1:5" x14ac:dyDescent="0.25">
      <c r="A55" s="4" t="s">
        <v>345</v>
      </c>
      <c r="B55" s="4" t="s">
        <v>346</v>
      </c>
      <c r="C55" s="5">
        <v>199.29</v>
      </c>
      <c r="D55" s="6">
        <v>4.3832803733344917E-5</v>
      </c>
      <c r="E55" s="6">
        <v>1.5016705786005691E-5</v>
      </c>
    </row>
    <row r="56" spans="1:5" x14ac:dyDescent="0.25">
      <c r="A56" s="4" t="s">
        <v>347</v>
      </c>
      <c r="B56" s="4" t="s">
        <v>348</v>
      </c>
      <c r="C56" s="5">
        <v>8500.93</v>
      </c>
      <c r="D56" s="6">
        <v>1.869735542379968E-3</v>
      </c>
      <c r="E56" s="6">
        <v>6.4055378954001364E-4</v>
      </c>
    </row>
    <row r="57" spans="1:5" x14ac:dyDescent="0.25">
      <c r="A57" s="4" t="s">
        <v>349</v>
      </c>
      <c r="B57" s="4" t="s">
        <v>350</v>
      </c>
      <c r="C57" s="5">
        <v>31396.48</v>
      </c>
      <c r="D57" s="6">
        <v>6.9054932297550756E-3</v>
      </c>
      <c r="E57" s="6">
        <v>2.3657569515590942E-3</v>
      </c>
    </row>
    <row r="58" spans="1:5" x14ac:dyDescent="0.25">
      <c r="A58" s="4" t="s">
        <v>351</v>
      </c>
      <c r="B58" s="4" t="s">
        <v>352</v>
      </c>
      <c r="C58" s="5">
        <v>6792.6999999999989</v>
      </c>
      <c r="D58" s="6">
        <v>1.494019197749471E-3</v>
      </c>
      <c r="E58" s="6">
        <v>5.1183690798635559E-4</v>
      </c>
    </row>
    <row r="59" spans="1:5" x14ac:dyDescent="0.25">
      <c r="A59" s="4" t="s">
        <v>353</v>
      </c>
      <c r="B59" s="4" t="s">
        <v>354</v>
      </c>
      <c r="C59" s="5">
        <v>7502.69</v>
      </c>
      <c r="D59" s="6">
        <v>1.650177822480454E-3</v>
      </c>
      <c r="E59" s="6">
        <v>5.6533538227511167E-4</v>
      </c>
    </row>
    <row r="60" spans="1:5" x14ac:dyDescent="0.25">
      <c r="A60" s="4" t="s">
        <v>355</v>
      </c>
      <c r="B60" s="4" t="s">
        <v>356</v>
      </c>
      <c r="C60" s="5">
        <v>19260.28</v>
      </c>
      <c r="D60" s="6">
        <v>4.2361988714399541E-3</v>
      </c>
      <c r="E60" s="6">
        <v>1.4512818411164109E-3</v>
      </c>
    </row>
    <row r="61" spans="1:5" x14ac:dyDescent="0.25">
      <c r="A61" s="4" t="s">
        <v>357</v>
      </c>
      <c r="B61" s="4" t="s">
        <v>358</v>
      </c>
      <c r="C61" s="5">
        <v>585.2758</v>
      </c>
      <c r="D61" s="6">
        <v>1.2872838211288291E-4</v>
      </c>
      <c r="E61" s="6">
        <v>4.410113147809276E-5</v>
      </c>
    </row>
    <row r="62" spans="1:5" x14ac:dyDescent="0.25">
      <c r="A62" s="4" t="s">
        <v>359</v>
      </c>
      <c r="B62" s="4" t="s">
        <v>360</v>
      </c>
      <c r="C62" s="5">
        <v>4039.23</v>
      </c>
      <c r="D62" s="6">
        <v>8.8840772654844101E-4</v>
      </c>
      <c r="E62" s="6">
        <v>3.043601209895516E-4</v>
      </c>
    </row>
    <row r="63" spans="1:5" x14ac:dyDescent="0.25">
      <c r="A63" s="4" t="s">
        <v>361</v>
      </c>
      <c r="B63" s="4" t="s">
        <v>362</v>
      </c>
      <c r="C63" s="5">
        <v>1015.35</v>
      </c>
      <c r="D63" s="6">
        <v>2.233209758174106E-4</v>
      </c>
      <c r="E63" s="6">
        <v>7.650766330383298E-5</v>
      </c>
    </row>
    <row r="64" spans="1:5" x14ac:dyDescent="0.25">
      <c r="A64" s="4" t="s">
        <v>363</v>
      </c>
      <c r="B64" s="4" t="s">
        <v>364</v>
      </c>
      <c r="C64" s="5">
        <v>3823.99</v>
      </c>
      <c r="D64" s="6">
        <v>8.4106680289163351E-4</v>
      </c>
      <c r="E64" s="6">
        <v>2.8814156635369512E-4</v>
      </c>
    </row>
    <row r="65" spans="1:5" x14ac:dyDescent="0.25">
      <c r="A65" s="4" t="s">
        <v>365</v>
      </c>
      <c r="B65" s="4" t="s">
        <v>366</v>
      </c>
      <c r="C65" s="5">
        <v>98479.56720000002</v>
      </c>
      <c r="D65" s="6">
        <v>2.166007095600558E-2</v>
      </c>
      <c r="E65" s="6">
        <v>7.4205363368737816E-3</v>
      </c>
    </row>
    <row r="66" spans="1:5" x14ac:dyDescent="0.25">
      <c r="A66" s="4" t="s">
        <v>367</v>
      </c>
      <c r="B66" s="4" t="s">
        <v>368</v>
      </c>
      <c r="C66" s="5">
        <v>2548.87</v>
      </c>
      <c r="D66" s="6">
        <v>5.6061076045868258E-4</v>
      </c>
      <c r="E66" s="6">
        <v>1.9205996726768179E-4</v>
      </c>
    </row>
    <row r="67" spans="1:5" x14ac:dyDescent="0.25">
      <c r="A67" s="4" t="s">
        <v>369</v>
      </c>
      <c r="B67" s="4" t="s">
        <v>370</v>
      </c>
      <c r="C67" s="5">
        <v>4647.7396999999992</v>
      </c>
      <c r="D67" s="6">
        <v>1.0222462846794891E-3</v>
      </c>
      <c r="E67" s="6">
        <v>3.5021195064899552E-4</v>
      </c>
    </row>
    <row r="68" spans="1:5" x14ac:dyDescent="0.25">
      <c r="A68" s="4" t="s">
        <v>371</v>
      </c>
      <c r="B68" s="4" t="s">
        <v>372</v>
      </c>
      <c r="C68" s="5">
        <v>63772.644999999997</v>
      </c>
      <c r="D68" s="6">
        <v>1.4026463103222839E-2</v>
      </c>
      <c r="E68" s="6">
        <v>4.8053341721129338E-3</v>
      </c>
    </row>
    <row r="69" spans="1:5" x14ac:dyDescent="0.25">
      <c r="A69" s="4" t="s">
        <v>373</v>
      </c>
      <c r="B69" s="4" t="s">
        <v>374</v>
      </c>
      <c r="C69" s="5">
        <v>432.21</v>
      </c>
      <c r="D69" s="6">
        <v>9.506235185703753E-5</v>
      </c>
      <c r="E69" s="6">
        <v>3.2567466545082632E-5</v>
      </c>
    </row>
    <row r="70" spans="1:5" x14ac:dyDescent="0.25">
      <c r="A70" s="4" t="s">
        <v>375</v>
      </c>
      <c r="B70" s="4" t="s">
        <v>376</v>
      </c>
      <c r="C70" s="5">
        <v>0</v>
      </c>
      <c r="D70" s="6">
        <v>0</v>
      </c>
      <c r="E70" s="6">
        <v>0</v>
      </c>
    </row>
    <row r="71" spans="1:5" x14ac:dyDescent="0.25">
      <c r="A71" s="4" t="s">
        <v>377</v>
      </c>
      <c r="B71" s="4" t="s">
        <v>378</v>
      </c>
      <c r="C71" s="5">
        <v>4722.2222000000002</v>
      </c>
      <c r="D71" s="6">
        <v>1.038628324942768E-3</v>
      </c>
      <c r="E71" s="6">
        <v>3.5582428337369921E-4</v>
      </c>
    </row>
    <row r="72" spans="1:5" x14ac:dyDescent="0.25">
      <c r="A72" s="4" t="s">
        <v>379</v>
      </c>
      <c r="B72" s="4" t="s">
        <v>380</v>
      </c>
      <c r="C72" s="5">
        <v>-2825.7550999999999</v>
      </c>
      <c r="D72" s="6">
        <v>-6.2151020471071521E-4</v>
      </c>
      <c r="E72" s="6">
        <v>-2.129235433790209E-4</v>
      </c>
    </row>
    <row r="73" spans="1:5" x14ac:dyDescent="0.25">
      <c r="A73" s="4" t="s">
        <v>381</v>
      </c>
      <c r="B73" s="4" t="s">
        <v>382</v>
      </c>
      <c r="C73" s="5">
        <v>4202.3829999999998</v>
      </c>
      <c r="D73" s="6">
        <v>9.2429238422070956E-4</v>
      </c>
      <c r="E73" s="6">
        <v>3.1665386678263798E-4</v>
      </c>
    </row>
    <row r="74" spans="1:5" x14ac:dyDescent="0.25">
      <c r="A74" s="4" t="s">
        <v>383</v>
      </c>
      <c r="B74" s="4" t="s">
        <v>384</v>
      </c>
      <c r="C74" s="5">
        <v>-3100</v>
      </c>
      <c r="D74" s="6">
        <v>-6.8182895064162401E-4</v>
      </c>
      <c r="E74" s="6">
        <v>-2.335881777139727E-4</v>
      </c>
    </row>
    <row r="75" spans="1:5" x14ac:dyDescent="0.25">
      <c r="A75" s="4" t="s">
        <v>385</v>
      </c>
      <c r="B75" s="4" t="s">
        <v>386</v>
      </c>
      <c r="C75" s="5">
        <v>-70.0300000000002</v>
      </c>
      <c r="D75" s="6">
        <v>-1.5402735939817119E-5</v>
      </c>
      <c r="E75" s="6">
        <v>-5.2768322855837278E-6</v>
      </c>
    </row>
    <row r="76" spans="1:5" x14ac:dyDescent="0.25">
      <c r="A76" s="4" t="s">
        <v>387</v>
      </c>
      <c r="B76" s="4" t="s">
        <v>388</v>
      </c>
      <c r="C76" s="5">
        <v>56748.536500000002</v>
      </c>
      <c r="D76" s="6">
        <v>1.248154680394932E-2</v>
      </c>
      <c r="E76" s="6">
        <v>4.2760603964418931E-3</v>
      </c>
    </row>
    <row r="77" spans="1:5" x14ac:dyDescent="0.25">
      <c r="A77" s="4" t="s">
        <v>389</v>
      </c>
      <c r="B77" s="4" t="s">
        <v>390</v>
      </c>
      <c r="C77" s="5">
        <v>48690.600000000013</v>
      </c>
      <c r="D77" s="6">
        <v>1.070924538842292E-2</v>
      </c>
      <c r="E77" s="6">
        <v>3.668886621225794E-3</v>
      </c>
    </row>
    <row r="78" spans="1:5" x14ac:dyDescent="0.25">
      <c r="A78" s="4" t="s">
        <v>391</v>
      </c>
      <c r="B78" s="4" t="s">
        <v>392</v>
      </c>
      <c r="C78" s="5">
        <v>500571.19</v>
      </c>
      <c r="D78" s="6">
        <v>0.11009804167713839</v>
      </c>
      <c r="E78" s="6">
        <v>3.7718552286520907E-2</v>
      </c>
    </row>
    <row r="79" spans="1:5" x14ac:dyDescent="0.25">
      <c r="A79" s="4" t="s">
        <v>393</v>
      </c>
      <c r="B79" s="4" t="s">
        <v>394</v>
      </c>
      <c r="C79" s="5">
        <v>10133.280500000001</v>
      </c>
      <c r="D79" s="6">
        <v>2.2287625838297519E-3</v>
      </c>
      <c r="E79" s="6">
        <v>7.6355307298694671E-4</v>
      </c>
    </row>
    <row r="80" spans="1:5" x14ac:dyDescent="0.25">
      <c r="A80" s="4" t="s">
        <v>395</v>
      </c>
      <c r="B80" s="4" t="s">
        <v>396</v>
      </c>
      <c r="C80" s="5">
        <v>4606.9049999999997</v>
      </c>
      <c r="D80" s="6">
        <v>1.013264903824403E-3</v>
      </c>
      <c r="E80" s="6">
        <v>3.4713501414560948E-4</v>
      </c>
    </row>
    <row r="81" spans="1:5" x14ac:dyDescent="0.25">
      <c r="A81" s="4" t="s">
        <v>397</v>
      </c>
      <c r="B81" s="4" t="s">
        <v>398</v>
      </c>
      <c r="C81" s="5">
        <v>6.25E-2</v>
      </c>
      <c r="D81" s="6">
        <v>1.374655142422629E-8</v>
      </c>
      <c r="E81" s="6">
        <v>4.7094390668139667E-9</v>
      </c>
    </row>
    <row r="82" spans="1:5" x14ac:dyDescent="0.25">
      <c r="A82" s="4" t="s">
        <v>399</v>
      </c>
      <c r="B82" s="4" t="s">
        <v>400</v>
      </c>
      <c r="C82" s="5">
        <v>57637.969999999987</v>
      </c>
      <c r="D82" s="6">
        <v>1.2677173097488189E-2</v>
      </c>
      <c r="E82" s="6">
        <v>4.3430801223976216E-3</v>
      </c>
    </row>
    <row r="83" spans="1:5" x14ac:dyDescent="0.25">
      <c r="A83" s="4" t="s">
        <v>401</v>
      </c>
      <c r="B83" s="4" t="s">
        <v>402</v>
      </c>
      <c r="C83" s="5">
        <v>27169.359199999999</v>
      </c>
      <c r="D83" s="6">
        <v>5.9757598944972096E-3</v>
      </c>
      <c r="E83" s="6">
        <v>2.0472390661885032E-3</v>
      </c>
    </row>
    <row r="84" spans="1:5" x14ac:dyDescent="0.25">
      <c r="A84" s="4" t="s">
        <v>403</v>
      </c>
      <c r="B84" s="4" t="s">
        <v>404</v>
      </c>
      <c r="C84" s="5">
        <v>54250.39239999999</v>
      </c>
      <c r="D84" s="6">
        <v>1.1932092942576879E-2</v>
      </c>
      <c r="E84" s="6">
        <v>4.0878226777367596E-3</v>
      </c>
    </row>
    <row r="85" spans="1:5" x14ac:dyDescent="0.25">
      <c r="A85" s="4" t="s">
        <v>405</v>
      </c>
      <c r="B85" s="4" t="s">
        <v>406</v>
      </c>
      <c r="C85" s="5">
        <v>485.62</v>
      </c>
      <c r="D85" s="6">
        <v>1.068096048421243E-4</v>
      </c>
      <c r="E85" s="6">
        <v>3.6591964794019167E-5</v>
      </c>
    </row>
    <row r="86" spans="1:5" x14ac:dyDescent="0.25">
      <c r="A86" s="4" t="s">
        <v>407</v>
      </c>
      <c r="B86" s="4" t="s">
        <v>408</v>
      </c>
      <c r="C86" s="5">
        <v>16151.2536</v>
      </c>
      <c r="D86" s="6">
        <v>3.5523846108499201E-3</v>
      </c>
      <c r="E86" s="6">
        <v>1.2170135149097551E-3</v>
      </c>
    </row>
    <row r="87" spans="1:5" x14ac:dyDescent="0.25">
      <c r="A87" s="4" t="s">
        <v>409</v>
      </c>
      <c r="B87" s="4" t="s">
        <v>410</v>
      </c>
      <c r="C87" s="5">
        <v>55382.617200000008</v>
      </c>
      <c r="D87" s="6">
        <v>1.2181119925568629E-2</v>
      </c>
      <c r="E87" s="6">
        <v>4.1731369770253296E-3</v>
      </c>
    </row>
    <row r="88" spans="1:5" x14ac:dyDescent="0.25">
      <c r="A88" s="4" t="s">
        <v>411</v>
      </c>
      <c r="B88" s="4" t="s">
        <v>412</v>
      </c>
      <c r="C88" s="5">
        <v>8092.77</v>
      </c>
      <c r="D88" s="6">
        <v>1.779962863510973E-3</v>
      </c>
      <c r="E88" s="6">
        <v>6.0979851514784099E-4</v>
      </c>
    </row>
    <row r="89" spans="1:5" x14ac:dyDescent="0.25">
      <c r="A89" s="4" t="s">
        <v>413</v>
      </c>
      <c r="B89" s="4" t="s">
        <v>414</v>
      </c>
      <c r="C89" s="5">
        <v>34.729999999999997</v>
      </c>
      <c r="D89" s="6">
        <v>7.6386836954140653E-6</v>
      </c>
      <c r="E89" s="6">
        <v>2.6169411006471852E-6</v>
      </c>
    </row>
    <row r="90" spans="1:5" x14ac:dyDescent="0.25">
      <c r="A90" s="4" t="s">
        <v>415</v>
      </c>
      <c r="B90" s="4" t="s">
        <v>416</v>
      </c>
      <c r="C90" s="5">
        <v>84.53</v>
      </c>
      <c r="D90" s="6">
        <v>1.859193587023757E-5</v>
      </c>
      <c r="E90" s="6">
        <v>6.3694221490845544E-6</v>
      </c>
    </row>
    <row r="91" spans="1:5" x14ac:dyDescent="0.25">
      <c r="A91" s="4" t="s">
        <v>417</v>
      </c>
      <c r="B91" s="4" t="s">
        <v>418</v>
      </c>
      <c r="C91" s="5">
        <v>520.70000000000005</v>
      </c>
      <c r="D91" s="6">
        <v>1.1452526922551409E-4</v>
      </c>
      <c r="E91" s="6">
        <v>3.9235278753440523E-5</v>
      </c>
    </row>
    <row r="92" spans="1:5" x14ac:dyDescent="0.25">
      <c r="A92" s="4" t="s">
        <v>419</v>
      </c>
      <c r="B92" s="4" t="s">
        <v>420</v>
      </c>
      <c r="C92" s="5">
        <v>1359584.9927999999</v>
      </c>
      <c r="D92" s="6">
        <v>0.29903368030610461</v>
      </c>
      <c r="E92" s="6">
        <v>0.1024461228759409</v>
      </c>
    </row>
    <row r="93" spans="1:5" x14ac:dyDescent="0.25">
      <c r="A93" s="4" t="s">
        <v>421</v>
      </c>
      <c r="B93" s="4" t="s">
        <v>422</v>
      </c>
      <c r="C93" s="5">
        <v>3706.64</v>
      </c>
      <c r="D93" s="6">
        <v>8.1525627793750622E-4</v>
      </c>
      <c r="E93" s="6">
        <v>2.7929912356184511E-4</v>
      </c>
    </row>
    <row r="94" spans="1:5" x14ac:dyDescent="0.25">
      <c r="A94" s="4" t="s">
        <v>423</v>
      </c>
      <c r="B94" s="4" t="s">
        <v>424</v>
      </c>
      <c r="C94" s="5">
        <v>7769.3539999999994</v>
      </c>
      <c r="D94" s="6">
        <v>1.708829188704292E-3</v>
      </c>
      <c r="E94" s="6">
        <v>5.8542878802411767E-4</v>
      </c>
    </row>
    <row r="95" spans="1:5" x14ac:dyDescent="0.25">
      <c r="A95" s="4" t="s">
        <v>425</v>
      </c>
      <c r="B95" s="4" t="s">
        <v>426</v>
      </c>
      <c r="C95" s="5">
        <v>26679.3092</v>
      </c>
      <c r="D95" s="6">
        <v>5.8679759340901361E-3</v>
      </c>
      <c r="E95" s="6">
        <v>2.010313296353428E-3</v>
      </c>
    </row>
    <row r="96" spans="1:5" x14ac:dyDescent="0.25">
      <c r="A96" s="4" t="s">
        <v>427</v>
      </c>
      <c r="B96" s="4" t="s">
        <v>428</v>
      </c>
      <c r="C96" s="5">
        <v>82.84</v>
      </c>
      <c r="D96" s="6">
        <v>1.8220229119726499E-5</v>
      </c>
      <c r="E96" s="6">
        <v>6.2420789167179037E-6</v>
      </c>
    </row>
    <row r="97" spans="1:5" x14ac:dyDescent="0.25">
      <c r="A97" s="4" t="s">
        <v>429</v>
      </c>
      <c r="B97" s="4" t="s">
        <v>430</v>
      </c>
      <c r="C97" s="5">
        <v>4400.4516999999996</v>
      </c>
      <c r="D97" s="6">
        <v>9.6785656934198394E-4</v>
      </c>
      <c r="E97" s="6">
        <v>3.3157854636172693E-4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0.7109375" customWidth="1"/>
    <col min="2" max="2" width="60.7109375" customWidth="1"/>
    <col min="3" max="4" width="30.7109375" customWidth="1"/>
  </cols>
  <sheetData>
    <row r="1" spans="1:4" ht="15.75" x14ac:dyDescent="0.25">
      <c r="A1" s="1" t="s">
        <v>13</v>
      </c>
      <c r="B1" s="1" t="s">
        <v>14</v>
      </c>
      <c r="C1" s="1" t="s">
        <v>15</v>
      </c>
      <c r="D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Estado de Resultados</vt:lpstr>
      <vt:lpstr>Ingresos de Operacion</vt:lpstr>
      <vt:lpstr>Costo de Ingresos</vt:lpstr>
      <vt:lpstr>Otros Ingresos</vt:lpstr>
      <vt:lpstr>Gastos</vt:lpstr>
      <vt:lpstr>Depreciacion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vvivascanguro@outlook.com</cp:lastModifiedBy>
  <dcterms:created xsi:type="dcterms:W3CDTF">2026-08-10T19:09:00Z</dcterms:created>
  <dcterms:modified xsi:type="dcterms:W3CDTF">2026-08-10T19:16:46Z</dcterms:modified>
</cp:coreProperties>
</file>