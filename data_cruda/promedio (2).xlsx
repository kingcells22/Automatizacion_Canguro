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elle Valentina\Documents\"/>
    </mc:Choice>
  </mc:AlternateContent>
  <xr:revisionPtr revIDLastSave="0" documentId="13_ncr:1_{68062BB3-E35A-4E6A-8795-2796708505BB}" xr6:coauthVersionLast="47" xr6:coauthVersionMax="47" xr10:uidLastSave="{00000000-0000-0000-0000-000000000000}"/>
  <bookViews>
    <workbookView xWindow="-110" yWindow="-110" windowWidth="19420" windowHeight="10420" firstSheet="1" activeTab="1" xr2:uid="{D0E9131F-08E9-4FD4-A97A-98E9794C3054}"/>
  </bookViews>
  <sheets>
    <sheet name="Hoja1" sheetId="1" state="hidden" r:id="rId1"/>
    <sheet name="Gastos %" sheetId="4" r:id="rId2"/>
    <sheet name="Hoja 4 i" sheetId="5" state="hidden" r:id="rId3"/>
    <sheet name="Ingresos %" sheetId="6" r:id="rId4"/>
    <sheet name="Costos %" sheetId="7" r:id="rId5"/>
  </sheets>
  <definedNames>
    <definedName name="_xlnm._FilterDatabase" localSheetId="1" hidden="1">'Gastos %'!$E$3:$V$130</definedName>
    <definedName name="_xlnm._FilterDatabase" localSheetId="0" hidden="1">Hoja1!$N$1:$N$1000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55" i="7" l="1"/>
  <c r="R55" i="7"/>
  <c r="P55" i="7"/>
  <c r="N55" i="7"/>
  <c r="L55" i="7"/>
  <c r="J55" i="7"/>
  <c r="H55" i="7"/>
  <c r="F55" i="7"/>
  <c r="D55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3" i="7"/>
  <c r="R4" i="6"/>
  <c r="S4" i="6" s="1"/>
  <c r="R5" i="6"/>
  <c r="S5" i="6" s="1"/>
  <c r="R6" i="6"/>
  <c r="S6" i="6" s="1"/>
  <c r="R7" i="6"/>
  <c r="S7" i="6" s="1"/>
  <c r="R8" i="6"/>
  <c r="S8" i="6" s="1"/>
  <c r="R9" i="6"/>
  <c r="S9" i="6" s="1"/>
  <c r="R10" i="6"/>
  <c r="S10" i="6" s="1"/>
  <c r="R11" i="6"/>
  <c r="S11" i="6" s="1"/>
  <c r="R12" i="6"/>
  <c r="S12" i="6" s="1"/>
  <c r="R13" i="6"/>
  <c r="S13" i="6" s="1"/>
  <c r="R14" i="6"/>
  <c r="S14" i="6" s="1"/>
  <c r="R15" i="6"/>
  <c r="S15" i="6" s="1"/>
  <c r="R16" i="6"/>
  <c r="S16" i="6" s="1"/>
  <c r="R17" i="6"/>
  <c r="S17" i="6" s="1"/>
  <c r="R18" i="6"/>
  <c r="S18" i="6" s="1"/>
  <c r="R19" i="6"/>
  <c r="S19" i="6" s="1"/>
  <c r="R20" i="6"/>
  <c r="S20" i="6" s="1"/>
  <c r="R21" i="6"/>
  <c r="S21" i="6" s="1"/>
  <c r="R22" i="6"/>
  <c r="S22" i="6" s="1"/>
  <c r="R23" i="6"/>
  <c r="S23" i="6" s="1"/>
  <c r="R24" i="6"/>
  <c r="S24" i="6" s="1"/>
  <c r="R25" i="6"/>
  <c r="S25" i="6" s="1"/>
  <c r="R26" i="6"/>
  <c r="S26" i="6" s="1"/>
  <c r="R27" i="6"/>
  <c r="S27" i="6" s="1"/>
  <c r="R28" i="6"/>
  <c r="S28" i="6" s="1"/>
  <c r="R29" i="6"/>
  <c r="S29" i="6" s="1"/>
  <c r="R30" i="6"/>
  <c r="S30" i="6" s="1"/>
  <c r="R31" i="6"/>
  <c r="S31" i="6" s="1"/>
  <c r="R32" i="6"/>
  <c r="S32" i="6" s="1"/>
  <c r="R33" i="6"/>
  <c r="S33" i="6" s="1"/>
  <c r="R34" i="6"/>
  <c r="S34" i="6" s="1"/>
  <c r="R35" i="6"/>
  <c r="S35" i="6" s="1"/>
  <c r="R36" i="6"/>
  <c r="S36" i="6" s="1"/>
  <c r="R37" i="6"/>
  <c r="S37" i="6" s="1"/>
  <c r="R38" i="6"/>
  <c r="S38" i="6" s="1"/>
  <c r="R39" i="6"/>
  <c r="S39" i="6" s="1"/>
  <c r="R40" i="6"/>
  <c r="S40" i="6" s="1"/>
  <c r="R41" i="6"/>
  <c r="S41" i="6" s="1"/>
  <c r="R42" i="6"/>
  <c r="S42" i="6" s="1"/>
  <c r="R43" i="6"/>
  <c r="S43" i="6" s="1"/>
  <c r="R44" i="6"/>
  <c r="S44" i="6" s="1"/>
  <c r="R45" i="6"/>
  <c r="S45" i="6" s="1"/>
  <c r="R46" i="6"/>
  <c r="S46" i="6" s="1"/>
  <c r="R47" i="6"/>
  <c r="S47" i="6" s="1"/>
  <c r="R48" i="6"/>
  <c r="S48" i="6" s="1"/>
  <c r="R49" i="6"/>
  <c r="S49" i="6" s="1"/>
  <c r="R50" i="6"/>
  <c r="S50" i="6" s="1"/>
  <c r="R51" i="6"/>
  <c r="S51" i="6" s="1"/>
  <c r="R52" i="6"/>
  <c r="S52" i="6" s="1"/>
  <c r="R53" i="6"/>
  <c r="S53" i="6" s="1"/>
  <c r="R54" i="6"/>
  <c r="S54" i="6" s="1"/>
  <c r="R55" i="6"/>
  <c r="S55" i="6" s="1"/>
  <c r="R56" i="6"/>
  <c r="S56" i="6" s="1"/>
  <c r="R57" i="6"/>
  <c r="S57" i="6" s="1"/>
  <c r="R58" i="6"/>
  <c r="S58" i="6" s="1"/>
  <c r="R59" i="6"/>
  <c r="S59" i="6" s="1"/>
  <c r="R60" i="6"/>
  <c r="S60" i="6" s="1"/>
  <c r="R61" i="6"/>
  <c r="S61" i="6" s="1"/>
  <c r="R62" i="6"/>
  <c r="S62" i="6" s="1"/>
  <c r="R3" i="6"/>
  <c r="S3" i="6" s="1"/>
  <c r="S131" i="4"/>
  <c r="Q131" i="4"/>
  <c r="O131" i="4"/>
  <c r="N131" i="4"/>
  <c r="M131" i="4"/>
  <c r="K131" i="4"/>
  <c r="I131" i="4"/>
  <c r="G131" i="4"/>
  <c r="E131" i="4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60" i="5"/>
  <c r="S61" i="5"/>
  <c r="S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60" i="5"/>
  <c r="Q61" i="5"/>
  <c r="Q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60" i="5"/>
  <c r="O61" i="5"/>
  <c r="O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9" i="5"/>
  <c r="I34" i="5"/>
  <c r="I38" i="5"/>
  <c r="I39" i="5"/>
  <c r="I42" i="5"/>
  <c r="I45" i="5"/>
  <c r="I53" i="5"/>
  <c r="I54" i="5"/>
  <c r="I56" i="5"/>
  <c r="I57" i="5"/>
  <c r="I58" i="5"/>
  <c r="I59" i="5"/>
  <c r="I60" i="5"/>
  <c r="I61" i="5"/>
  <c r="I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9" i="5"/>
  <c r="K34" i="5"/>
  <c r="K38" i="5"/>
  <c r="K39" i="5"/>
  <c r="K42" i="5"/>
  <c r="K45" i="5"/>
  <c r="K53" i="5"/>
  <c r="K54" i="5"/>
  <c r="K56" i="5"/>
  <c r="K57" i="5"/>
  <c r="K58" i="5"/>
  <c r="K59" i="5"/>
  <c r="K60" i="5"/>
  <c r="K61" i="5"/>
  <c r="K3" i="5"/>
  <c r="G3" i="5"/>
  <c r="T4" i="5"/>
  <c r="U4" i="5" s="1"/>
  <c r="T5" i="5"/>
  <c r="U5" i="5" s="1"/>
  <c r="T6" i="5"/>
  <c r="U6" i="5" s="1"/>
  <c r="T7" i="5"/>
  <c r="U7" i="5" s="1"/>
  <c r="T8" i="5"/>
  <c r="U8" i="5" s="1"/>
  <c r="T9" i="5"/>
  <c r="U9" i="5" s="1"/>
  <c r="T10" i="5"/>
  <c r="U10" i="5" s="1"/>
  <c r="T11" i="5"/>
  <c r="U11" i="5" s="1"/>
  <c r="T12" i="5"/>
  <c r="U12" i="5" s="1"/>
  <c r="T13" i="5"/>
  <c r="U13" i="5" s="1"/>
  <c r="T14" i="5"/>
  <c r="U14" i="5" s="1"/>
  <c r="T15" i="5"/>
  <c r="U15" i="5" s="1"/>
  <c r="T16" i="5"/>
  <c r="U16" i="5" s="1"/>
  <c r="T17" i="5"/>
  <c r="U17" i="5" s="1"/>
  <c r="T18" i="5"/>
  <c r="U18" i="5" s="1"/>
  <c r="T19" i="5"/>
  <c r="U19" i="5" s="1"/>
  <c r="T20" i="5"/>
  <c r="U20" i="5" s="1"/>
  <c r="T21" i="5"/>
  <c r="U21" i="5" s="1"/>
  <c r="T22" i="5"/>
  <c r="U22" i="5" s="1"/>
  <c r="T23" i="5"/>
  <c r="U23" i="5" s="1"/>
  <c r="T24" i="5"/>
  <c r="U24" i="5" s="1"/>
  <c r="T25" i="5"/>
  <c r="U25" i="5" s="1"/>
  <c r="T26" i="5"/>
  <c r="U26" i="5" s="1"/>
  <c r="T27" i="5"/>
  <c r="U27" i="5" s="1"/>
  <c r="T28" i="5"/>
  <c r="U28" i="5" s="1"/>
  <c r="T29" i="5"/>
  <c r="U29" i="5" s="1"/>
  <c r="T30" i="5"/>
  <c r="U30" i="5" s="1"/>
  <c r="T31" i="5"/>
  <c r="U31" i="5" s="1"/>
  <c r="T32" i="5"/>
  <c r="U32" i="5" s="1"/>
  <c r="T33" i="5"/>
  <c r="U33" i="5" s="1"/>
  <c r="T34" i="5"/>
  <c r="U34" i="5" s="1"/>
  <c r="T35" i="5"/>
  <c r="U35" i="5" s="1"/>
  <c r="T36" i="5"/>
  <c r="U36" i="5" s="1"/>
  <c r="T37" i="5"/>
  <c r="U37" i="5" s="1"/>
  <c r="T38" i="5"/>
  <c r="U38" i="5" s="1"/>
  <c r="T39" i="5"/>
  <c r="U39" i="5" s="1"/>
  <c r="T40" i="5"/>
  <c r="U40" i="5" s="1"/>
  <c r="T41" i="5"/>
  <c r="U41" i="5" s="1"/>
  <c r="T42" i="5"/>
  <c r="U42" i="5" s="1"/>
  <c r="T43" i="5"/>
  <c r="U43" i="5" s="1"/>
  <c r="T44" i="5"/>
  <c r="U44" i="5" s="1"/>
  <c r="T45" i="5"/>
  <c r="U45" i="5" s="1"/>
  <c r="T46" i="5"/>
  <c r="U46" i="5" s="1"/>
  <c r="T47" i="5"/>
  <c r="U47" i="5" s="1"/>
  <c r="T48" i="5"/>
  <c r="U48" i="5" s="1"/>
  <c r="T49" i="5"/>
  <c r="U49" i="5" s="1"/>
  <c r="T50" i="5"/>
  <c r="U50" i="5" s="1"/>
  <c r="T51" i="5"/>
  <c r="U51" i="5" s="1"/>
  <c r="T52" i="5"/>
  <c r="U52" i="5" s="1"/>
  <c r="T53" i="5"/>
  <c r="U53" i="5" s="1"/>
  <c r="T54" i="5"/>
  <c r="U54" i="5" s="1"/>
  <c r="T55" i="5"/>
  <c r="U55" i="5" s="1"/>
  <c r="T56" i="5"/>
  <c r="U56" i="5" s="1"/>
  <c r="T57" i="5"/>
  <c r="U57" i="5" s="1"/>
  <c r="T58" i="5"/>
  <c r="U58" i="5" s="1"/>
  <c r="T59" i="5"/>
  <c r="U59" i="5" s="1"/>
  <c r="T60" i="5"/>
  <c r="U60" i="5" s="1"/>
  <c r="T61" i="5"/>
  <c r="U61" i="5" s="1"/>
  <c r="T62" i="5"/>
  <c r="U62" i="5" s="1"/>
  <c r="T3" i="5"/>
  <c r="U3" i="5" s="1"/>
  <c r="L4" i="5"/>
  <c r="M4" i="5" s="1"/>
  <c r="L5" i="5"/>
  <c r="M5" i="5" s="1"/>
  <c r="L6" i="5"/>
  <c r="M6" i="5" s="1"/>
  <c r="L7" i="5"/>
  <c r="M7" i="5" s="1"/>
  <c r="L8" i="5"/>
  <c r="M8" i="5" s="1"/>
  <c r="L9" i="5"/>
  <c r="M9" i="5" s="1"/>
  <c r="L10" i="5"/>
  <c r="M10" i="5" s="1"/>
  <c r="L11" i="5"/>
  <c r="M11" i="5" s="1"/>
  <c r="L12" i="5"/>
  <c r="M12" i="5" s="1"/>
  <c r="L13" i="5"/>
  <c r="M13" i="5" s="1"/>
  <c r="L14" i="5"/>
  <c r="M14" i="5" s="1"/>
  <c r="L15" i="5"/>
  <c r="M15" i="5" s="1"/>
  <c r="L16" i="5"/>
  <c r="M16" i="5" s="1"/>
  <c r="L17" i="5"/>
  <c r="M17" i="5" s="1"/>
  <c r="L18" i="5"/>
  <c r="M18" i="5" s="1"/>
  <c r="L19" i="5"/>
  <c r="M19" i="5" s="1"/>
  <c r="L20" i="5"/>
  <c r="M20" i="5" s="1"/>
  <c r="L21" i="5"/>
  <c r="M21" i="5" s="1"/>
  <c r="L22" i="5"/>
  <c r="M22" i="5" s="1"/>
  <c r="L23" i="5"/>
  <c r="M23" i="5" s="1"/>
  <c r="L24" i="5"/>
  <c r="M24" i="5" s="1"/>
  <c r="L25" i="5"/>
  <c r="M25" i="5" s="1"/>
  <c r="L26" i="5"/>
  <c r="M26" i="5" s="1"/>
  <c r="L27" i="5"/>
  <c r="M27" i="5" s="1"/>
  <c r="L28" i="5"/>
  <c r="M28" i="5" s="1"/>
  <c r="L29" i="5"/>
  <c r="M29" i="5" s="1"/>
  <c r="L30" i="5"/>
  <c r="M30" i="5" s="1"/>
  <c r="L31" i="5"/>
  <c r="M31" i="5" s="1"/>
  <c r="L32" i="5"/>
  <c r="M32" i="5" s="1"/>
  <c r="L33" i="5"/>
  <c r="M33" i="5" s="1"/>
  <c r="L34" i="5"/>
  <c r="M34" i="5" s="1"/>
  <c r="L35" i="5"/>
  <c r="M35" i="5" s="1"/>
  <c r="L36" i="5"/>
  <c r="M36" i="5" s="1"/>
  <c r="L37" i="5"/>
  <c r="M37" i="5" s="1"/>
  <c r="L38" i="5"/>
  <c r="M38" i="5" s="1"/>
  <c r="L39" i="5"/>
  <c r="M39" i="5" s="1"/>
  <c r="L40" i="5"/>
  <c r="M40" i="5" s="1"/>
  <c r="L41" i="5"/>
  <c r="M41" i="5" s="1"/>
  <c r="L42" i="5"/>
  <c r="M42" i="5" s="1"/>
  <c r="L43" i="5"/>
  <c r="M43" i="5" s="1"/>
  <c r="L44" i="5"/>
  <c r="M44" i="5" s="1"/>
  <c r="L45" i="5"/>
  <c r="M45" i="5" s="1"/>
  <c r="L46" i="5"/>
  <c r="M46" i="5" s="1"/>
  <c r="L47" i="5"/>
  <c r="M47" i="5" s="1"/>
  <c r="L48" i="5"/>
  <c r="M48" i="5" s="1"/>
  <c r="L49" i="5"/>
  <c r="M49" i="5" s="1"/>
  <c r="L50" i="5"/>
  <c r="M50" i="5" s="1"/>
  <c r="L51" i="5"/>
  <c r="M51" i="5" s="1"/>
  <c r="L52" i="5"/>
  <c r="M52" i="5" s="1"/>
  <c r="L53" i="5"/>
  <c r="M53" i="5" s="1"/>
  <c r="L54" i="5"/>
  <c r="M54" i="5" s="1"/>
  <c r="L55" i="5"/>
  <c r="M55" i="5" s="1"/>
  <c r="L56" i="5"/>
  <c r="M56" i="5" s="1"/>
  <c r="L57" i="5"/>
  <c r="M57" i="5" s="1"/>
  <c r="L58" i="5"/>
  <c r="M58" i="5" s="1"/>
  <c r="L59" i="5"/>
  <c r="M59" i="5" s="1"/>
  <c r="L60" i="5"/>
  <c r="M60" i="5" s="1"/>
  <c r="L61" i="5"/>
  <c r="M61" i="5" s="1"/>
  <c r="L62" i="5"/>
  <c r="M62" i="5" s="1"/>
  <c r="L3" i="5"/>
  <c r="M3" i="5" s="1"/>
  <c r="V130" i="4"/>
  <c r="M130" i="4"/>
  <c r="N130" i="4" s="1"/>
  <c r="V129" i="4"/>
  <c r="M129" i="4"/>
  <c r="N129" i="4" s="1"/>
  <c r="V128" i="4"/>
  <c r="M128" i="4"/>
  <c r="N128" i="4" s="1"/>
  <c r="V127" i="4"/>
  <c r="M127" i="4"/>
  <c r="N127" i="4" s="1"/>
  <c r="V126" i="4"/>
  <c r="M126" i="4"/>
  <c r="N126" i="4" s="1"/>
  <c r="V125" i="4"/>
  <c r="M125" i="4"/>
  <c r="N125" i="4" s="1"/>
  <c r="V124" i="4"/>
  <c r="M124" i="4"/>
  <c r="N124" i="4" s="1"/>
  <c r="V123" i="4"/>
  <c r="M123" i="4"/>
  <c r="N123" i="4" s="1"/>
  <c r="V122" i="4"/>
  <c r="M122" i="4"/>
  <c r="N122" i="4" s="1"/>
  <c r="V121" i="4"/>
  <c r="M121" i="4"/>
  <c r="N121" i="4" s="1"/>
  <c r="V120" i="4"/>
  <c r="M120" i="4"/>
  <c r="N120" i="4" s="1"/>
  <c r="V119" i="4"/>
  <c r="M119" i="4"/>
  <c r="N119" i="4" s="1"/>
  <c r="V118" i="4"/>
  <c r="M118" i="4"/>
  <c r="N118" i="4" s="1"/>
  <c r="V117" i="4"/>
  <c r="M117" i="4"/>
  <c r="N117" i="4" s="1"/>
  <c r="V116" i="4"/>
  <c r="M116" i="4"/>
  <c r="N116" i="4" s="1"/>
  <c r="V115" i="4"/>
  <c r="M115" i="4"/>
  <c r="N115" i="4" s="1"/>
  <c r="V114" i="4"/>
  <c r="M114" i="4"/>
  <c r="N114" i="4" s="1"/>
  <c r="V113" i="4"/>
  <c r="M113" i="4"/>
  <c r="N113" i="4" s="1"/>
  <c r="V112" i="4"/>
  <c r="M112" i="4"/>
  <c r="N112" i="4" s="1"/>
  <c r="V111" i="4"/>
  <c r="M111" i="4"/>
  <c r="N111" i="4" s="1"/>
  <c r="V110" i="4"/>
  <c r="M110" i="4"/>
  <c r="N110" i="4" s="1"/>
  <c r="V109" i="4"/>
  <c r="M109" i="4"/>
  <c r="N109" i="4" s="1"/>
  <c r="V108" i="4"/>
  <c r="M108" i="4"/>
  <c r="N108" i="4" s="1"/>
  <c r="V107" i="4"/>
  <c r="M107" i="4"/>
  <c r="N107" i="4" s="1"/>
  <c r="V106" i="4"/>
  <c r="M106" i="4"/>
  <c r="N106" i="4" s="1"/>
  <c r="V105" i="4"/>
  <c r="M105" i="4"/>
  <c r="N105" i="4" s="1"/>
  <c r="V104" i="4"/>
  <c r="M104" i="4"/>
  <c r="N104" i="4" s="1"/>
  <c r="V103" i="4"/>
  <c r="M103" i="4"/>
  <c r="N103" i="4" s="1"/>
  <c r="V102" i="4"/>
  <c r="M102" i="4"/>
  <c r="N102" i="4" s="1"/>
  <c r="V101" i="4"/>
  <c r="M101" i="4"/>
  <c r="N101" i="4" s="1"/>
  <c r="V100" i="4"/>
  <c r="M100" i="4"/>
  <c r="N100" i="4" s="1"/>
  <c r="V99" i="4"/>
  <c r="M99" i="4"/>
  <c r="N99" i="4" s="1"/>
  <c r="V98" i="4"/>
  <c r="M98" i="4"/>
  <c r="N98" i="4" s="1"/>
  <c r="V97" i="4"/>
  <c r="M97" i="4"/>
  <c r="N97" i="4" s="1"/>
  <c r="V96" i="4"/>
  <c r="M96" i="4"/>
  <c r="N96" i="4" s="1"/>
  <c r="V95" i="4"/>
  <c r="M95" i="4"/>
  <c r="N95" i="4" s="1"/>
  <c r="V94" i="4"/>
  <c r="M94" i="4"/>
  <c r="N94" i="4" s="1"/>
  <c r="V93" i="4"/>
  <c r="M93" i="4"/>
  <c r="N93" i="4" s="1"/>
  <c r="V92" i="4"/>
  <c r="M92" i="4"/>
  <c r="N92" i="4" s="1"/>
  <c r="V91" i="4"/>
  <c r="M91" i="4"/>
  <c r="N91" i="4" s="1"/>
  <c r="V90" i="4"/>
  <c r="M90" i="4"/>
  <c r="N90" i="4" s="1"/>
  <c r="V89" i="4"/>
  <c r="M89" i="4"/>
  <c r="N89" i="4" s="1"/>
  <c r="V88" i="4"/>
  <c r="M88" i="4"/>
  <c r="N88" i="4" s="1"/>
  <c r="V87" i="4"/>
  <c r="M87" i="4"/>
  <c r="N87" i="4" s="1"/>
  <c r="V86" i="4"/>
  <c r="M86" i="4"/>
  <c r="N86" i="4" s="1"/>
  <c r="V85" i="4"/>
  <c r="M85" i="4"/>
  <c r="N85" i="4" s="1"/>
  <c r="V84" i="4"/>
  <c r="M84" i="4"/>
  <c r="N84" i="4" s="1"/>
  <c r="V83" i="4"/>
  <c r="M83" i="4"/>
  <c r="N83" i="4" s="1"/>
  <c r="V82" i="4"/>
  <c r="M82" i="4"/>
  <c r="N82" i="4" s="1"/>
  <c r="V81" i="4"/>
  <c r="M81" i="4"/>
  <c r="N81" i="4" s="1"/>
  <c r="V80" i="4"/>
  <c r="M80" i="4"/>
  <c r="N80" i="4" s="1"/>
  <c r="V79" i="4"/>
  <c r="M79" i="4"/>
  <c r="N79" i="4" s="1"/>
  <c r="V78" i="4"/>
  <c r="M78" i="4"/>
  <c r="N78" i="4" s="1"/>
  <c r="V77" i="4"/>
  <c r="M77" i="4"/>
  <c r="N77" i="4" s="1"/>
  <c r="V76" i="4"/>
  <c r="M76" i="4"/>
  <c r="N76" i="4" s="1"/>
  <c r="V75" i="4"/>
  <c r="M75" i="4"/>
  <c r="N75" i="4" s="1"/>
  <c r="V74" i="4"/>
  <c r="M74" i="4"/>
  <c r="N74" i="4" s="1"/>
  <c r="V73" i="4"/>
  <c r="M73" i="4"/>
  <c r="N73" i="4" s="1"/>
  <c r="V72" i="4"/>
  <c r="M72" i="4"/>
  <c r="N72" i="4" s="1"/>
  <c r="V71" i="4"/>
  <c r="M71" i="4"/>
  <c r="N71" i="4" s="1"/>
  <c r="V70" i="4"/>
  <c r="M70" i="4"/>
  <c r="N70" i="4" s="1"/>
  <c r="V69" i="4"/>
  <c r="M69" i="4"/>
  <c r="N69" i="4" s="1"/>
  <c r="V68" i="4"/>
  <c r="M68" i="4"/>
  <c r="N68" i="4" s="1"/>
  <c r="V67" i="4"/>
  <c r="M67" i="4"/>
  <c r="N67" i="4" s="1"/>
  <c r="V66" i="4"/>
  <c r="M66" i="4"/>
  <c r="N66" i="4" s="1"/>
  <c r="V65" i="4"/>
  <c r="M65" i="4"/>
  <c r="N65" i="4" s="1"/>
  <c r="V64" i="4"/>
  <c r="M64" i="4"/>
  <c r="N64" i="4" s="1"/>
  <c r="V63" i="4"/>
  <c r="M63" i="4"/>
  <c r="N63" i="4" s="1"/>
  <c r="V62" i="4"/>
  <c r="M62" i="4"/>
  <c r="N62" i="4" s="1"/>
  <c r="V61" i="4"/>
  <c r="M61" i="4"/>
  <c r="N61" i="4" s="1"/>
  <c r="V60" i="4"/>
  <c r="M60" i="4"/>
  <c r="N60" i="4" s="1"/>
  <c r="V59" i="4"/>
  <c r="M59" i="4"/>
  <c r="N59" i="4" s="1"/>
  <c r="V58" i="4"/>
  <c r="M58" i="4"/>
  <c r="N58" i="4" s="1"/>
  <c r="V57" i="4"/>
  <c r="M57" i="4"/>
  <c r="N57" i="4" s="1"/>
  <c r="V56" i="4"/>
  <c r="M56" i="4"/>
  <c r="N56" i="4" s="1"/>
  <c r="V55" i="4"/>
  <c r="M55" i="4"/>
  <c r="N55" i="4" s="1"/>
  <c r="V54" i="4"/>
  <c r="M54" i="4"/>
  <c r="N54" i="4" s="1"/>
  <c r="V53" i="4"/>
  <c r="M53" i="4"/>
  <c r="N53" i="4" s="1"/>
  <c r="V52" i="4"/>
  <c r="M52" i="4"/>
  <c r="N52" i="4" s="1"/>
  <c r="V51" i="4"/>
  <c r="M51" i="4"/>
  <c r="N51" i="4" s="1"/>
  <c r="V50" i="4"/>
  <c r="M50" i="4"/>
  <c r="N50" i="4" s="1"/>
  <c r="V49" i="4"/>
  <c r="M49" i="4"/>
  <c r="N49" i="4" s="1"/>
  <c r="V48" i="4"/>
  <c r="M48" i="4"/>
  <c r="N48" i="4" s="1"/>
  <c r="V47" i="4"/>
  <c r="M47" i="4"/>
  <c r="N47" i="4" s="1"/>
  <c r="V46" i="4"/>
  <c r="M46" i="4"/>
  <c r="N46" i="4" s="1"/>
  <c r="V45" i="4"/>
  <c r="M45" i="4"/>
  <c r="N45" i="4" s="1"/>
  <c r="V44" i="4"/>
  <c r="M44" i="4"/>
  <c r="N44" i="4" s="1"/>
  <c r="V43" i="4"/>
  <c r="M43" i="4"/>
  <c r="N43" i="4" s="1"/>
  <c r="V42" i="4"/>
  <c r="M42" i="4"/>
  <c r="N42" i="4" s="1"/>
  <c r="V41" i="4"/>
  <c r="M41" i="4"/>
  <c r="N41" i="4" s="1"/>
  <c r="V40" i="4"/>
  <c r="M40" i="4"/>
  <c r="N40" i="4" s="1"/>
  <c r="V39" i="4"/>
  <c r="M39" i="4"/>
  <c r="N39" i="4" s="1"/>
  <c r="V38" i="4"/>
  <c r="M38" i="4"/>
  <c r="N38" i="4" s="1"/>
  <c r="V37" i="4"/>
  <c r="M37" i="4"/>
  <c r="N37" i="4" s="1"/>
  <c r="V36" i="4"/>
  <c r="M36" i="4"/>
  <c r="N36" i="4" s="1"/>
  <c r="V35" i="4"/>
  <c r="M35" i="4"/>
  <c r="N35" i="4" s="1"/>
  <c r="V34" i="4"/>
  <c r="M34" i="4"/>
  <c r="N34" i="4" s="1"/>
  <c r="V33" i="4"/>
  <c r="M33" i="4"/>
  <c r="N33" i="4" s="1"/>
  <c r="V32" i="4"/>
  <c r="M32" i="4"/>
  <c r="N32" i="4" s="1"/>
  <c r="V31" i="4"/>
  <c r="M31" i="4"/>
  <c r="N31" i="4" s="1"/>
  <c r="V30" i="4"/>
  <c r="M30" i="4"/>
  <c r="N30" i="4" s="1"/>
  <c r="V29" i="4"/>
  <c r="M29" i="4"/>
  <c r="N29" i="4" s="1"/>
  <c r="V28" i="4"/>
  <c r="M28" i="4"/>
  <c r="N28" i="4" s="1"/>
  <c r="V27" i="4"/>
  <c r="M27" i="4"/>
  <c r="N27" i="4" s="1"/>
  <c r="V26" i="4"/>
  <c r="M26" i="4"/>
  <c r="N26" i="4" s="1"/>
  <c r="V25" i="4"/>
  <c r="M25" i="4"/>
  <c r="N25" i="4" s="1"/>
  <c r="V24" i="4"/>
  <c r="M24" i="4"/>
  <c r="N24" i="4" s="1"/>
  <c r="V23" i="4"/>
  <c r="M23" i="4"/>
  <c r="N23" i="4" s="1"/>
  <c r="V22" i="4"/>
  <c r="M22" i="4"/>
  <c r="N22" i="4" s="1"/>
  <c r="V21" i="4"/>
  <c r="M21" i="4"/>
  <c r="N21" i="4" s="1"/>
  <c r="V20" i="4"/>
  <c r="M20" i="4"/>
  <c r="N20" i="4" s="1"/>
  <c r="V19" i="4"/>
  <c r="M19" i="4"/>
  <c r="N19" i="4" s="1"/>
  <c r="V18" i="4"/>
  <c r="M18" i="4"/>
  <c r="N18" i="4" s="1"/>
  <c r="V17" i="4"/>
  <c r="M17" i="4"/>
  <c r="N17" i="4" s="1"/>
  <c r="V16" i="4"/>
  <c r="M16" i="4"/>
  <c r="N16" i="4" s="1"/>
  <c r="V15" i="4"/>
  <c r="M15" i="4"/>
  <c r="N15" i="4" s="1"/>
  <c r="V14" i="4"/>
  <c r="M14" i="4"/>
  <c r="N14" i="4" s="1"/>
  <c r="V13" i="4"/>
  <c r="M13" i="4"/>
  <c r="N13" i="4" s="1"/>
  <c r="V12" i="4"/>
  <c r="M12" i="4"/>
  <c r="N12" i="4" s="1"/>
  <c r="V11" i="4"/>
  <c r="M11" i="4"/>
  <c r="N11" i="4" s="1"/>
  <c r="V10" i="4"/>
  <c r="M10" i="4"/>
  <c r="N10" i="4" s="1"/>
  <c r="V9" i="4"/>
  <c r="M9" i="4"/>
  <c r="N9" i="4" s="1"/>
  <c r="V8" i="4"/>
  <c r="M8" i="4"/>
  <c r="N8" i="4" s="1"/>
  <c r="V7" i="4"/>
  <c r="M7" i="4"/>
  <c r="N7" i="4" s="1"/>
  <c r="V6" i="4"/>
  <c r="M6" i="4"/>
  <c r="N6" i="4" s="1"/>
  <c r="V5" i="4"/>
  <c r="M5" i="4"/>
  <c r="N5" i="4" s="1"/>
  <c r="M4" i="4"/>
  <c r="N4" i="4" s="1"/>
  <c r="N6" i="1"/>
  <c r="N7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9" i="1"/>
  <c r="N30" i="1"/>
  <c r="N31" i="1"/>
  <c r="N32" i="1"/>
  <c r="N33" i="1"/>
  <c r="N34" i="1"/>
  <c r="N35" i="1"/>
  <c r="N36" i="1"/>
  <c r="N37" i="1"/>
  <c r="N40" i="1"/>
  <c r="N41" i="1"/>
  <c r="N42" i="1"/>
  <c r="N43" i="1"/>
  <c r="N44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L7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9" i="1"/>
  <c r="L30" i="1"/>
  <c r="L31" i="1"/>
  <c r="L32" i="1"/>
  <c r="L33" i="1"/>
  <c r="L34" i="1"/>
  <c r="L35" i="1"/>
  <c r="L36" i="1"/>
  <c r="L37" i="1"/>
  <c r="L38" i="1"/>
  <c r="L40" i="1"/>
  <c r="L41" i="1"/>
  <c r="L42" i="1"/>
  <c r="L43" i="1"/>
  <c r="L44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J6" i="1"/>
  <c r="J7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9" i="1"/>
  <c r="J30" i="1"/>
  <c r="J31" i="1"/>
  <c r="J32" i="1"/>
  <c r="J33" i="1"/>
  <c r="J34" i="1"/>
  <c r="J35" i="1"/>
  <c r="J36" i="1"/>
  <c r="J37" i="1"/>
  <c r="J38" i="1"/>
  <c r="J40" i="1"/>
  <c r="J41" i="1"/>
  <c r="J42" i="1"/>
  <c r="J43" i="1"/>
  <c r="J44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H6" i="1"/>
  <c r="H7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9" i="1"/>
  <c r="H30" i="1"/>
  <c r="H31" i="1"/>
  <c r="H32" i="1"/>
  <c r="H33" i="1"/>
  <c r="H34" i="1"/>
  <c r="H35" i="1"/>
  <c r="H36" i="1"/>
  <c r="H37" i="1"/>
  <c r="H38" i="1"/>
  <c r="H40" i="1"/>
  <c r="H41" i="1"/>
  <c r="H42" i="1"/>
  <c r="H43" i="1"/>
  <c r="H44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Q4" i="7" l="1"/>
  <c r="O4" i="7"/>
  <c r="G4" i="7"/>
  <c r="E4" i="7"/>
  <c r="I4" i="7"/>
  <c r="K4" i="7"/>
  <c r="M4" i="7"/>
  <c r="I5" i="7"/>
  <c r="O5" i="7"/>
  <c r="Q5" i="7"/>
  <c r="G5" i="7"/>
  <c r="E5" i="7"/>
  <c r="K5" i="7"/>
  <c r="M5" i="7"/>
  <c r="M6" i="7"/>
  <c r="O6" i="7"/>
  <c r="E6" i="7"/>
  <c r="Q6" i="7"/>
  <c r="K6" i="7"/>
  <c r="I6" i="7"/>
  <c r="G6" i="7"/>
  <c r="G7" i="7"/>
  <c r="K7" i="7"/>
  <c r="I7" i="7"/>
  <c r="O7" i="7"/>
  <c r="E7" i="7"/>
  <c r="Q7" i="7"/>
  <c r="M7" i="7"/>
  <c r="O8" i="7"/>
  <c r="E8" i="7"/>
  <c r="Q8" i="7"/>
  <c r="G8" i="7"/>
  <c r="M8" i="7"/>
  <c r="K8" i="7"/>
  <c r="I8" i="7"/>
  <c r="G9" i="7"/>
  <c r="O9" i="7"/>
  <c r="K9" i="7"/>
  <c r="Q9" i="7"/>
  <c r="E9" i="7"/>
  <c r="I9" i="7"/>
  <c r="M9" i="7"/>
  <c r="E10" i="7"/>
  <c r="Q10" i="7"/>
  <c r="M10" i="7"/>
  <c r="I10" i="7"/>
  <c r="K10" i="7"/>
  <c r="O10" i="7"/>
  <c r="G10" i="7"/>
  <c r="M11" i="7"/>
  <c r="I11" i="7"/>
  <c r="O11" i="7"/>
  <c r="Q11" i="7"/>
  <c r="G11" i="7"/>
  <c r="E11" i="7"/>
  <c r="K11" i="7"/>
  <c r="O12" i="7"/>
  <c r="K12" i="7"/>
  <c r="G12" i="7"/>
  <c r="E12" i="7"/>
  <c r="Q12" i="7"/>
  <c r="M12" i="7"/>
  <c r="I12" i="7"/>
  <c r="Q13" i="7"/>
  <c r="E13" i="7"/>
  <c r="O13" i="7"/>
  <c r="G13" i="7"/>
  <c r="I13" i="7"/>
  <c r="M13" i="7"/>
  <c r="K13" i="7"/>
  <c r="E14" i="7"/>
  <c r="K14" i="7"/>
  <c r="I14" i="7"/>
  <c r="O14" i="7"/>
  <c r="G14" i="7"/>
  <c r="M14" i="7"/>
  <c r="Q14" i="7"/>
  <c r="M15" i="7"/>
  <c r="O15" i="7"/>
  <c r="Q15" i="7"/>
  <c r="K15" i="7"/>
  <c r="E15" i="7"/>
  <c r="G15" i="7"/>
  <c r="I15" i="7"/>
  <c r="O16" i="7"/>
  <c r="M16" i="7"/>
  <c r="Q16" i="7"/>
  <c r="K16" i="7"/>
  <c r="G16" i="7"/>
  <c r="E16" i="7"/>
  <c r="I16" i="7"/>
  <c r="M17" i="7"/>
  <c r="K17" i="7"/>
  <c r="G17" i="7"/>
  <c r="E17" i="7"/>
  <c r="O17" i="7"/>
  <c r="I17" i="7"/>
  <c r="Q17" i="7"/>
  <c r="K18" i="7"/>
  <c r="E18" i="7"/>
  <c r="Q18" i="7"/>
  <c r="G18" i="7"/>
  <c r="M18" i="7"/>
  <c r="I18" i="7"/>
  <c r="O18" i="7"/>
  <c r="K19" i="7"/>
  <c r="E19" i="7"/>
  <c r="M19" i="7"/>
  <c r="O19" i="7"/>
  <c r="G19" i="7"/>
  <c r="I19" i="7"/>
  <c r="Q19" i="7"/>
  <c r="I20" i="7"/>
  <c r="E20" i="7"/>
  <c r="O20" i="7"/>
  <c r="K20" i="7"/>
  <c r="G20" i="7"/>
  <c r="M20" i="7"/>
  <c r="Q20" i="7"/>
  <c r="G21" i="7"/>
  <c r="M21" i="7"/>
  <c r="I21" i="7"/>
  <c r="K21" i="7"/>
  <c r="Q21" i="7"/>
  <c r="O21" i="7"/>
  <c r="E21" i="7"/>
  <c r="G22" i="7"/>
  <c r="K22" i="7"/>
  <c r="I22" i="7"/>
  <c r="E22" i="7"/>
  <c r="M22" i="7"/>
  <c r="Q22" i="7"/>
  <c r="O22" i="7"/>
  <c r="O23" i="7"/>
  <c r="G23" i="7"/>
  <c r="M23" i="7"/>
  <c r="K23" i="7"/>
  <c r="I23" i="7"/>
  <c r="E23" i="7"/>
  <c r="Q23" i="7"/>
  <c r="I24" i="7"/>
  <c r="G24" i="7"/>
  <c r="K24" i="7"/>
  <c r="M24" i="7"/>
  <c r="E24" i="7"/>
  <c r="O24" i="7"/>
  <c r="Q24" i="7"/>
  <c r="I25" i="7"/>
  <c r="G25" i="7"/>
  <c r="O25" i="7"/>
  <c r="M25" i="7"/>
  <c r="E25" i="7"/>
  <c r="K25" i="7"/>
  <c r="Q25" i="7"/>
  <c r="O26" i="7"/>
  <c r="K26" i="7"/>
  <c r="Q26" i="7"/>
  <c r="M26" i="7"/>
  <c r="I26" i="7"/>
  <c r="G26" i="7"/>
  <c r="E26" i="7"/>
  <c r="G27" i="7"/>
  <c r="K27" i="7"/>
  <c r="Q27" i="7"/>
  <c r="E27" i="7"/>
  <c r="I27" i="7"/>
  <c r="O27" i="7"/>
  <c r="M27" i="7"/>
  <c r="K28" i="7"/>
  <c r="I28" i="7"/>
  <c r="G28" i="7"/>
  <c r="E28" i="7"/>
  <c r="M28" i="7"/>
  <c r="Q28" i="7"/>
  <c r="O28" i="7"/>
  <c r="G29" i="7"/>
  <c r="K29" i="7"/>
  <c r="I29" i="7"/>
  <c r="O29" i="7"/>
  <c r="Q29" i="7"/>
  <c r="E29" i="7"/>
  <c r="M29" i="7"/>
  <c r="M30" i="7"/>
  <c r="I30" i="7"/>
  <c r="O30" i="7"/>
  <c r="K30" i="7"/>
  <c r="G30" i="7"/>
  <c r="E30" i="7"/>
  <c r="Q30" i="7"/>
  <c r="E31" i="7"/>
  <c r="M31" i="7"/>
  <c r="K31" i="7"/>
  <c r="I31" i="7"/>
  <c r="Q31" i="7"/>
  <c r="O31" i="7"/>
  <c r="G31" i="7"/>
  <c r="G32" i="7"/>
  <c r="O32" i="7"/>
  <c r="K32" i="7"/>
  <c r="I32" i="7"/>
  <c r="M32" i="7"/>
  <c r="E32" i="7"/>
  <c r="Q32" i="7"/>
  <c r="O33" i="7"/>
  <c r="G33" i="7"/>
  <c r="K33" i="7"/>
  <c r="M33" i="7"/>
  <c r="Q33" i="7"/>
  <c r="I33" i="7"/>
  <c r="E33" i="7"/>
  <c r="K34" i="7"/>
  <c r="I34" i="7"/>
  <c r="E34" i="7"/>
  <c r="M34" i="7"/>
  <c r="O34" i="7"/>
  <c r="Q34" i="7"/>
  <c r="G34" i="7"/>
  <c r="K35" i="7"/>
  <c r="Q35" i="7"/>
  <c r="O35" i="7"/>
  <c r="M35" i="7"/>
  <c r="G35" i="7"/>
  <c r="I35" i="7"/>
  <c r="E35" i="7"/>
  <c r="Q36" i="7"/>
  <c r="I36" i="7"/>
  <c r="K36" i="7"/>
  <c r="M36" i="7"/>
  <c r="E36" i="7"/>
  <c r="G36" i="7"/>
  <c r="O36" i="7"/>
  <c r="K37" i="7"/>
  <c r="O37" i="7"/>
  <c r="Q37" i="7"/>
  <c r="M37" i="7"/>
  <c r="G37" i="7"/>
  <c r="I37" i="7"/>
  <c r="E37" i="7"/>
  <c r="E38" i="7"/>
  <c r="O38" i="7"/>
  <c r="G38" i="7"/>
  <c r="M38" i="7"/>
  <c r="Q38" i="7"/>
  <c r="I38" i="7"/>
  <c r="K38" i="7"/>
  <c r="Q39" i="7"/>
  <c r="K39" i="7"/>
  <c r="O39" i="7"/>
  <c r="G39" i="7"/>
  <c r="I39" i="7"/>
  <c r="M39" i="7"/>
  <c r="E39" i="7"/>
  <c r="Q40" i="7"/>
  <c r="G40" i="7"/>
  <c r="M40" i="7"/>
  <c r="O40" i="7"/>
  <c r="I40" i="7"/>
  <c r="E40" i="7"/>
  <c r="K40" i="7"/>
  <c r="K41" i="7"/>
  <c r="G41" i="7"/>
  <c r="M41" i="7"/>
  <c r="I41" i="7"/>
  <c r="O41" i="7"/>
  <c r="Q41" i="7"/>
  <c r="E41" i="7"/>
  <c r="M42" i="7"/>
  <c r="I42" i="7"/>
  <c r="E42" i="7"/>
  <c r="K42" i="7"/>
  <c r="G42" i="7"/>
  <c r="O42" i="7"/>
  <c r="Q42" i="7"/>
  <c r="Q43" i="7"/>
  <c r="G43" i="7"/>
  <c r="M43" i="7"/>
  <c r="E43" i="7"/>
  <c r="K43" i="7"/>
  <c r="I43" i="7"/>
  <c r="O43" i="7"/>
  <c r="I44" i="7"/>
  <c r="Q44" i="7"/>
  <c r="K44" i="7"/>
  <c r="M44" i="7"/>
  <c r="E44" i="7"/>
  <c r="G44" i="7"/>
  <c r="O44" i="7"/>
  <c r="E45" i="7"/>
  <c r="G45" i="7"/>
  <c r="O45" i="7"/>
  <c r="Q45" i="7"/>
  <c r="K45" i="7"/>
  <c r="M45" i="7"/>
  <c r="I45" i="7"/>
  <c r="O46" i="7"/>
  <c r="Q46" i="7"/>
  <c r="E46" i="7"/>
  <c r="K46" i="7"/>
  <c r="I46" i="7"/>
  <c r="M46" i="7"/>
  <c r="G46" i="7"/>
  <c r="M47" i="7"/>
  <c r="I47" i="7"/>
  <c r="G47" i="7"/>
  <c r="K47" i="7"/>
  <c r="O47" i="7"/>
  <c r="Q47" i="7"/>
  <c r="E47" i="7"/>
  <c r="I48" i="7"/>
  <c r="G48" i="7"/>
  <c r="E48" i="7"/>
  <c r="K48" i="7"/>
  <c r="O48" i="7"/>
  <c r="Q48" i="7"/>
  <c r="M48" i="7"/>
  <c r="M49" i="7"/>
  <c r="I49" i="7"/>
  <c r="K49" i="7"/>
  <c r="G49" i="7"/>
  <c r="Q49" i="7"/>
  <c r="O49" i="7"/>
  <c r="E49" i="7"/>
  <c r="E50" i="7"/>
  <c r="I50" i="7"/>
  <c r="K50" i="7"/>
  <c r="Q50" i="7"/>
  <c r="M50" i="7"/>
  <c r="G50" i="7"/>
  <c r="O50" i="7"/>
  <c r="M51" i="7"/>
  <c r="G51" i="7"/>
  <c r="Q51" i="7"/>
  <c r="O51" i="7"/>
  <c r="K51" i="7"/>
  <c r="I51" i="7"/>
  <c r="E51" i="7"/>
  <c r="K52" i="7"/>
  <c r="G52" i="7"/>
  <c r="M52" i="7"/>
  <c r="E52" i="7"/>
  <c r="O52" i="7"/>
  <c r="Q52" i="7"/>
  <c r="I52" i="7"/>
  <c r="I53" i="7"/>
  <c r="G53" i="7"/>
  <c r="M53" i="7"/>
  <c r="K53" i="7"/>
  <c r="O53" i="7"/>
  <c r="Q53" i="7"/>
  <c r="E53" i="7"/>
  <c r="G54" i="7"/>
  <c r="Q54" i="7"/>
  <c r="E54" i="7"/>
  <c r="O54" i="7"/>
  <c r="K54" i="7"/>
  <c r="M54" i="7"/>
  <c r="I54" i="7"/>
  <c r="Q3" i="7"/>
  <c r="K3" i="7"/>
  <c r="G3" i="7"/>
  <c r="O3" i="7"/>
  <c r="M3" i="7"/>
  <c r="I3" i="7"/>
  <c r="E3" i="7"/>
  <c r="G4" i="6"/>
  <c r="K4" i="6"/>
  <c r="E4" i="6"/>
  <c r="I4" i="6"/>
  <c r="I5" i="6"/>
  <c r="E5" i="6"/>
  <c r="G5" i="6"/>
  <c r="K5" i="6"/>
  <c r="G6" i="6"/>
  <c r="I6" i="6"/>
  <c r="K6" i="6"/>
  <c r="E6" i="6"/>
  <c r="E7" i="6"/>
  <c r="G7" i="6"/>
  <c r="I7" i="6"/>
  <c r="K7" i="6"/>
  <c r="I8" i="6"/>
  <c r="E8" i="6"/>
  <c r="G8" i="6"/>
  <c r="K8" i="6"/>
  <c r="E9" i="6"/>
  <c r="G9" i="6"/>
  <c r="I9" i="6"/>
  <c r="K9" i="6"/>
  <c r="E10" i="6"/>
  <c r="K10" i="6"/>
  <c r="G10" i="6"/>
  <c r="I10" i="6"/>
  <c r="E11" i="6"/>
  <c r="K11" i="6"/>
  <c r="G11" i="6"/>
  <c r="I11" i="6"/>
  <c r="E12" i="6"/>
  <c r="G12" i="6"/>
  <c r="I12" i="6"/>
  <c r="K12" i="6"/>
  <c r="E13" i="6"/>
  <c r="G13" i="6"/>
  <c r="I13" i="6"/>
  <c r="K13" i="6"/>
  <c r="I14" i="6"/>
  <c r="K14" i="6"/>
  <c r="E14" i="6"/>
  <c r="G14" i="6"/>
  <c r="I15" i="6"/>
  <c r="K15" i="6"/>
  <c r="E15" i="6"/>
  <c r="G15" i="6"/>
  <c r="E16" i="6"/>
  <c r="K16" i="6"/>
  <c r="G16" i="6"/>
  <c r="I16" i="6"/>
  <c r="G17" i="6"/>
  <c r="K17" i="6"/>
  <c r="E17" i="6"/>
  <c r="I17" i="6"/>
  <c r="E18" i="6"/>
  <c r="I18" i="6"/>
  <c r="G18" i="6"/>
  <c r="K18" i="6"/>
  <c r="E19" i="6"/>
  <c r="G19" i="6"/>
  <c r="I19" i="6"/>
  <c r="K19" i="6"/>
  <c r="E20" i="6"/>
  <c r="G20" i="6"/>
  <c r="K20" i="6"/>
  <c r="I20" i="6"/>
  <c r="G21" i="6"/>
  <c r="K21" i="6"/>
  <c r="E21" i="6"/>
  <c r="I21" i="6"/>
  <c r="E22" i="6"/>
  <c r="I22" i="6"/>
  <c r="K22" i="6"/>
  <c r="G22" i="6"/>
  <c r="E23" i="6"/>
  <c r="G23" i="6"/>
  <c r="I23" i="6"/>
  <c r="K23" i="6"/>
  <c r="I24" i="6"/>
  <c r="K24" i="6"/>
  <c r="E24" i="6"/>
  <c r="G24" i="6"/>
  <c r="E25" i="6"/>
  <c r="I25" i="6"/>
  <c r="G25" i="6"/>
  <c r="K25" i="6"/>
  <c r="E26" i="6"/>
  <c r="G26" i="6"/>
  <c r="K26" i="6"/>
  <c r="I26" i="6"/>
  <c r="E27" i="6"/>
  <c r="G27" i="6"/>
  <c r="I27" i="6"/>
  <c r="K27" i="6"/>
  <c r="I28" i="6"/>
  <c r="E28" i="6"/>
  <c r="G28" i="6"/>
  <c r="K28" i="6"/>
  <c r="E29" i="6"/>
  <c r="G29" i="6"/>
  <c r="I29" i="6"/>
  <c r="K29" i="6"/>
  <c r="I30" i="6"/>
  <c r="E30" i="6"/>
  <c r="G30" i="6"/>
  <c r="K30" i="6"/>
  <c r="G31" i="6"/>
  <c r="E31" i="6"/>
  <c r="I31" i="6"/>
  <c r="K31" i="6"/>
  <c r="G32" i="6"/>
  <c r="I32" i="6"/>
  <c r="E32" i="6"/>
  <c r="K32" i="6"/>
  <c r="G33" i="6"/>
  <c r="E33" i="6"/>
  <c r="I33" i="6"/>
  <c r="K33" i="6"/>
  <c r="E34" i="6"/>
  <c r="I34" i="6"/>
  <c r="G34" i="6"/>
  <c r="K34" i="6"/>
  <c r="K35" i="6"/>
  <c r="E35" i="6"/>
  <c r="G35" i="6"/>
  <c r="I35" i="6"/>
  <c r="G36" i="6"/>
  <c r="E36" i="6"/>
  <c r="I36" i="6"/>
  <c r="K36" i="6"/>
  <c r="E37" i="6"/>
  <c r="I37" i="6"/>
  <c r="K37" i="6"/>
  <c r="G37" i="6"/>
  <c r="G38" i="6"/>
  <c r="I38" i="6"/>
  <c r="E38" i="6"/>
  <c r="K38" i="6"/>
  <c r="G39" i="6"/>
  <c r="I39" i="6"/>
  <c r="E39" i="6"/>
  <c r="K39" i="6"/>
  <c r="E40" i="6"/>
  <c r="K40" i="6"/>
  <c r="G40" i="6"/>
  <c r="I40" i="6"/>
  <c r="E41" i="6"/>
  <c r="G41" i="6"/>
  <c r="K41" i="6"/>
  <c r="I41" i="6"/>
  <c r="E42" i="6"/>
  <c r="K42" i="6"/>
  <c r="G42" i="6"/>
  <c r="I42" i="6"/>
  <c r="G43" i="6"/>
  <c r="I43" i="6"/>
  <c r="K43" i="6"/>
  <c r="E43" i="6"/>
  <c r="G44" i="6"/>
  <c r="K44" i="6"/>
  <c r="E44" i="6"/>
  <c r="I44" i="6"/>
  <c r="G45" i="6"/>
  <c r="I45" i="6"/>
  <c r="K45" i="6"/>
  <c r="E45" i="6"/>
  <c r="E46" i="6"/>
  <c r="G46" i="6"/>
  <c r="I46" i="6"/>
  <c r="K46" i="6"/>
  <c r="E47" i="6"/>
  <c r="G47" i="6"/>
  <c r="I47" i="6"/>
  <c r="K47" i="6"/>
  <c r="E48" i="6"/>
  <c r="G48" i="6"/>
  <c r="I48" i="6"/>
  <c r="K48" i="6"/>
  <c r="I49" i="6"/>
  <c r="E49" i="6"/>
  <c r="G49" i="6"/>
  <c r="K49" i="6"/>
  <c r="G50" i="6"/>
  <c r="I50" i="6"/>
  <c r="K50" i="6"/>
  <c r="E50" i="6"/>
  <c r="E51" i="6"/>
  <c r="G51" i="6"/>
  <c r="I51" i="6"/>
  <c r="K51" i="6"/>
  <c r="E52" i="6"/>
  <c r="G52" i="6"/>
  <c r="I52" i="6"/>
  <c r="K52" i="6"/>
  <c r="E53" i="6"/>
  <c r="I53" i="6"/>
  <c r="G53" i="6"/>
  <c r="K53" i="6"/>
  <c r="I54" i="6"/>
  <c r="E54" i="6"/>
  <c r="G54" i="6"/>
  <c r="K54" i="6"/>
  <c r="E55" i="6"/>
  <c r="G55" i="6"/>
  <c r="I55" i="6"/>
  <c r="K55" i="6"/>
  <c r="G56" i="6"/>
  <c r="I56" i="6"/>
  <c r="E56" i="6"/>
  <c r="K56" i="6"/>
  <c r="E57" i="6"/>
  <c r="K57" i="6"/>
  <c r="G57" i="6"/>
  <c r="I57" i="6"/>
  <c r="E58" i="6"/>
  <c r="G58" i="6"/>
  <c r="I58" i="6"/>
  <c r="K58" i="6"/>
  <c r="E59" i="6"/>
  <c r="G59" i="6"/>
  <c r="I59" i="6"/>
  <c r="K59" i="6"/>
  <c r="E60" i="6"/>
  <c r="G60" i="6"/>
  <c r="K60" i="6"/>
  <c r="I60" i="6"/>
  <c r="E61" i="6"/>
  <c r="K61" i="6"/>
  <c r="G61" i="6"/>
  <c r="I61" i="6"/>
  <c r="I3" i="6"/>
  <c r="E3" i="6"/>
  <c r="G3" i="6"/>
  <c r="K3" i="6"/>
  <c r="V4" i="4"/>
  <c r="V131" i="4" s="1"/>
  <c r="U131" i="4"/>
  <c r="O61" i="6"/>
  <c r="M61" i="6"/>
  <c r="Q61" i="6"/>
  <c r="M60" i="6"/>
  <c r="O60" i="6"/>
  <c r="Q60" i="6"/>
  <c r="M58" i="6"/>
  <c r="O58" i="6"/>
  <c r="Q58" i="6"/>
  <c r="M57" i="6"/>
  <c r="O57" i="6"/>
  <c r="Q57" i="6"/>
  <c r="M56" i="6"/>
  <c r="O56" i="6"/>
  <c r="Q56" i="6"/>
  <c r="M55" i="6"/>
  <c r="O55" i="6"/>
  <c r="Q55" i="6"/>
  <c r="M54" i="6"/>
  <c r="O54" i="6"/>
  <c r="Q54" i="6"/>
  <c r="M53" i="6"/>
  <c r="O53" i="6"/>
  <c r="Q53" i="6"/>
  <c r="M52" i="6"/>
  <c r="O52" i="6"/>
  <c r="Q52" i="6"/>
  <c r="M51" i="6"/>
  <c r="Q51" i="6"/>
  <c r="O51" i="6"/>
  <c r="O50" i="6"/>
  <c r="M50" i="6"/>
  <c r="Q50" i="6"/>
  <c r="M49" i="6"/>
  <c r="Q49" i="6"/>
  <c r="O49" i="6"/>
  <c r="M48" i="6"/>
  <c r="O48" i="6"/>
  <c r="Q48" i="6"/>
  <c r="M47" i="6"/>
  <c r="O47" i="6"/>
  <c r="Q47" i="6"/>
  <c r="M46" i="6"/>
  <c r="O46" i="6"/>
  <c r="Q46" i="6"/>
  <c r="M45" i="6"/>
  <c r="O45" i="6"/>
  <c r="Q45" i="6"/>
  <c r="M44" i="6"/>
  <c r="O44" i="6"/>
  <c r="Q44" i="6"/>
  <c r="M43" i="6"/>
  <c r="Q43" i="6"/>
  <c r="O43" i="6"/>
  <c r="O42" i="6"/>
  <c r="Q42" i="6"/>
  <c r="M42" i="6"/>
  <c r="M41" i="6"/>
  <c r="O41" i="6"/>
  <c r="Q41" i="6"/>
  <c r="M40" i="6"/>
  <c r="Q40" i="6"/>
  <c r="O40" i="6"/>
  <c r="M39" i="6"/>
  <c r="Q39" i="6"/>
  <c r="O39" i="6"/>
  <c r="M38" i="6"/>
  <c r="O38" i="6"/>
  <c r="Q38" i="6"/>
  <c r="O37" i="6"/>
  <c r="Q37" i="6"/>
  <c r="M37" i="6"/>
  <c r="M36" i="6"/>
  <c r="O36" i="6"/>
  <c r="Q36" i="6"/>
  <c r="M35" i="6"/>
  <c r="O35" i="6"/>
  <c r="Q35" i="6"/>
  <c r="O34" i="6"/>
  <c r="Q34" i="6"/>
  <c r="M34" i="6"/>
  <c r="M33" i="6"/>
  <c r="O33" i="6"/>
  <c r="Q33" i="6"/>
  <c r="M32" i="6"/>
  <c r="O32" i="6"/>
  <c r="Q32" i="6"/>
  <c r="O31" i="6"/>
  <c r="Q31" i="6"/>
  <c r="M31" i="6"/>
  <c r="M30" i="6"/>
  <c r="Q30" i="6"/>
  <c r="O30" i="6"/>
  <c r="O29" i="6"/>
  <c r="M29" i="6"/>
  <c r="Q29" i="6"/>
  <c r="M28" i="6"/>
  <c r="O28" i="6"/>
  <c r="Q28" i="6"/>
  <c r="M27" i="6"/>
  <c r="O27" i="6"/>
  <c r="Q27" i="6"/>
  <c r="M26" i="6"/>
  <c r="O26" i="6"/>
  <c r="Q26" i="6"/>
  <c r="M25" i="6"/>
  <c r="Q25" i="6"/>
  <c r="O25" i="6"/>
  <c r="M24" i="6"/>
  <c r="O24" i="6"/>
  <c r="Q24" i="6"/>
  <c r="M23" i="6"/>
  <c r="O23" i="6"/>
  <c r="Q23" i="6"/>
  <c r="M22" i="6"/>
  <c r="O22" i="6"/>
  <c r="Q22" i="6"/>
  <c r="M21" i="6"/>
  <c r="O21" i="6"/>
  <c r="Q21" i="6"/>
  <c r="M20" i="6"/>
  <c r="O20" i="6"/>
  <c r="Q20" i="6"/>
  <c r="M19" i="6"/>
  <c r="O19" i="6"/>
  <c r="Q19" i="6"/>
  <c r="M18" i="6"/>
  <c r="O18" i="6"/>
  <c r="Q18" i="6"/>
  <c r="M17" i="6"/>
  <c r="O17" i="6"/>
  <c r="Q17" i="6"/>
  <c r="M16" i="6"/>
  <c r="O16" i="6"/>
  <c r="Q16" i="6"/>
  <c r="M15" i="6"/>
  <c r="O15" i="6"/>
  <c r="Q15" i="6"/>
  <c r="M14" i="6"/>
  <c r="O14" i="6"/>
  <c r="Q14" i="6"/>
  <c r="M13" i="6"/>
  <c r="O13" i="6"/>
  <c r="Q13" i="6"/>
  <c r="M12" i="6"/>
  <c r="O12" i="6"/>
  <c r="Q12" i="6"/>
  <c r="M11" i="6"/>
  <c r="O11" i="6"/>
  <c r="Q11" i="6"/>
  <c r="M10" i="6"/>
  <c r="O10" i="6"/>
  <c r="Q10" i="6"/>
  <c r="M9" i="6"/>
  <c r="O9" i="6"/>
  <c r="Q9" i="6"/>
  <c r="M8" i="6"/>
  <c r="O8" i="6"/>
  <c r="Q8" i="6"/>
  <c r="M7" i="6"/>
  <c r="O7" i="6"/>
  <c r="Q7" i="6"/>
  <c r="M6" i="6"/>
  <c r="O6" i="6"/>
  <c r="Q6" i="6"/>
  <c r="M5" i="6"/>
  <c r="O5" i="6"/>
  <c r="Q5" i="6"/>
  <c r="M4" i="6"/>
  <c r="O4" i="6"/>
  <c r="Q4" i="6"/>
  <c r="M3" i="6"/>
  <c r="O3" i="6"/>
  <c r="Q3" i="6"/>
  <c r="E4" i="5"/>
  <c r="G4" i="5"/>
  <c r="E5" i="5"/>
  <c r="G5" i="5"/>
  <c r="E6" i="5"/>
  <c r="G6" i="5"/>
  <c r="E7" i="5"/>
  <c r="G7" i="5"/>
  <c r="E8" i="5"/>
  <c r="G8" i="5"/>
  <c r="E9" i="5"/>
  <c r="G9" i="5"/>
  <c r="E10" i="5"/>
  <c r="G10" i="5"/>
  <c r="E11" i="5"/>
  <c r="G11" i="5"/>
  <c r="E12" i="5"/>
  <c r="G12" i="5"/>
  <c r="E13" i="5"/>
  <c r="G13" i="5"/>
  <c r="E14" i="5"/>
  <c r="G14" i="5"/>
  <c r="E15" i="5"/>
  <c r="G15" i="5"/>
  <c r="E16" i="5"/>
  <c r="G16" i="5"/>
  <c r="E17" i="5"/>
  <c r="G17" i="5"/>
  <c r="E18" i="5"/>
  <c r="G18" i="5"/>
  <c r="E19" i="5"/>
  <c r="G19" i="5"/>
  <c r="E20" i="5"/>
  <c r="G20" i="5"/>
  <c r="E21" i="5"/>
  <c r="G21" i="5"/>
  <c r="E22" i="5"/>
  <c r="G22" i="5"/>
  <c r="E23" i="5"/>
  <c r="G23" i="5"/>
  <c r="E24" i="5"/>
  <c r="G24" i="5"/>
  <c r="E25" i="5"/>
  <c r="G25" i="5"/>
  <c r="E29" i="5"/>
  <c r="G29" i="5"/>
  <c r="E34" i="5"/>
  <c r="G34" i="5"/>
  <c r="E38" i="5"/>
  <c r="G38" i="5"/>
  <c r="E39" i="5"/>
  <c r="G39" i="5"/>
  <c r="E42" i="5"/>
  <c r="G42" i="5"/>
  <c r="E45" i="5"/>
  <c r="G45" i="5"/>
  <c r="E53" i="5"/>
  <c r="G53" i="5"/>
  <c r="E54" i="5"/>
  <c r="G54" i="5"/>
  <c r="E56" i="5"/>
  <c r="G56" i="5"/>
  <c r="E57" i="5"/>
  <c r="G57" i="5"/>
  <c r="E58" i="5"/>
  <c r="G58" i="5"/>
  <c r="E59" i="5"/>
  <c r="G59" i="5"/>
  <c r="E60" i="5"/>
  <c r="G60" i="5"/>
  <c r="E61" i="5"/>
  <c r="G61" i="5"/>
  <c r="E3" i="5"/>
  <c r="P130" i="4"/>
  <c r="R130" i="4"/>
  <c r="T130" i="4"/>
  <c r="F130" i="4"/>
  <c r="H130" i="4"/>
  <c r="J130" i="4"/>
  <c r="L130" i="4"/>
  <c r="P129" i="4"/>
  <c r="R129" i="4"/>
  <c r="T129" i="4"/>
  <c r="F129" i="4"/>
  <c r="H129" i="4"/>
  <c r="J129" i="4"/>
  <c r="L129" i="4"/>
  <c r="P128" i="4"/>
  <c r="R128" i="4"/>
  <c r="T128" i="4"/>
  <c r="F128" i="4"/>
  <c r="H128" i="4"/>
  <c r="J128" i="4"/>
  <c r="L128" i="4"/>
  <c r="P127" i="4"/>
  <c r="R127" i="4"/>
  <c r="T127" i="4"/>
  <c r="F126" i="4"/>
  <c r="H126" i="4"/>
  <c r="J126" i="4"/>
  <c r="L126" i="4"/>
  <c r="P125" i="4"/>
  <c r="R125" i="4"/>
  <c r="T125" i="4"/>
  <c r="F125" i="4"/>
  <c r="H125" i="4"/>
  <c r="J125" i="4"/>
  <c r="L125" i="4"/>
  <c r="P124" i="4"/>
  <c r="R124" i="4"/>
  <c r="T124" i="4"/>
  <c r="F124" i="4"/>
  <c r="H124" i="4"/>
  <c r="J124" i="4"/>
  <c r="L124" i="4"/>
  <c r="P123" i="4"/>
  <c r="R123" i="4"/>
  <c r="T123" i="4"/>
  <c r="F123" i="4"/>
  <c r="H123" i="4"/>
  <c r="J123" i="4"/>
  <c r="L123" i="4"/>
  <c r="P122" i="4"/>
  <c r="R122" i="4"/>
  <c r="T122" i="4"/>
  <c r="F122" i="4"/>
  <c r="H122" i="4"/>
  <c r="J122" i="4"/>
  <c r="L122" i="4"/>
  <c r="P121" i="4"/>
  <c r="R121" i="4"/>
  <c r="T121" i="4"/>
  <c r="F121" i="4"/>
  <c r="H121" i="4"/>
  <c r="J121" i="4"/>
  <c r="L121" i="4"/>
  <c r="P120" i="4"/>
  <c r="R120" i="4"/>
  <c r="T120" i="4"/>
  <c r="P119" i="4"/>
  <c r="R119" i="4"/>
  <c r="T119" i="4"/>
  <c r="P118" i="4"/>
  <c r="R118" i="4"/>
  <c r="T118" i="4"/>
  <c r="F118" i="4"/>
  <c r="H118" i="4"/>
  <c r="J118" i="4"/>
  <c r="L118" i="4"/>
  <c r="P117" i="4"/>
  <c r="R117" i="4"/>
  <c r="T117" i="4"/>
  <c r="F117" i="4"/>
  <c r="H117" i="4"/>
  <c r="J117" i="4"/>
  <c r="L117" i="4"/>
  <c r="P116" i="4"/>
  <c r="R116" i="4"/>
  <c r="T116" i="4"/>
  <c r="F116" i="4"/>
  <c r="H116" i="4"/>
  <c r="J116" i="4"/>
  <c r="L116" i="4"/>
  <c r="P115" i="4"/>
  <c r="R115" i="4"/>
  <c r="T115" i="4"/>
  <c r="F115" i="4"/>
  <c r="H115" i="4"/>
  <c r="J115" i="4"/>
  <c r="L115" i="4"/>
  <c r="P114" i="4"/>
  <c r="R114" i="4"/>
  <c r="T114" i="4"/>
  <c r="F114" i="4"/>
  <c r="H114" i="4"/>
  <c r="J114" i="4"/>
  <c r="L114" i="4"/>
  <c r="P113" i="4"/>
  <c r="R113" i="4"/>
  <c r="T113" i="4"/>
  <c r="F113" i="4"/>
  <c r="H113" i="4"/>
  <c r="J113" i="4"/>
  <c r="L113" i="4"/>
  <c r="P112" i="4"/>
  <c r="R112" i="4"/>
  <c r="T112" i="4"/>
  <c r="F112" i="4"/>
  <c r="H112" i="4"/>
  <c r="J112" i="4"/>
  <c r="L112" i="4"/>
  <c r="P111" i="4"/>
  <c r="R111" i="4"/>
  <c r="T111" i="4"/>
  <c r="F111" i="4"/>
  <c r="H111" i="4"/>
  <c r="J111" i="4"/>
  <c r="L111" i="4"/>
  <c r="P110" i="4"/>
  <c r="R110" i="4"/>
  <c r="T110" i="4"/>
  <c r="F110" i="4"/>
  <c r="H110" i="4"/>
  <c r="J110" i="4"/>
  <c r="L110" i="4"/>
  <c r="P109" i="4"/>
  <c r="R109" i="4"/>
  <c r="T109" i="4"/>
  <c r="F109" i="4"/>
  <c r="H109" i="4"/>
  <c r="J109" i="4"/>
  <c r="L109" i="4"/>
  <c r="P108" i="4"/>
  <c r="R108" i="4"/>
  <c r="T108" i="4"/>
  <c r="F108" i="4"/>
  <c r="H108" i="4"/>
  <c r="J108" i="4"/>
  <c r="L108" i="4"/>
  <c r="P107" i="4"/>
  <c r="R107" i="4"/>
  <c r="T107" i="4"/>
  <c r="F107" i="4"/>
  <c r="H107" i="4"/>
  <c r="J107" i="4"/>
  <c r="L107" i="4"/>
  <c r="P106" i="4"/>
  <c r="R106" i="4"/>
  <c r="T106" i="4"/>
  <c r="F106" i="4"/>
  <c r="H106" i="4"/>
  <c r="J106" i="4"/>
  <c r="L106" i="4"/>
  <c r="F105" i="4"/>
  <c r="H105" i="4"/>
  <c r="J105" i="4"/>
  <c r="L105" i="4"/>
  <c r="P104" i="4"/>
  <c r="R104" i="4"/>
  <c r="T104" i="4"/>
  <c r="F104" i="4"/>
  <c r="H104" i="4"/>
  <c r="J104" i="4"/>
  <c r="L104" i="4"/>
  <c r="P103" i="4"/>
  <c r="R103" i="4"/>
  <c r="T103" i="4"/>
  <c r="F103" i="4"/>
  <c r="H103" i="4"/>
  <c r="J103" i="4"/>
  <c r="L103" i="4"/>
  <c r="P102" i="4"/>
  <c r="R102" i="4"/>
  <c r="T102" i="4"/>
  <c r="F102" i="4"/>
  <c r="H102" i="4"/>
  <c r="J102" i="4"/>
  <c r="L102" i="4"/>
  <c r="P101" i="4"/>
  <c r="R101" i="4"/>
  <c r="T101" i="4"/>
  <c r="F101" i="4"/>
  <c r="H101" i="4"/>
  <c r="J101" i="4"/>
  <c r="L101" i="4"/>
  <c r="P100" i="4"/>
  <c r="R100" i="4"/>
  <c r="T100" i="4"/>
  <c r="F100" i="4"/>
  <c r="H100" i="4"/>
  <c r="J100" i="4"/>
  <c r="L100" i="4"/>
  <c r="P99" i="4"/>
  <c r="R99" i="4"/>
  <c r="T99" i="4"/>
  <c r="P98" i="4"/>
  <c r="R98" i="4"/>
  <c r="T98" i="4"/>
  <c r="F98" i="4"/>
  <c r="H98" i="4"/>
  <c r="J98" i="4"/>
  <c r="L98" i="4"/>
  <c r="F97" i="4"/>
  <c r="H97" i="4"/>
  <c r="J97" i="4"/>
  <c r="L97" i="4"/>
  <c r="F96" i="4"/>
  <c r="H96" i="4"/>
  <c r="J96" i="4"/>
  <c r="L96" i="4"/>
  <c r="P95" i="4"/>
  <c r="R95" i="4"/>
  <c r="T95" i="4"/>
  <c r="F95" i="4"/>
  <c r="H95" i="4"/>
  <c r="J95" i="4"/>
  <c r="L95" i="4"/>
  <c r="P94" i="4"/>
  <c r="R94" i="4"/>
  <c r="T94" i="4"/>
  <c r="F94" i="4"/>
  <c r="H94" i="4"/>
  <c r="J94" i="4"/>
  <c r="L94" i="4"/>
  <c r="P93" i="4"/>
  <c r="R93" i="4"/>
  <c r="T93" i="4"/>
  <c r="F93" i="4"/>
  <c r="H93" i="4"/>
  <c r="J93" i="4"/>
  <c r="L93" i="4"/>
  <c r="P92" i="4"/>
  <c r="R92" i="4"/>
  <c r="T92" i="4"/>
  <c r="F92" i="4"/>
  <c r="H92" i="4"/>
  <c r="J92" i="4"/>
  <c r="L92" i="4"/>
  <c r="P91" i="4"/>
  <c r="R91" i="4"/>
  <c r="T91" i="4"/>
  <c r="P90" i="4"/>
  <c r="R90" i="4"/>
  <c r="T90" i="4"/>
  <c r="F90" i="4"/>
  <c r="H90" i="4"/>
  <c r="J90" i="4"/>
  <c r="L90" i="4"/>
  <c r="P89" i="4"/>
  <c r="R89" i="4"/>
  <c r="T89" i="4"/>
  <c r="F89" i="4"/>
  <c r="H89" i="4"/>
  <c r="J89" i="4"/>
  <c r="L89" i="4"/>
  <c r="F88" i="4"/>
  <c r="H88" i="4"/>
  <c r="J88" i="4"/>
  <c r="L88" i="4"/>
  <c r="F87" i="4"/>
  <c r="H87" i="4"/>
  <c r="J87" i="4"/>
  <c r="L87" i="4"/>
  <c r="P86" i="4"/>
  <c r="R86" i="4"/>
  <c r="T86" i="4"/>
  <c r="F86" i="4"/>
  <c r="H86" i="4"/>
  <c r="J86" i="4"/>
  <c r="L86" i="4"/>
  <c r="P85" i="4"/>
  <c r="R85" i="4"/>
  <c r="T85" i="4"/>
  <c r="F85" i="4"/>
  <c r="H85" i="4"/>
  <c r="J85" i="4"/>
  <c r="L85" i="4"/>
  <c r="P84" i="4"/>
  <c r="R84" i="4"/>
  <c r="T84" i="4"/>
  <c r="F84" i="4"/>
  <c r="H84" i="4"/>
  <c r="J84" i="4"/>
  <c r="L84" i="4"/>
  <c r="P83" i="4"/>
  <c r="R83" i="4"/>
  <c r="T83" i="4"/>
  <c r="F83" i="4"/>
  <c r="H83" i="4"/>
  <c r="J83" i="4"/>
  <c r="L83" i="4"/>
  <c r="P82" i="4"/>
  <c r="R82" i="4"/>
  <c r="T82" i="4"/>
  <c r="F82" i="4"/>
  <c r="H82" i="4"/>
  <c r="J82" i="4"/>
  <c r="L82" i="4"/>
  <c r="P81" i="4"/>
  <c r="R81" i="4"/>
  <c r="T81" i="4"/>
  <c r="F81" i="4"/>
  <c r="H81" i="4"/>
  <c r="J81" i="4"/>
  <c r="L81" i="4"/>
  <c r="P80" i="4"/>
  <c r="R80" i="4"/>
  <c r="T80" i="4"/>
  <c r="F80" i="4"/>
  <c r="H80" i="4"/>
  <c r="J80" i="4"/>
  <c r="L80" i="4"/>
  <c r="P79" i="4"/>
  <c r="R79" i="4"/>
  <c r="T79" i="4"/>
  <c r="F79" i="4"/>
  <c r="H79" i="4"/>
  <c r="J79" i="4"/>
  <c r="L79" i="4"/>
  <c r="F78" i="4"/>
  <c r="H78" i="4"/>
  <c r="J78" i="4"/>
  <c r="L78" i="4"/>
  <c r="P77" i="4"/>
  <c r="R77" i="4"/>
  <c r="T77" i="4"/>
  <c r="F77" i="4"/>
  <c r="H77" i="4"/>
  <c r="J77" i="4"/>
  <c r="L77" i="4"/>
  <c r="F76" i="4"/>
  <c r="H76" i="4"/>
  <c r="J76" i="4"/>
  <c r="L76" i="4"/>
  <c r="P75" i="4"/>
  <c r="R75" i="4"/>
  <c r="T75" i="4"/>
  <c r="F75" i="4"/>
  <c r="H75" i="4"/>
  <c r="J75" i="4"/>
  <c r="L75" i="4"/>
  <c r="P74" i="4"/>
  <c r="R74" i="4"/>
  <c r="T74" i="4"/>
  <c r="P73" i="4"/>
  <c r="R73" i="4"/>
  <c r="T73" i="4"/>
  <c r="F73" i="4"/>
  <c r="H73" i="4"/>
  <c r="J73" i="4"/>
  <c r="L73" i="4"/>
  <c r="P72" i="4"/>
  <c r="R72" i="4"/>
  <c r="T72" i="4"/>
  <c r="F72" i="4"/>
  <c r="H72" i="4"/>
  <c r="J72" i="4"/>
  <c r="L72" i="4"/>
  <c r="P71" i="4"/>
  <c r="R71" i="4"/>
  <c r="T71" i="4"/>
  <c r="F71" i="4"/>
  <c r="H71" i="4"/>
  <c r="J71" i="4"/>
  <c r="L71" i="4"/>
  <c r="P70" i="4"/>
  <c r="R70" i="4"/>
  <c r="T70" i="4"/>
  <c r="F70" i="4"/>
  <c r="H70" i="4"/>
  <c r="J70" i="4"/>
  <c r="L70" i="4"/>
  <c r="F69" i="4"/>
  <c r="H69" i="4"/>
  <c r="J69" i="4"/>
  <c r="L69" i="4"/>
  <c r="P68" i="4"/>
  <c r="R68" i="4"/>
  <c r="T68" i="4"/>
  <c r="F68" i="4"/>
  <c r="H68" i="4"/>
  <c r="J68" i="4"/>
  <c r="L68" i="4"/>
  <c r="P67" i="4"/>
  <c r="R67" i="4"/>
  <c r="T67" i="4"/>
  <c r="P66" i="4"/>
  <c r="R66" i="4"/>
  <c r="T66" i="4"/>
  <c r="F66" i="4"/>
  <c r="H66" i="4"/>
  <c r="J66" i="4"/>
  <c r="L66" i="4"/>
  <c r="P65" i="4"/>
  <c r="R65" i="4"/>
  <c r="T65" i="4"/>
  <c r="F65" i="4"/>
  <c r="H65" i="4"/>
  <c r="J65" i="4"/>
  <c r="L65" i="4"/>
  <c r="P64" i="4"/>
  <c r="R64" i="4"/>
  <c r="T64" i="4"/>
  <c r="F64" i="4"/>
  <c r="H64" i="4"/>
  <c r="J64" i="4"/>
  <c r="L64" i="4"/>
  <c r="P63" i="4"/>
  <c r="R63" i="4"/>
  <c r="T63" i="4"/>
  <c r="P62" i="4"/>
  <c r="R62" i="4"/>
  <c r="T62" i="4"/>
  <c r="F62" i="4"/>
  <c r="H62" i="4"/>
  <c r="J62" i="4"/>
  <c r="L62" i="4"/>
  <c r="P61" i="4"/>
  <c r="R61" i="4"/>
  <c r="T61" i="4"/>
  <c r="F61" i="4"/>
  <c r="H61" i="4"/>
  <c r="J61" i="4"/>
  <c r="L61" i="4"/>
  <c r="P60" i="4"/>
  <c r="R60" i="4"/>
  <c r="T60" i="4"/>
  <c r="F60" i="4"/>
  <c r="H60" i="4"/>
  <c r="J60" i="4"/>
  <c r="L60" i="4"/>
  <c r="P59" i="4"/>
  <c r="R59" i="4"/>
  <c r="T59" i="4"/>
  <c r="F59" i="4"/>
  <c r="H59" i="4"/>
  <c r="J59" i="4"/>
  <c r="L59" i="4"/>
  <c r="P58" i="4"/>
  <c r="R58" i="4"/>
  <c r="T58" i="4"/>
  <c r="F58" i="4"/>
  <c r="H58" i="4"/>
  <c r="J58" i="4"/>
  <c r="L58" i="4"/>
  <c r="F57" i="4"/>
  <c r="H57" i="4"/>
  <c r="J57" i="4"/>
  <c r="L57" i="4"/>
  <c r="P56" i="4"/>
  <c r="R56" i="4"/>
  <c r="T56" i="4"/>
  <c r="F56" i="4"/>
  <c r="H56" i="4"/>
  <c r="J56" i="4"/>
  <c r="L56" i="4"/>
  <c r="P55" i="4"/>
  <c r="R55" i="4"/>
  <c r="T55" i="4"/>
  <c r="F55" i="4"/>
  <c r="H55" i="4"/>
  <c r="J55" i="4"/>
  <c r="L55" i="4"/>
  <c r="P54" i="4"/>
  <c r="R54" i="4"/>
  <c r="T54" i="4"/>
  <c r="F54" i="4"/>
  <c r="H54" i="4"/>
  <c r="J54" i="4"/>
  <c r="L54" i="4"/>
  <c r="P53" i="4"/>
  <c r="R53" i="4"/>
  <c r="T53" i="4"/>
  <c r="F53" i="4"/>
  <c r="H53" i="4"/>
  <c r="J53" i="4"/>
  <c r="L53" i="4"/>
  <c r="F52" i="4"/>
  <c r="H52" i="4"/>
  <c r="J52" i="4"/>
  <c r="L52" i="4"/>
  <c r="P51" i="4"/>
  <c r="R51" i="4"/>
  <c r="T51" i="4"/>
  <c r="P50" i="4"/>
  <c r="R50" i="4"/>
  <c r="T50" i="4"/>
  <c r="P49" i="4"/>
  <c r="R49" i="4"/>
  <c r="T49" i="4"/>
  <c r="J49" i="4"/>
  <c r="F49" i="4"/>
  <c r="H49" i="4"/>
  <c r="L49" i="4"/>
  <c r="P48" i="4"/>
  <c r="R48" i="4"/>
  <c r="T48" i="4"/>
  <c r="F48" i="4"/>
  <c r="H48" i="4"/>
  <c r="J48" i="4"/>
  <c r="L48" i="4"/>
  <c r="P47" i="4"/>
  <c r="R47" i="4"/>
  <c r="T47" i="4"/>
  <c r="F47" i="4"/>
  <c r="H47" i="4"/>
  <c r="J47" i="4"/>
  <c r="L47" i="4"/>
  <c r="P46" i="4"/>
  <c r="R46" i="4"/>
  <c r="T46" i="4"/>
  <c r="F46" i="4"/>
  <c r="H46" i="4"/>
  <c r="J46" i="4"/>
  <c r="L46" i="4"/>
  <c r="P44" i="4"/>
  <c r="R44" i="4"/>
  <c r="T44" i="4"/>
  <c r="F44" i="4"/>
  <c r="H44" i="4"/>
  <c r="J44" i="4"/>
  <c r="L44" i="4"/>
  <c r="F43" i="4"/>
  <c r="H43" i="4"/>
  <c r="J43" i="4"/>
  <c r="L43" i="4"/>
  <c r="P42" i="4"/>
  <c r="R42" i="4"/>
  <c r="T42" i="4"/>
  <c r="F42" i="4"/>
  <c r="H42" i="4"/>
  <c r="J42" i="4"/>
  <c r="L42" i="4"/>
  <c r="P41" i="4"/>
  <c r="R41" i="4"/>
  <c r="T41" i="4"/>
  <c r="F41" i="4"/>
  <c r="H41" i="4"/>
  <c r="J41" i="4"/>
  <c r="L41" i="4"/>
  <c r="P40" i="4"/>
  <c r="R40" i="4"/>
  <c r="T40" i="4"/>
  <c r="F40" i="4"/>
  <c r="H40" i="4"/>
  <c r="J40" i="4"/>
  <c r="L40" i="4"/>
  <c r="P38" i="4"/>
  <c r="R38" i="4"/>
  <c r="T38" i="4"/>
  <c r="F38" i="4"/>
  <c r="H38" i="4"/>
  <c r="J38" i="4"/>
  <c r="L38" i="4"/>
  <c r="P37" i="4"/>
  <c r="R37" i="4"/>
  <c r="T37" i="4"/>
  <c r="F37" i="4"/>
  <c r="H37" i="4"/>
  <c r="J37" i="4"/>
  <c r="L37" i="4"/>
  <c r="P36" i="4"/>
  <c r="R36" i="4"/>
  <c r="T36" i="4"/>
  <c r="F36" i="4"/>
  <c r="H36" i="4"/>
  <c r="J36" i="4"/>
  <c r="L36" i="4"/>
  <c r="P35" i="4"/>
  <c r="R35" i="4"/>
  <c r="T35" i="4"/>
  <c r="P34" i="4"/>
  <c r="R34" i="4"/>
  <c r="T34" i="4"/>
  <c r="P33" i="4"/>
  <c r="R33" i="4"/>
  <c r="T33" i="4"/>
  <c r="H33" i="4"/>
  <c r="L33" i="4"/>
  <c r="F33" i="4"/>
  <c r="J33" i="4"/>
  <c r="R32" i="4"/>
  <c r="P32" i="4"/>
  <c r="T32" i="4"/>
  <c r="R31" i="4"/>
  <c r="T31" i="4"/>
  <c r="P31" i="4"/>
  <c r="F31" i="4"/>
  <c r="H31" i="4"/>
  <c r="J31" i="4"/>
  <c r="L31" i="4"/>
  <c r="R30" i="4"/>
  <c r="T30" i="4"/>
  <c r="P30" i="4"/>
  <c r="F30" i="4"/>
  <c r="J30" i="4"/>
  <c r="H30" i="4"/>
  <c r="L30" i="4"/>
  <c r="R29" i="4"/>
  <c r="P29" i="4"/>
  <c r="T29" i="4"/>
  <c r="F29" i="4"/>
  <c r="L29" i="4"/>
  <c r="H29" i="4"/>
  <c r="J29" i="4"/>
  <c r="P27" i="4"/>
  <c r="R27" i="4"/>
  <c r="T27" i="4"/>
  <c r="H27" i="4"/>
  <c r="F27" i="4"/>
  <c r="J27" i="4"/>
  <c r="L27" i="4"/>
  <c r="P26" i="4"/>
  <c r="R26" i="4"/>
  <c r="T26" i="4"/>
  <c r="H26" i="4"/>
  <c r="F26" i="4"/>
  <c r="J26" i="4"/>
  <c r="L26" i="4"/>
  <c r="P25" i="4"/>
  <c r="R25" i="4"/>
  <c r="T25" i="4"/>
  <c r="H25" i="4"/>
  <c r="F25" i="4"/>
  <c r="J25" i="4"/>
  <c r="L25" i="4"/>
  <c r="P24" i="4"/>
  <c r="R24" i="4"/>
  <c r="T24" i="4"/>
  <c r="F24" i="4"/>
  <c r="H24" i="4"/>
  <c r="J24" i="4"/>
  <c r="L24" i="4"/>
  <c r="F23" i="4"/>
  <c r="H23" i="4"/>
  <c r="J23" i="4"/>
  <c r="L23" i="4"/>
  <c r="J22" i="4"/>
  <c r="L22" i="4"/>
  <c r="F22" i="4"/>
  <c r="H22" i="4"/>
  <c r="P21" i="4"/>
  <c r="R21" i="4"/>
  <c r="T21" i="4"/>
  <c r="F21" i="4"/>
  <c r="H21" i="4"/>
  <c r="J21" i="4"/>
  <c r="L21" i="4"/>
  <c r="P20" i="4"/>
  <c r="R20" i="4"/>
  <c r="T20" i="4"/>
  <c r="H20" i="4"/>
  <c r="F20" i="4"/>
  <c r="J20" i="4"/>
  <c r="L20" i="4"/>
  <c r="P19" i="4"/>
  <c r="T19" i="4"/>
  <c r="R19" i="4"/>
  <c r="F19" i="4"/>
  <c r="J19" i="4"/>
  <c r="L19" i="4"/>
  <c r="H19" i="4"/>
  <c r="P18" i="4"/>
  <c r="T18" i="4"/>
  <c r="R18" i="4"/>
  <c r="F18" i="4"/>
  <c r="H18" i="4"/>
  <c r="L18" i="4"/>
  <c r="J18" i="4"/>
  <c r="R17" i="4"/>
  <c r="P17" i="4"/>
  <c r="T17" i="4"/>
  <c r="J17" i="4"/>
  <c r="L17" i="4"/>
  <c r="F17" i="4"/>
  <c r="H17" i="4"/>
  <c r="P16" i="4"/>
  <c r="R16" i="4"/>
  <c r="T16" i="4"/>
  <c r="H16" i="4"/>
  <c r="F16" i="4"/>
  <c r="J16" i="4"/>
  <c r="L16" i="4"/>
  <c r="P15" i="4"/>
  <c r="R15" i="4"/>
  <c r="T15" i="4"/>
  <c r="H15" i="4"/>
  <c r="J15" i="4"/>
  <c r="F15" i="4"/>
  <c r="L15" i="4"/>
  <c r="T14" i="4"/>
  <c r="P14" i="4"/>
  <c r="R14" i="4"/>
  <c r="J13" i="4"/>
  <c r="F13" i="4"/>
  <c r="H13" i="4"/>
  <c r="L13" i="4"/>
  <c r="P12" i="4"/>
  <c r="T12" i="4"/>
  <c r="R12" i="4"/>
  <c r="F11" i="4"/>
  <c r="H11" i="4"/>
  <c r="J11" i="4"/>
  <c r="L11" i="4"/>
  <c r="R10" i="4"/>
  <c r="P10" i="4"/>
  <c r="T10" i="4"/>
  <c r="T9" i="4"/>
  <c r="R9" i="4"/>
  <c r="P9" i="4"/>
  <c r="F9" i="4"/>
  <c r="H9" i="4"/>
  <c r="J9" i="4"/>
  <c r="L9" i="4"/>
  <c r="P7" i="4"/>
  <c r="R7" i="4"/>
  <c r="T7" i="4"/>
  <c r="H7" i="4"/>
  <c r="L7" i="4"/>
  <c r="F7" i="4"/>
  <c r="J7" i="4"/>
  <c r="P6" i="4"/>
  <c r="R6" i="4"/>
  <c r="T6" i="4"/>
  <c r="F6" i="4"/>
  <c r="H6" i="4"/>
  <c r="J6" i="4"/>
  <c r="L6" i="4"/>
  <c r="L6" i="1"/>
  <c r="R6" i="1"/>
  <c r="F6" i="1"/>
  <c r="P6" i="1"/>
  <c r="P7" i="1"/>
  <c r="R7" i="1"/>
  <c r="F7" i="1"/>
  <c r="R9" i="1"/>
  <c r="F9" i="1"/>
  <c r="P9" i="1"/>
  <c r="R10" i="1"/>
  <c r="P10" i="1"/>
  <c r="F10" i="1"/>
  <c r="R11" i="1"/>
  <c r="P11" i="1"/>
  <c r="F11" i="1"/>
  <c r="P12" i="1"/>
  <c r="R12" i="1"/>
  <c r="F12" i="1"/>
  <c r="R13" i="1"/>
  <c r="F13" i="1"/>
  <c r="P13" i="1"/>
  <c r="P14" i="1"/>
  <c r="F14" i="1"/>
  <c r="R14" i="1"/>
  <c r="F15" i="1"/>
  <c r="P15" i="1"/>
  <c r="R15" i="1"/>
  <c r="F16" i="1"/>
  <c r="R16" i="1"/>
  <c r="P16" i="1"/>
  <c r="R17" i="1"/>
  <c r="F17" i="1"/>
  <c r="P17" i="1"/>
  <c r="F18" i="1"/>
  <c r="R18" i="1"/>
  <c r="P18" i="1"/>
  <c r="R19" i="1"/>
  <c r="F19" i="1"/>
  <c r="P19" i="1"/>
  <c r="F20" i="1"/>
  <c r="R20" i="1"/>
  <c r="P20" i="1"/>
  <c r="R21" i="1"/>
  <c r="F21" i="1"/>
  <c r="P21" i="1"/>
  <c r="R22" i="1"/>
  <c r="P22" i="1"/>
  <c r="F22" i="1"/>
  <c r="R23" i="1"/>
  <c r="P23" i="1"/>
  <c r="F23" i="1"/>
  <c r="R24" i="1"/>
  <c r="P24" i="1"/>
  <c r="F24" i="1"/>
  <c r="R25" i="1"/>
  <c r="P25" i="1"/>
  <c r="F25" i="1"/>
  <c r="R26" i="1"/>
  <c r="P26" i="1"/>
  <c r="F26" i="1"/>
  <c r="R27" i="1"/>
  <c r="P27" i="1"/>
  <c r="F27" i="1"/>
  <c r="P29" i="1"/>
  <c r="R29" i="1"/>
  <c r="F29" i="1"/>
  <c r="P30" i="1"/>
  <c r="R30" i="1"/>
  <c r="F30" i="1"/>
  <c r="R31" i="1"/>
  <c r="P31" i="1"/>
  <c r="F31" i="1"/>
  <c r="F32" i="1"/>
  <c r="P32" i="1"/>
  <c r="R32" i="1"/>
  <c r="F33" i="1"/>
  <c r="P33" i="1"/>
  <c r="R33" i="1"/>
  <c r="P34" i="1"/>
  <c r="R34" i="1"/>
  <c r="F34" i="1"/>
  <c r="F35" i="1"/>
  <c r="P35" i="1"/>
  <c r="R35" i="1"/>
  <c r="F36" i="1"/>
  <c r="P36" i="1"/>
  <c r="R36" i="1"/>
  <c r="F37" i="1"/>
  <c r="P37" i="1"/>
  <c r="R37" i="1"/>
  <c r="F38" i="1"/>
  <c r="P38" i="1"/>
  <c r="N38" i="1"/>
  <c r="R38" i="1"/>
  <c r="R40" i="1"/>
  <c r="P40" i="1"/>
  <c r="F40" i="1"/>
  <c r="F41" i="1"/>
  <c r="P41" i="1"/>
  <c r="R41" i="1"/>
  <c r="P42" i="1"/>
  <c r="R42" i="1"/>
  <c r="F42" i="1"/>
  <c r="F43" i="1"/>
  <c r="P43" i="1"/>
  <c r="R43" i="1"/>
  <c r="R44" i="1"/>
  <c r="P44" i="1"/>
  <c r="F44" i="1"/>
  <c r="F46" i="1"/>
  <c r="R46" i="1"/>
  <c r="P46" i="1"/>
  <c r="F47" i="1"/>
  <c r="P47" i="1"/>
  <c r="R47" i="1"/>
  <c r="R48" i="1"/>
  <c r="F48" i="1"/>
  <c r="P48" i="1"/>
  <c r="P49" i="1"/>
  <c r="F49" i="1"/>
  <c r="R49" i="1"/>
  <c r="R50" i="1"/>
  <c r="F50" i="1"/>
  <c r="P50" i="1"/>
  <c r="P51" i="1"/>
  <c r="R51" i="1"/>
  <c r="F51" i="1"/>
  <c r="R52" i="1"/>
  <c r="P52" i="1"/>
  <c r="F52" i="1"/>
  <c r="F53" i="1"/>
  <c r="P53" i="1"/>
  <c r="R53" i="1"/>
  <c r="R54" i="1"/>
  <c r="F54" i="1"/>
  <c r="P54" i="1"/>
  <c r="P55" i="1"/>
  <c r="F55" i="1"/>
  <c r="R55" i="1"/>
  <c r="F56" i="1"/>
  <c r="R56" i="1"/>
  <c r="P56" i="1"/>
  <c r="R57" i="1"/>
  <c r="P57" i="1"/>
  <c r="F57" i="1"/>
  <c r="P58" i="1"/>
  <c r="R58" i="1"/>
  <c r="F58" i="1"/>
  <c r="R59" i="1"/>
  <c r="P59" i="1"/>
  <c r="F59" i="1"/>
  <c r="P60" i="1"/>
  <c r="F60" i="1"/>
  <c r="R60" i="1"/>
  <c r="R61" i="1"/>
  <c r="P61" i="1"/>
  <c r="F61" i="1"/>
  <c r="F62" i="1"/>
  <c r="P62" i="1"/>
  <c r="R62" i="1"/>
  <c r="R63" i="1"/>
  <c r="F63" i="1"/>
  <c r="P63" i="1"/>
  <c r="P64" i="1"/>
  <c r="R64" i="1"/>
  <c r="F64" i="1"/>
  <c r="F65" i="1"/>
  <c r="R65" i="1"/>
  <c r="P65" i="1"/>
  <c r="R66" i="1"/>
  <c r="F66" i="1"/>
  <c r="P66" i="1"/>
  <c r="F67" i="1"/>
  <c r="P67" i="1"/>
  <c r="R67" i="1"/>
  <c r="R68" i="1"/>
  <c r="P68" i="1"/>
  <c r="F68" i="1"/>
  <c r="P69" i="1"/>
  <c r="F69" i="1"/>
  <c r="R69" i="1"/>
  <c r="R70" i="1"/>
  <c r="F70" i="1"/>
  <c r="P70" i="1"/>
  <c r="R71" i="1"/>
  <c r="F71" i="1"/>
  <c r="P71" i="1"/>
  <c r="R72" i="1"/>
  <c r="P72" i="1"/>
  <c r="F72" i="1"/>
  <c r="P73" i="1"/>
  <c r="R73" i="1"/>
  <c r="F73" i="1"/>
  <c r="F74" i="1"/>
  <c r="R74" i="1"/>
  <c r="P74" i="1"/>
  <c r="R75" i="1"/>
  <c r="F75" i="1"/>
  <c r="P75" i="1"/>
  <c r="F76" i="1"/>
  <c r="R76" i="1"/>
  <c r="P76" i="1"/>
  <c r="R77" i="1"/>
  <c r="P77" i="1"/>
  <c r="F77" i="1"/>
  <c r="P78" i="1"/>
  <c r="R78" i="1"/>
  <c r="F78" i="1"/>
  <c r="R79" i="1"/>
  <c r="F79" i="1"/>
  <c r="P79" i="1"/>
  <c r="F80" i="1"/>
  <c r="R80" i="1"/>
  <c r="P80" i="1"/>
  <c r="R81" i="1"/>
  <c r="F81" i="1"/>
  <c r="P81" i="1"/>
  <c r="P82" i="1"/>
  <c r="F82" i="1"/>
  <c r="R82" i="1"/>
  <c r="R83" i="1"/>
  <c r="P83" i="1"/>
  <c r="F83" i="1"/>
  <c r="F84" i="1"/>
  <c r="R84" i="1"/>
  <c r="P84" i="1"/>
  <c r="R85" i="1"/>
  <c r="F85" i="1"/>
  <c r="P85" i="1"/>
  <c r="F86" i="1"/>
  <c r="R86" i="1"/>
  <c r="P86" i="1"/>
  <c r="R87" i="1"/>
  <c r="F87" i="1"/>
  <c r="P87" i="1"/>
  <c r="F88" i="1"/>
  <c r="R88" i="1"/>
  <c r="P88" i="1"/>
  <c r="F89" i="1"/>
  <c r="R89" i="1"/>
  <c r="P89" i="1"/>
  <c r="F90" i="1"/>
  <c r="P90" i="1"/>
  <c r="R90" i="1"/>
  <c r="R91" i="1"/>
  <c r="P91" i="1"/>
  <c r="F91" i="1"/>
  <c r="R92" i="1"/>
  <c r="F92" i="1"/>
  <c r="P92" i="1"/>
  <c r="F93" i="1"/>
  <c r="R93" i="1"/>
  <c r="P93" i="1"/>
  <c r="R94" i="1"/>
  <c r="F94" i="1"/>
  <c r="P94" i="1"/>
  <c r="R95" i="1"/>
  <c r="P95" i="1"/>
  <c r="F95" i="1"/>
  <c r="R96" i="1"/>
  <c r="F96" i="1"/>
  <c r="P96" i="1"/>
  <c r="F97" i="1"/>
  <c r="P97" i="1"/>
  <c r="R97" i="1"/>
  <c r="R98" i="1"/>
  <c r="F98" i="1"/>
  <c r="P98" i="1"/>
  <c r="R99" i="1"/>
  <c r="P99" i="1"/>
  <c r="F99" i="1"/>
  <c r="R100" i="1"/>
  <c r="F100" i="1"/>
  <c r="P100" i="1"/>
  <c r="R101" i="1"/>
  <c r="P101" i="1"/>
  <c r="F101" i="1"/>
  <c r="R102" i="1"/>
  <c r="F102" i="1"/>
  <c r="P102" i="1"/>
  <c r="R103" i="1"/>
  <c r="P103" i="1"/>
  <c r="F103" i="1"/>
  <c r="P104" i="1"/>
  <c r="R104" i="1"/>
  <c r="R105" i="1"/>
  <c r="P105" i="1"/>
  <c r="R106" i="1"/>
  <c r="P106" i="1"/>
  <c r="R107" i="1"/>
  <c r="P107" i="1"/>
  <c r="R108" i="1"/>
  <c r="P108" i="1"/>
  <c r="R109" i="1"/>
  <c r="P109" i="1"/>
  <c r="R110" i="1"/>
  <c r="P110" i="1"/>
  <c r="R111" i="1"/>
  <c r="P111" i="1"/>
  <c r="R112" i="1"/>
  <c r="P112" i="1"/>
  <c r="R113" i="1"/>
  <c r="P113" i="1"/>
  <c r="R114" i="1"/>
  <c r="P114" i="1"/>
  <c r="R115" i="1"/>
  <c r="P115" i="1"/>
  <c r="R116" i="1"/>
  <c r="P116" i="1"/>
  <c r="R117" i="1"/>
  <c r="P117" i="1"/>
  <c r="R118" i="1"/>
  <c r="P118" i="1"/>
  <c r="R119" i="1"/>
  <c r="P119" i="1"/>
  <c r="R120" i="1"/>
  <c r="P120" i="1"/>
  <c r="P121" i="1"/>
  <c r="R121" i="1"/>
  <c r="R122" i="1"/>
  <c r="P122" i="1"/>
  <c r="R123" i="1"/>
  <c r="P123" i="1"/>
  <c r="P124" i="1"/>
  <c r="R124" i="1"/>
  <c r="R125" i="1"/>
  <c r="P125" i="1"/>
  <c r="P126" i="1"/>
  <c r="R126" i="1"/>
  <c r="R127" i="1"/>
  <c r="P127" i="1"/>
  <c r="P128" i="1"/>
  <c r="R128" i="1"/>
  <c r="R129" i="1"/>
  <c r="P129" i="1"/>
  <c r="R130" i="1"/>
  <c r="P130" i="1"/>
</calcChain>
</file>

<file path=xl/sharedStrings.xml><?xml version="1.0" encoding="utf-8"?>
<sst xmlns="http://schemas.openxmlformats.org/spreadsheetml/2006/main" count="876" uniqueCount="282">
  <si>
    <t>%</t>
  </si>
  <si>
    <t>Total</t>
  </si>
  <si>
    <t>Gastos</t>
  </si>
  <si>
    <t>Amortizacion</t>
  </si>
  <si>
    <t>Mejora en Propiedades Arrendadas</t>
  </si>
  <si>
    <t>Amortizacion Derechos en Arrendamiento</t>
  </si>
  <si>
    <t>Arrendamiento</t>
  </si>
  <si>
    <t>Arrendamiento oficinas Administrativas VEN</t>
  </si>
  <si>
    <t>Arrendamiento Sede Comercial</t>
  </si>
  <si>
    <t>Otros Arrendamientos</t>
  </si>
  <si>
    <t>Arrendamientos bienes Inmuebles</t>
  </si>
  <si>
    <t>Depreciación</t>
  </si>
  <si>
    <t>Edificios y Almacenes Depreciacion</t>
  </si>
  <si>
    <t>Camiones</t>
  </si>
  <si>
    <t>Camiones Depreciacion</t>
  </si>
  <si>
    <t>Otros equipos</t>
  </si>
  <si>
    <t>Otros equipos Depreciacion</t>
  </si>
  <si>
    <t>Fletes y transporte</t>
  </si>
  <si>
    <t>Transporte y fletes</t>
  </si>
  <si>
    <t>Gasolina</t>
  </si>
  <si>
    <t>Gasoil</t>
  </si>
  <si>
    <t>Gastos de IT</t>
  </si>
  <si>
    <t>Servidor</t>
  </si>
  <si>
    <t>Aplicaciones</t>
  </si>
  <si>
    <t>Licencias</t>
  </si>
  <si>
    <t>Licencias y Usuarios ERP</t>
  </si>
  <si>
    <t>Hosting y Dominio</t>
  </si>
  <si>
    <t>Ciberseguridad</t>
  </si>
  <si>
    <t>Credito de Servidores FIX</t>
  </si>
  <si>
    <t>Otros Servicios de Procesamiento</t>
  </si>
  <si>
    <t>Redes y materiales de Conectabilidad</t>
  </si>
  <si>
    <t>Gastos de personal</t>
  </si>
  <si>
    <t>Sueldos</t>
  </si>
  <si>
    <t>Prestaciones Sociales</t>
  </si>
  <si>
    <t>Gastos Nomina Vacaciones</t>
  </si>
  <si>
    <t>Ayuda Transporte</t>
  </si>
  <si>
    <t>Gastos Nomina Liquidacion</t>
  </si>
  <si>
    <t>Gastos Nomina Domingos y Feriados</t>
  </si>
  <si>
    <t>Pagos cesta tickets</t>
  </si>
  <si>
    <t>Gastos Bono Nocturno</t>
  </si>
  <si>
    <t>Gastos de Personal Utilidades</t>
  </si>
  <si>
    <t>Aportes al Seguro Social Obligatorio</t>
  </si>
  <si>
    <t>Aportes a Regimen Prestacional Vivienda y Habitat</t>
  </si>
  <si>
    <t>Aportes a INCE</t>
  </si>
  <si>
    <t>FAOV (No utilizar)</t>
  </si>
  <si>
    <t>Gastos complemento Variable</t>
  </si>
  <si>
    <t>Gastos Nomina FIX Complementaria</t>
  </si>
  <si>
    <t>Gastos Nomina Complementaria de Alimentacion</t>
  </si>
  <si>
    <t>Gastos Nomina Bonificacion Extrasalarial</t>
  </si>
  <si>
    <t>Gastos Nomina Meta</t>
  </si>
  <si>
    <t>Gastos Nomina Complementos Alimentacion (NO USAR )</t>
  </si>
  <si>
    <t>Gastos Nomina Liquidación Complemento</t>
  </si>
  <si>
    <t>Cursos y Capacitaciones</t>
  </si>
  <si>
    <t>Gastos médicos</t>
  </si>
  <si>
    <t>Gastos Asesoría Legal</t>
  </si>
  <si>
    <t>Seguros HCM</t>
  </si>
  <si>
    <t>Seguros Accidentes Personales</t>
  </si>
  <si>
    <t xml:space="preserve"> Viaticos RRHH</t>
  </si>
  <si>
    <t>Viaticos RRHH</t>
  </si>
  <si>
    <t>Transporte de personal</t>
  </si>
  <si>
    <t>Gastos de viaje</t>
  </si>
  <si>
    <t>Viaticos</t>
  </si>
  <si>
    <t>Pasajes aéreos</t>
  </si>
  <si>
    <t>Otros gastos de viajes</t>
  </si>
  <si>
    <t>Viaticos China</t>
  </si>
  <si>
    <t>Gastos financieros</t>
  </si>
  <si>
    <t>Comisiones y Servicios Bancarios</t>
  </si>
  <si>
    <t>Intereses</t>
  </si>
  <si>
    <t>Comisiones Financiadoras</t>
  </si>
  <si>
    <t>Otras comisiones</t>
  </si>
  <si>
    <t>Honorarios Profesionales</t>
  </si>
  <si>
    <t>Asesoría financiera</t>
  </si>
  <si>
    <t>Asesoría técnica</t>
  </si>
  <si>
    <t>Otros honorarios</t>
  </si>
  <si>
    <t>Servicios de Personal no relacionado</t>
  </si>
  <si>
    <t>Registro Mercantil</t>
  </si>
  <si>
    <t>Trámites y licencias</t>
  </si>
  <si>
    <t>Registro de marcas y/o Contrato de uso de marca</t>
  </si>
  <si>
    <t>Otros gastos legales</t>
  </si>
  <si>
    <t>impuestos sobre la renta</t>
  </si>
  <si>
    <t>Impuesto sobre la Renta ejercicio anterior</t>
  </si>
  <si>
    <t>Impuestos, tasas y contribuciones</t>
  </si>
  <si>
    <t>Nacionales</t>
  </si>
  <si>
    <t>Municipales</t>
  </si>
  <si>
    <t>Impuesto Municipal Remodelacion</t>
  </si>
  <si>
    <t>La Ley de Protección de las Pensiones de Seguridad Social</t>
  </si>
  <si>
    <t>Ley Organica Contra el Tráfico Ilícito y el Consumo de drogas (FONA)</t>
  </si>
  <si>
    <t>Ley de Ciencia y Tecnologia (FONACIT</t>
  </si>
  <si>
    <t>Instituto Nacional de Deportes IND</t>
  </si>
  <si>
    <t>Multas y Sanciones</t>
  </si>
  <si>
    <t>Donaciones</t>
  </si>
  <si>
    <t>Mantenimiento y reparaciones</t>
  </si>
  <si>
    <t>Mantenimientos bienes Inmuebles arrendados</t>
  </si>
  <si>
    <t>Condominios bienes Inmuebles arrendados</t>
  </si>
  <si>
    <t>Servicio de Alarmas</t>
  </si>
  <si>
    <t>Flota y Equipo de Transporte</t>
  </si>
  <si>
    <t>Reparaciones y mantenimientos a sedes y otras oficinas</t>
  </si>
  <si>
    <t>Materiales para la construccion y remodelaciones</t>
  </si>
  <si>
    <t>Equipo de oficina</t>
  </si>
  <si>
    <t>Equipo de computación y comunicación</t>
  </si>
  <si>
    <t>Mantenimiento de Flota y equipo de transporte</t>
  </si>
  <si>
    <t>Otros gastos de mantenimiento</t>
  </si>
  <si>
    <t>Mudanza y Remodelaciones mayores</t>
  </si>
  <si>
    <t>Mobiliario y equipo de oficinas</t>
  </si>
  <si>
    <t>Equipo y partes electronicas de oficinas</t>
  </si>
  <si>
    <t>Electrodomesticos y otros elementos de equipamiento</t>
  </si>
  <si>
    <t>Equipos, materiales e insumos FIX</t>
  </si>
  <si>
    <t>Equipos y dispositivos de seguridad</t>
  </si>
  <si>
    <t>Envases y material de embalaje</t>
  </si>
  <si>
    <t>Herramientas para la construccion</t>
  </si>
  <si>
    <t>Equipos y mobiliarios para eventos</t>
  </si>
  <si>
    <t>Marketing y Promoción</t>
  </si>
  <si>
    <t>Publicidad y Promocion</t>
  </si>
  <si>
    <t>Redes Sociales</t>
  </si>
  <si>
    <t>Eventos CANGURO</t>
  </si>
  <si>
    <t>Material publicitario</t>
  </si>
  <si>
    <t>Perdidas Financieras</t>
  </si>
  <si>
    <t>PERDIDA POR DIFERENCIA EN CAMBIO</t>
  </si>
  <si>
    <t>Seguros</t>
  </si>
  <si>
    <t>RCG Responsabilidad Civil General</t>
  </si>
  <si>
    <t>Otros Seguros</t>
  </si>
  <si>
    <t>Seguros latitud</t>
  </si>
  <si>
    <t>Servicios</t>
  </si>
  <si>
    <t>Aseo</t>
  </si>
  <si>
    <t>Vigilancia</t>
  </si>
  <si>
    <t>Agua Potable y Saneamiento</t>
  </si>
  <si>
    <t>Teléfono y Lineas Corporativas (POST PAGO)</t>
  </si>
  <si>
    <t>Internet</t>
  </si>
  <si>
    <t>Energia Electrica</t>
  </si>
  <si>
    <t>Correos y Valijas</t>
  </si>
  <si>
    <t>Condominio</t>
  </si>
  <si>
    <t>Estacionamiento</t>
  </si>
  <si>
    <t>Otros Servicios</t>
  </si>
  <si>
    <t>Varios</t>
  </si>
  <si>
    <t>Varios ( refrigerios, entre otros gastos de personal)</t>
  </si>
  <si>
    <t>Dotaciones varias</t>
  </si>
  <si>
    <t>Papeleria, utiles de Oficina y consumibles</t>
  </si>
  <si>
    <t>Elementos de Aseo y Cafetería</t>
  </si>
  <si>
    <t>Otros elementos de consumo</t>
  </si>
  <si>
    <t>Otros gastos diversos</t>
  </si>
  <si>
    <t>Insumos</t>
  </si>
  <si>
    <t>Otras Asignaciones No Salariales</t>
  </si>
  <si>
    <t>Costos y Gastos de ejercicios anteriores</t>
  </si>
  <si>
    <t>OTRAS CONTINGENCIAS E IMPREVISTOS</t>
  </si>
  <si>
    <t>Perdidas daños fix</t>
  </si>
  <si>
    <t>Perdida por deterioro de Inventarios</t>
  </si>
  <si>
    <t>Promedio</t>
  </si>
  <si>
    <t>Enero</t>
  </si>
  <si>
    <t>Febrero</t>
  </si>
  <si>
    <t>Marzo</t>
  </si>
  <si>
    <t>Abril</t>
  </si>
  <si>
    <t>Mayo</t>
  </si>
  <si>
    <t>Junio</t>
  </si>
  <si>
    <t>Julio</t>
  </si>
  <si>
    <t>valores entre -5% y 5%</t>
  </si>
  <si>
    <t>valores entre -15% y 15%</t>
  </si>
  <si>
    <t>valores menores a -15% y mayores a 15%</t>
  </si>
  <si>
    <t>valores entre -10% y 10%</t>
  </si>
  <si>
    <t>valores entre -25% y 25%</t>
  </si>
  <si>
    <t>valores menores a -25% y mayores a 25%</t>
  </si>
  <si>
    <t>Ingresos de Operación</t>
  </si>
  <si>
    <t>INGRESOS ACCESORIOS</t>
  </si>
  <si>
    <t>INGRESOS ACRILICOS Y CASES</t>
  </si>
  <si>
    <t>INGRESOS AUDIFONOS</t>
  </si>
  <si>
    <t>INGRESOS CANGURO HOME</t>
  </si>
  <si>
    <t>INGRESOS CARGADORES Y CABLES</t>
  </si>
  <si>
    <t>INGRESOS CASCOS</t>
  </si>
  <si>
    <t>INGRESOS EQUIPOS DE AUDIO</t>
  </si>
  <si>
    <t>INGRESOS EQUIPOS ELECTRONICOS</t>
  </si>
  <si>
    <t>INGRESOS EQUIPOS Y HERRAMIENTAS FIX</t>
  </si>
  <si>
    <t>INGRESOS LENTES</t>
  </si>
  <si>
    <t>INGRESOS PROTECTORES DE PANTALLA</t>
  </si>
  <si>
    <t>INGRESOS VASOS</t>
  </si>
  <si>
    <t>INGRESOS VIDEO JUEGOS Y ACCESORIOS</t>
  </si>
  <si>
    <t>INGRESOS BATERIAS</t>
  </si>
  <si>
    <t>INGRESOS IC-CIRCUITOS INTEGRADOS Y STENCIL</t>
  </si>
  <si>
    <t>INGRESOS MICAS</t>
  </si>
  <si>
    <t>INGRESOS MICROPIEZAS</t>
  </si>
  <si>
    <t>INGRESOS PANTALLAS</t>
  </si>
  <si>
    <t>INGRESOS TAPAS TRASERAS</t>
  </si>
  <si>
    <t>INGRESOS TELEFONIA</t>
  </si>
  <si>
    <t>INGRESOS SMARTWATCHES Y ACCESORIOS</t>
  </si>
  <si>
    <t>INGRESOS TARJETAS</t>
  </si>
  <si>
    <t>INGRESOS JUGUETES Y JUEGOS</t>
  </si>
  <si>
    <t>INGRESOS SNACKS Y DULCES</t>
  </si>
  <si>
    <t>INGRESOS CHOCOLATES</t>
  </si>
  <si>
    <t>INGRESOS TORTAS Y PONQUES</t>
  </si>
  <si>
    <t>INGRESOS MUEBLES Y ORGANIZADORES</t>
  </si>
  <si>
    <t>INGRESOS DECORACION HOGAR</t>
  </si>
  <si>
    <t>INGRESOS ENSERES DE COCINA</t>
  </si>
  <si>
    <t>INGRESOS ARTICULOS DE REPOSTERIA</t>
  </si>
  <si>
    <t>INGRESOS HERRAMIENTAS E INSUMOS DE LIMPIEZA</t>
  </si>
  <si>
    <t>INGRESOS ELECTRODOMESTICOS MENORES</t>
  </si>
  <si>
    <t>INGRESOS ACCESORIOS DE USO FRECUENTE</t>
  </si>
  <si>
    <t>INGRESOS CARNAVAL Y FIESTAS TEMATICAS</t>
  </si>
  <si>
    <t>INGRESOS CELEBRACIONES ESPECIALES</t>
  </si>
  <si>
    <t>INGRESOS ARTICULOS PARA FIESTAS</t>
  </si>
  <si>
    <t>INGRESOS REGALOS Y EMPAQUE</t>
  </si>
  <si>
    <t>INGRESOS PELUCHES</t>
  </si>
  <si>
    <t>INGRESOS SOUVENIRS Y RECUERDOS</t>
  </si>
  <si>
    <t>INGRESOS PAPELERIA Y OFICINA</t>
  </si>
  <si>
    <t>INGRESOS CUIDADO DEL CABELLO</t>
  </si>
  <si>
    <t>INGRESOS ARTICULOS Y HERRAMIENTAS DE BELLEZA</t>
  </si>
  <si>
    <t>INGRESOS ACCESORIOS DIVERSOS</t>
  </si>
  <si>
    <t>INGRESOS ROPA Y CALZADO HOMBRE</t>
  </si>
  <si>
    <t>INGRESOS JUGUETES PARA EXTERIOR</t>
  </si>
  <si>
    <t>INGRESOS JUGUETERIA VARIADA NIÑOS</t>
  </si>
  <si>
    <t>INGRESOS ACCESORIOS Y JUGUETES MASCOTAS</t>
  </si>
  <si>
    <t>INGRESOS HERRAMIENTAS MANUALES</t>
  </si>
  <si>
    <t>INGRESOS MATERIALES ELECTRICOS, ILUMINACION Y ACCESORIOS</t>
  </si>
  <si>
    <t>INGRESOS FERRETERIA GENERAL</t>
  </si>
  <si>
    <t>INGRESOS ARTICULOS DEPORTIVOS Y DE CAMPING</t>
  </si>
  <si>
    <t>IMPRESORAS FISCALES</t>
  </si>
  <si>
    <t>Materiales y Mercancias de Uso</t>
  </si>
  <si>
    <t>Devoluciones en Ventas</t>
  </si>
  <si>
    <t>Ingresos Servicios de Etiquetado y Codificacion</t>
  </si>
  <si>
    <t>Ingresos Servicios Fix</t>
  </si>
  <si>
    <t>Ingresos Comisión Servicios Recarga</t>
  </si>
  <si>
    <t>Delivery</t>
  </si>
  <si>
    <t>CANGURO CARGO</t>
  </si>
  <si>
    <t xml:space="preserve">valores menores a -25% </t>
  </si>
  <si>
    <t>Codigo</t>
  </si>
  <si>
    <t>Cuenta</t>
  </si>
  <si>
    <t>Grupo de cuenta</t>
  </si>
  <si>
    <t>Tipo de cuenta</t>
  </si>
  <si>
    <t>valores mayores a 5%</t>
  </si>
  <si>
    <t xml:space="preserve">valores menores a -5% </t>
  </si>
  <si>
    <t xml:space="preserve">Valores mayores a 25% </t>
  </si>
  <si>
    <t xml:space="preserve">Valores mayores a 20% </t>
  </si>
  <si>
    <t>Costo de Ingresos</t>
  </si>
  <si>
    <t>ACCESORIOS</t>
  </si>
  <si>
    <t>ACRILICOS Y CASES</t>
  </si>
  <si>
    <t>AUDIFONOS</t>
  </si>
  <si>
    <t>CANGURO HOME</t>
  </si>
  <si>
    <t>CARGADORES Y CABLES</t>
  </si>
  <si>
    <t>CASCOS</t>
  </si>
  <si>
    <t>EQUIPOS DE AUDIO</t>
  </si>
  <si>
    <t>EQUIPOS ELECTRONICOS</t>
  </si>
  <si>
    <t>EQUIPOS Y HERRAMIENTAS FIX</t>
  </si>
  <si>
    <t>LENTES</t>
  </si>
  <si>
    <t>PROTECTORES DE PANTALLA</t>
  </si>
  <si>
    <t>VASOS</t>
  </si>
  <si>
    <t>VIDEO JUEGOS Y ACCESORIOS</t>
  </si>
  <si>
    <t>BATERIAS</t>
  </si>
  <si>
    <t>IC-CIRCUITOS INTEGRADOS Y STENCIL</t>
  </si>
  <si>
    <t>MICAS</t>
  </si>
  <si>
    <t>MICROPIEZAS</t>
  </si>
  <si>
    <t>PANTALLAS</t>
  </si>
  <si>
    <t>TACTILES</t>
  </si>
  <si>
    <t>TAPAS TRASERAS</t>
  </si>
  <si>
    <t>TELEFONIA</t>
  </si>
  <si>
    <t>SMARTWATCHES Y ACCESORIOS</t>
  </si>
  <si>
    <t>TARJETAS</t>
  </si>
  <si>
    <t>JUGUETES Y JUEGOS</t>
  </si>
  <si>
    <t>SNACKS Y DULCES</t>
  </si>
  <si>
    <t>CHOCOLATES</t>
  </si>
  <si>
    <t>TORTAS Y PONQUES</t>
  </si>
  <si>
    <t>MUEBLES Y ORGANIZADORES</t>
  </si>
  <si>
    <t>DECORACION HOGAR</t>
  </si>
  <si>
    <t>ENSERES DE COCINA</t>
  </si>
  <si>
    <t>ARTICULOS DE REPOSTERIA</t>
  </si>
  <si>
    <t>HERRAMIENTAS E INSUMOS DE LIMPIEZA</t>
  </si>
  <si>
    <t>ELECTRODOMESTICOS MENORES</t>
  </si>
  <si>
    <t>ACCESORIOS DE USO FRECUENTE</t>
  </si>
  <si>
    <t>CARNAVAL Y FIESTAS TEMATICAS</t>
  </si>
  <si>
    <t>CELEBRACIONES ESPECIALES</t>
  </si>
  <si>
    <t>ARTICULOS PARA FIESTAS</t>
  </si>
  <si>
    <t>ARTICULOS PARA REGALOS Y EMPAQUE</t>
  </si>
  <si>
    <t>PELUCHES</t>
  </si>
  <si>
    <t>SOUVENIRS Y RECUERDOS</t>
  </si>
  <si>
    <t>PAPELERIA Y OFICINA</t>
  </si>
  <si>
    <t>CUIDADO DEL CABELLO</t>
  </si>
  <si>
    <t>ARTICULOS Y HERRAMIENTAS DE BELLEZA</t>
  </si>
  <si>
    <t>ACCESORIOS DIVERSOS</t>
  </si>
  <si>
    <t>ROPA Y CALZADO HOMBRE</t>
  </si>
  <si>
    <t>JUGUETES PARA EXTERIOR</t>
  </si>
  <si>
    <t>JUGUETERIA VARIADA NIÑOS</t>
  </si>
  <si>
    <t>ACCESORIOS Y JUGUETES MASCOTAS</t>
  </si>
  <si>
    <t>HERRAMIENTAS MANUALES</t>
  </si>
  <si>
    <t>MATERIALES ELECTRICOS, ILUMINACION Y ACCESORIOS</t>
  </si>
  <si>
    <t>FERRETERIA GENERAL</t>
  </si>
  <si>
    <t>ARTICULOS DEPORTIVOS Y DE CAMPING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</si>
</sst>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]#,##0"/>
    <numFmt numFmtId="165" formatCode="[$$-540A]#,##0.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9"/>
      <color rgb="FF006100"/>
      <name val="Arial"/>
      <family val="2"/>
    </font>
    <font>
      <b/>
      <sz val="9"/>
      <color rgb="FF9C5700"/>
      <name val="Arial"/>
      <family val="2"/>
    </font>
    <font>
      <b/>
      <sz val="9"/>
      <color rgb="FF9C0006"/>
      <name val="Arial"/>
      <family val="2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6" tint="-0.499984740745262"/>
      <name val="Aptos Narrow"/>
      <family val="2"/>
      <scheme val="minor"/>
    </font>
    <font>
      <b/>
      <sz val="9"/>
      <color theme="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CE8B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74999237037263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3">
    <xf numFmtId="0" fontId="0" fillId="0" borderId="0" xfId="0"/>
    <xf numFmtId="10" fontId="1" fillId="0" borderId="0" xfId="0" applyNumberFormat="1" applyFont="1"/>
    <xf numFmtId="0" fontId="1" fillId="0" borderId="0" xfId="0" applyFont="1"/>
    <xf numFmtId="164" fontId="1" fillId="0" borderId="0" xfId="0" applyNumberFormat="1" applyFont="1"/>
    <xf numFmtId="9" fontId="1" fillId="0" borderId="0" xfId="0" applyNumberFormat="1" applyFont="1"/>
    <xf numFmtId="4" fontId="1" fillId="0" borderId="0" xfId="0" applyNumberFormat="1" applyFont="1"/>
    <xf numFmtId="165" fontId="1" fillId="0" borderId="0" xfId="0" applyNumberFormat="1" applyFont="1"/>
    <xf numFmtId="165" fontId="0" fillId="2" borderId="0" xfId="0" applyNumberFormat="1" applyFill="1"/>
    <xf numFmtId="165" fontId="1" fillId="2" borderId="0" xfId="0" applyNumberFormat="1" applyFont="1" applyFill="1"/>
    <xf numFmtId="10" fontId="0" fillId="0" borderId="0" xfId="0" applyNumberFormat="1"/>
    <xf numFmtId="0" fontId="3" fillId="0" borderId="0" xfId="0" applyFont="1" applyAlignment="1">
      <alignment wrapText="1"/>
    </xf>
    <xf numFmtId="0" fontId="2" fillId="0" borderId="0" xfId="0" applyFont="1"/>
    <xf numFmtId="165" fontId="2" fillId="2" borderId="0" xfId="0" applyNumberFormat="1" applyFont="1" applyFill="1"/>
    <xf numFmtId="0" fontId="4" fillId="4" borderId="1" xfId="0" applyFont="1" applyFill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165" fontId="0" fillId="0" borderId="0" xfId="0" applyNumberFormat="1"/>
    <xf numFmtId="0" fontId="2" fillId="6" borderId="0" xfId="0" applyFont="1" applyFill="1"/>
    <xf numFmtId="164" fontId="1" fillId="6" borderId="0" xfId="0" applyNumberFormat="1" applyFont="1" applyFill="1"/>
    <xf numFmtId="9" fontId="0" fillId="0" borderId="0" xfId="0" applyNumberFormat="1"/>
    <xf numFmtId="0" fontId="2" fillId="0" borderId="0" xfId="0" applyFont="1" applyAlignment="1">
      <alignment horizontal="center"/>
    </xf>
    <xf numFmtId="165" fontId="0" fillId="7" borderId="0" xfId="0" applyNumberFormat="1" applyFill="1"/>
    <xf numFmtId="165" fontId="2" fillId="7" borderId="0" xfId="0" applyNumberFormat="1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0" fontId="10" fillId="8" borderId="0" xfId="0" applyFont="1" applyFill="1"/>
    <xf numFmtId="165" fontId="10" fillId="8" borderId="0" xfId="0" applyNumberFormat="1" applyFont="1" applyFill="1"/>
    <xf numFmtId="9" fontId="7" fillId="8" borderId="0" xfId="0" applyNumberFormat="1" applyFont="1" applyFill="1"/>
    <xf numFmtId="165" fontId="7" fillId="8" borderId="0" xfId="0" applyNumberFormat="1" applyFont="1" applyFill="1" applyAlignment="1">
      <alignment horizontal="center"/>
    </xf>
    <xf numFmtId="16" fontId="7" fillId="8" borderId="0" xfId="0" applyNumberFormat="1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11" fillId="8" borderId="0" xfId="0" applyFont="1" applyFill="1" applyAlignment="1">
      <alignment wrapText="1"/>
    </xf>
    <xf numFmtId="0" fontId="7" fillId="8" borderId="0" xfId="0" applyFont="1" applyFill="1"/>
    <xf numFmtId="0" fontId="0" fillId="0" borderId="0" xfId="0" applyFill="1"/>
    <xf numFmtId="165" fontId="7" fillId="8" borderId="0" xfId="0" applyNumberFormat="1" applyFont="1" applyFill="1"/>
    <xf numFmtId="10" fontId="7" fillId="8" borderId="0" xfId="0" applyNumberFormat="1" applyFont="1" applyFill="1"/>
    <xf numFmtId="165" fontId="0" fillId="0" borderId="0" xfId="0" applyNumberFormat="1" applyFill="1"/>
    <xf numFmtId="0" fontId="12" fillId="9" borderId="0" xfId="0" applyFont="1" applyFill="1"/>
    <xf numFmtId="0" fontId="8" fillId="10" borderId="0" xfId="0" applyFont="1" applyFill="1"/>
    <xf numFmtId="0" fontId="13" fillId="11" borderId="1" xfId="0" applyFont="1" applyFill="1" applyBorder="1" applyAlignment="1">
      <alignment wrapText="1"/>
    </xf>
    <xf numFmtId="0" fontId="8" fillId="11" borderId="0" xfId="0" applyFont="1" applyFill="1"/>
    <xf numFmtId="0" fontId="7" fillId="12" borderId="0" xfId="0" applyFont="1" applyFill="1"/>
    <xf numFmtId="165" fontId="7" fillId="12" borderId="0" xfId="0" applyNumberFormat="1" applyFont="1" applyFill="1"/>
    <xf numFmtId="165" fontId="2" fillId="7" borderId="0" xfId="0" applyNumberFormat="1" applyFont="1" applyFill="1"/>
  </cellXfs>
  <cellStyles count="1">
    <cellStyle name="Normal" xfId="0" builtinId="0"/>
  </cellStyles>
  <dxfs count="279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4.9989318521683403E-2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 tint="-4.9989318521683403E-2"/>
      </font>
      <fill>
        <patternFill>
          <bgColor theme="9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4.9989318521683403E-2"/>
      </font>
      <fill>
        <patternFill>
          <bgColor theme="9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 tint="-4.9989318521683403E-2"/>
      </font>
      <fill>
        <patternFill>
          <bgColor theme="9" tint="-0.24994659260841701"/>
        </patternFill>
      </fill>
    </dxf>
    <dxf>
      <font>
        <color theme="1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fgColor theme="9" tint="-0.499984740745262"/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fgColor theme="9" tint="-0.499984740745262"/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fgColor theme="9" tint="-0.499984740745262"/>
          <bgColor theme="9" tint="0.39994506668294322"/>
        </patternFill>
      </fill>
    </dxf>
    <dxf>
      <fill>
        <patternFill>
          <fgColor theme="9" tint="-0.499984740745262"/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fgColor theme="9" tint="-0.499984740745262"/>
          <bgColor theme="9" tint="0.39994506668294322"/>
        </patternFill>
      </fill>
    </dxf>
    <dxf>
      <font>
        <color theme="0" tint="-4.9989318521683403E-2"/>
      </font>
      <fill>
        <patternFill>
          <fgColor theme="0"/>
          <bgColor theme="9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auto="1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/>
        </patternFill>
      </fill>
    </dxf>
    <dxf>
      <fill>
        <patternFill>
          <fgColor theme="1"/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theme="1"/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theme="1"/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/>
        </patternFill>
      </fill>
    </dxf>
    <dxf>
      <fill>
        <patternFill>
          <fgColor theme="1"/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theme="1"/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theme="1"/>
          <bgColor theme="0"/>
        </patternFill>
      </fill>
    </dxf>
    <dxf>
      <font>
        <color theme="0" tint="-4.9989318521683403E-2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fgColor theme="9" tint="-0.499984740745262"/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fgColor theme="9" tint="-0.499984740745262"/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fgColor theme="9" tint="-0.499984740745262"/>
          <bgColor theme="9" tint="0.39994506668294322"/>
        </patternFill>
      </fill>
    </dxf>
    <dxf>
      <fill>
        <patternFill>
          <fgColor theme="9" tint="-0.499984740745262"/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theme="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 tint="-4.9989318521683403E-2"/>
      </font>
      <fill>
        <patternFill>
          <fgColor theme="0"/>
          <bgColor theme="9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fgColor theme="9" tint="-0.499984740745262"/>
          <bgColor theme="9" tint="0.39994506668294322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fgColor theme="9" tint="-0.499984740745262"/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fgColor theme="9" tint="-0.499984740745262"/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fgColor theme="9" tint="-0.499984740745262"/>
          <bgColor theme="9" tint="0.39994506668294322"/>
        </patternFill>
      </fill>
    </dxf>
    <dxf>
      <fill>
        <patternFill>
          <fgColor theme="9" tint="-0.499984740745262"/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theme="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 tint="-4.9989318521683403E-2"/>
      </font>
      <fill>
        <patternFill>
          <fgColor theme="0"/>
          <bgColor theme="9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fgColor theme="9" tint="-0.499984740745262"/>
          <bgColor theme="9" tint="0.39994506668294322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fgColor theme="9" tint="-0.499984740745262"/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fgColor theme="9" tint="-0.499984740745262"/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fgColor theme="9" tint="-0.499984740745262"/>
          <bgColor theme="9" tint="0.39994506668294322"/>
        </patternFill>
      </fill>
    </dxf>
    <dxf>
      <fill>
        <patternFill>
          <fgColor theme="9" tint="-0.499984740745262"/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theme="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 tint="-4.9989318521683403E-2"/>
      </font>
      <fill>
        <patternFill>
          <fgColor theme="0"/>
          <bgColor theme="9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fgColor theme="9" tint="-0.499984740745262"/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fgColor theme="9" tint="-0.499984740745262"/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fgColor theme="9" tint="-0.499984740745262"/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fgColor theme="9" tint="-0.499984740745262"/>
          <bgColor theme="9" tint="0.39994506668294322"/>
        </patternFill>
      </fill>
    </dxf>
    <dxf>
      <fill>
        <patternFill>
          <fgColor theme="9" tint="-0.499984740745262"/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theme="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 tint="-4.9989318521683403E-2"/>
      </font>
      <fill>
        <patternFill>
          <fgColor theme="0"/>
          <bgColor theme="9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fgColor theme="9" tint="-0.499984740745262"/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fgColor theme="9" tint="-0.499984740745262"/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fgColor theme="9" tint="-0.499984740745262"/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fgColor theme="9" tint="-0.499984740745262"/>
          <bgColor theme="9" tint="0.39994506668294322"/>
        </patternFill>
      </fill>
    </dxf>
    <dxf>
      <fill>
        <patternFill>
          <fgColor theme="9" tint="-0.499984740745262"/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 tint="-4.9989318521683403E-2"/>
      </font>
      <fill>
        <patternFill>
          <fgColor theme="0"/>
          <bgColor theme="9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fgColor theme="9" tint="-0.499984740745262"/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fgColor theme="9" tint="-0.499984740745262"/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fgColor theme="9" tint="-0.499984740745262"/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fgColor theme="9" tint="-0.499984740745262"/>
          <bgColor theme="9" tint="0.39994506668294322"/>
        </patternFill>
      </fill>
    </dxf>
    <dxf>
      <fill>
        <patternFill>
          <fgColor theme="9" tint="-0.499984740745262"/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theme="0" tint="-4.9989318521683403E-2"/>
      </font>
      <fill>
        <patternFill>
          <fgColor theme="0"/>
          <bgColor theme="9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fgColor theme="9" tint="-0.499984740745262"/>
          <bgColor theme="9" tint="0.39994506668294322"/>
        </patternFill>
      </fill>
    </dxf>
  </dxfs>
  <tableStyles count="0" defaultTableStyle="TableStyleMedium2" defaultPivotStyle="PivotStyleLight16"/>
  <colors>
    <mruColors>
      <color rgb="FFF0E1B2"/>
      <color rgb="FFFFC7CE"/>
      <color rgb="FFFF9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6493C-8EA4-4DA5-8C87-7823186751C5}">
  <dimension ref="A2:AK131"/>
  <sheetViews>
    <sheetView topLeftCell="L1" zoomScale="90" zoomScaleNormal="90" workbookViewId="0">
      <selection activeCell="L1" sqref="A1:XFD1048576"/>
    </sheetView>
  </sheetViews>
  <sheetFormatPr baseColWidth="10" defaultColWidth="14.453125" defaultRowHeight="14.5" x14ac:dyDescent="0.35"/>
  <cols>
    <col min="4" max="4" width="33.90625" customWidth="1"/>
    <col min="6" max="6" width="11" customWidth="1"/>
    <col min="8" max="8" width="8.36328125" customWidth="1"/>
    <col min="10" max="10" width="9" customWidth="1"/>
    <col min="12" max="12" width="9" customWidth="1"/>
    <col min="14" max="14" width="9.453125" customWidth="1"/>
    <col min="16" max="16" width="9.453125" customWidth="1"/>
    <col min="18" max="18" width="9.6328125" customWidth="1"/>
    <col min="20" max="20" width="14.453125" style="7"/>
    <col min="22" max="22" width="37.1796875" customWidth="1"/>
  </cols>
  <sheetData>
    <row r="2" spans="1:37" ht="15" thickBot="1" x14ac:dyDescent="0.4"/>
    <row r="3" spans="1:37" ht="15.5" customHeight="1" thickBot="1" x14ac:dyDescent="0.4">
      <c r="E3" s="10" t="s">
        <v>147</v>
      </c>
      <c r="F3" s="10" t="s">
        <v>0</v>
      </c>
      <c r="G3" s="10" t="s">
        <v>148</v>
      </c>
      <c r="H3" s="10" t="s">
        <v>0</v>
      </c>
      <c r="I3" s="10" t="s">
        <v>149</v>
      </c>
      <c r="J3" s="10" t="s">
        <v>0</v>
      </c>
      <c r="K3" s="10" t="s">
        <v>150</v>
      </c>
      <c r="L3" s="10" t="s">
        <v>0</v>
      </c>
      <c r="M3" s="10" t="s">
        <v>151</v>
      </c>
      <c r="N3" s="10" t="s">
        <v>0</v>
      </c>
      <c r="O3" s="10" t="s">
        <v>152</v>
      </c>
      <c r="P3" s="10" t="s">
        <v>0</v>
      </c>
      <c r="Q3" s="10" t="s">
        <v>153</v>
      </c>
      <c r="R3" s="10" t="s">
        <v>0</v>
      </c>
      <c r="S3" s="11" t="s">
        <v>1</v>
      </c>
      <c r="T3" s="12" t="s">
        <v>146</v>
      </c>
      <c r="V3" s="13" t="s">
        <v>154</v>
      </c>
    </row>
    <row r="4" spans="1:37" ht="14" customHeight="1" thickBot="1" x14ac:dyDescent="0.4">
      <c r="A4" s="2" t="s">
        <v>2</v>
      </c>
      <c r="B4" s="2" t="s">
        <v>3</v>
      </c>
      <c r="C4" s="2">
        <v>5160060100</v>
      </c>
      <c r="D4" s="2" t="s">
        <v>4</v>
      </c>
      <c r="E4" s="3"/>
      <c r="F4" s="4">
        <v>0</v>
      </c>
      <c r="G4" s="3"/>
      <c r="H4" s="4">
        <v>0</v>
      </c>
      <c r="I4" s="3"/>
      <c r="J4" s="1">
        <v>0</v>
      </c>
      <c r="K4" s="3"/>
      <c r="L4" s="1">
        <v>0</v>
      </c>
      <c r="M4" s="3"/>
      <c r="N4" s="1">
        <v>0</v>
      </c>
      <c r="O4" s="3">
        <v>2825.76</v>
      </c>
      <c r="P4" s="1">
        <v>0</v>
      </c>
      <c r="Q4" s="3">
        <v>-2825.76</v>
      </c>
      <c r="R4" s="1">
        <v>0</v>
      </c>
      <c r="S4" s="3">
        <v>0</v>
      </c>
      <c r="T4" s="8">
        <f t="shared" ref="T4:T130" si="0">S4/7</f>
        <v>0</v>
      </c>
      <c r="V4" s="14" t="s">
        <v>155</v>
      </c>
    </row>
    <row r="5" spans="1:37" ht="15" customHeight="1" thickBot="1" x14ac:dyDescent="0.4">
      <c r="A5" s="2"/>
      <c r="C5" s="2">
        <v>5163050100</v>
      </c>
      <c r="D5" s="2" t="s">
        <v>5</v>
      </c>
      <c r="E5" s="3"/>
      <c r="F5" s="4">
        <v>0</v>
      </c>
      <c r="G5" s="3"/>
      <c r="H5" s="4">
        <v>0</v>
      </c>
      <c r="I5" s="3"/>
      <c r="J5" s="1">
        <v>0</v>
      </c>
      <c r="K5" s="3"/>
      <c r="L5" s="1">
        <v>0</v>
      </c>
      <c r="M5" s="3"/>
      <c r="N5" s="1">
        <v>0</v>
      </c>
      <c r="O5" s="3">
        <v>3100</v>
      </c>
      <c r="P5" s="1">
        <v>0</v>
      </c>
      <c r="Q5" s="3">
        <v>-3100</v>
      </c>
      <c r="R5" s="1">
        <v>0</v>
      </c>
      <c r="S5" s="3">
        <v>0</v>
      </c>
      <c r="T5" s="8">
        <f t="shared" si="0"/>
        <v>0</v>
      </c>
      <c r="V5" s="15" t="s">
        <v>156</v>
      </c>
    </row>
    <row r="6" spans="1:37" x14ac:dyDescent="0.35">
      <c r="A6" s="2"/>
      <c r="B6" s="2" t="s">
        <v>6</v>
      </c>
      <c r="C6" s="2">
        <v>5120100100</v>
      </c>
      <c r="D6" s="2" t="s">
        <v>7</v>
      </c>
      <c r="E6" s="3">
        <v>8898.7199999999993</v>
      </c>
      <c r="F6" s="4">
        <f t="shared" ref="F6:F68" si="1">(E6-T6)/T6</f>
        <v>-0.24690819203677647</v>
      </c>
      <c r="G6" s="3">
        <v>9321.99</v>
      </c>
      <c r="H6" s="1">
        <f t="shared" ref="H6:H68" si="2">(G6-T6)/T6</f>
        <v>-0.2110871785026284</v>
      </c>
      <c r="I6" s="3">
        <v>10181.56</v>
      </c>
      <c r="J6" s="1">
        <f t="shared" ref="J6:J68" si="3">(I6-T6)/T6</f>
        <v>-0.13834243258737905</v>
      </c>
      <c r="K6" s="3">
        <v>9845.34</v>
      </c>
      <c r="L6" s="1">
        <f t="shared" ref="L6:L68" si="4">(K6-T6)/T6</f>
        <v>-0.16679647178328524</v>
      </c>
      <c r="M6" s="3">
        <v>9939.86</v>
      </c>
      <c r="N6" s="1">
        <f t="shared" ref="N6:N68" si="5">(M6-T6)/T6</f>
        <v>-0.15879731710837872</v>
      </c>
      <c r="O6" s="3">
        <v>11092.99</v>
      </c>
      <c r="P6" s="1">
        <f t="shared" ref="P6:P68" si="6">(O6-T6)/T6</f>
        <v>-6.1208814883718161E-2</v>
      </c>
      <c r="Q6" s="3">
        <v>23433.279999999999</v>
      </c>
      <c r="R6" s="1">
        <f t="shared" ref="R6:R68" si="7">(Q6-T6)/T6</f>
        <v>0.98314040690216653</v>
      </c>
      <c r="S6" s="3">
        <v>82713.739999999991</v>
      </c>
      <c r="T6" s="8">
        <f t="shared" si="0"/>
        <v>11816.24857142857</v>
      </c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35">
      <c r="A7" s="2"/>
      <c r="C7" s="2">
        <v>5120100150</v>
      </c>
      <c r="D7" s="2" t="s">
        <v>8</v>
      </c>
      <c r="E7" s="3">
        <v>221604.32</v>
      </c>
      <c r="F7" s="4">
        <f t="shared" si="1"/>
        <v>-2.0202064352065903E-2</v>
      </c>
      <c r="G7" s="3">
        <v>220410.43</v>
      </c>
      <c r="H7" s="1">
        <f t="shared" si="2"/>
        <v>-2.5480711254755914E-2</v>
      </c>
      <c r="I7" s="3">
        <v>216021.01</v>
      </c>
      <c r="J7" s="1">
        <f t="shared" si="3"/>
        <v>-4.4888025402294821E-2</v>
      </c>
      <c r="K7" s="3">
        <v>222847.25</v>
      </c>
      <c r="L7" s="1">
        <f t="shared" si="4"/>
        <v>-1.4706592746842323E-2</v>
      </c>
      <c r="M7" s="3">
        <v>224241.94</v>
      </c>
      <c r="N7" s="1">
        <f t="shared" si="5"/>
        <v>-8.5401318093081668E-3</v>
      </c>
      <c r="O7" s="3">
        <v>231172.94</v>
      </c>
      <c r="P7" s="1">
        <f t="shared" si="6"/>
        <v>2.2104485100578025E-2</v>
      </c>
      <c r="Q7" s="3">
        <v>246916.55</v>
      </c>
      <c r="R7" s="1">
        <f t="shared" si="7"/>
        <v>9.1713040464688964E-2</v>
      </c>
      <c r="S7" s="3">
        <v>1583214.44</v>
      </c>
      <c r="T7" s="8">
        <f t="shared" si="0"/>
        <v>226173.49142857143</v>
      </c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35">
      <c r="C8" s="2">
        <v>5120300200</v>
      </c>
      <c r="D8" s="2" t="s">
        <v>9</v>
      </c>
      <c r="F8" s="4">
        <v>0</v>
      </c>
      <c r="H8" s="1">
        <v>0</v>
      </c>
      <c r="J8" s="1">
        <v>0</v>
      </c>
      <c r="L8" s="1">
        <v>0</v>
      </c>
      <c r="N8" s="1">
        <v>0</v>
      </c>
      <c r="P8" s="1">
        <v>0</v>
      </c>
      <c r="Q8" s="5">
        <v>0</v>
      </c>
      <c r="R8" s="1">
        <v>0</v>
      </c>
      <c r="S8" s="5">
        <v>0</v>
      </c>
      <c r="T8" s="8">
        <f t="shared" si="0"/>
        <v>0</v>
      </c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35">
      <c r="C9" s="2">
        <v>5121050100</v>
      </c>
      <c r="D9" s="2" t="s">
        <v>10</v>
      </c>
      <c r="E9" s="5">
        <v>21162.33</v>
      </c>
      <c r="F9" s="4">
        <f t="shared" si="1"/>
        <v>0.31634819174447676</v>
      </c>
      <c r="G9" s="5">
        <v>14429.87</v>
      </c>
      <c r="H9" s="1">
        <f t="shared" si="2"/>
        <v>-0.10242712963988972</v>
      </c>
      <c r="I9" s="5">
        <v>18278.16</v>
      </c>
      <c r="J9" s="1">
        <f t="shared" si="3"/>
        <v>0.13694583084264461</v>
      </c>
      <c r="K9" s="5">
        <v>17215.939999999999</v>
      </c>
      <c r="L9" s="1">
        <f t="shared" si="4"/>
        <v>7.0873173614691962E-2</v>
      </c>
      <c r="M9" s="5">
        <v>17860.14</v>
      </c>
      <c r="N9" s="1">
        <f t="shared" si="5"/>
        <v>0.11094397418919358</v>
      </c>
      <c r="O9" s="5">
        <v>12509.37</v>
      </c>
      <c r="P9" s="1">
        <f t="shared" si="6"/>
        <v>-0.2218868820511444</v>
      </c>
      <c r="Q9" s="5">
        <v>11080</v>
      </c>
      <c r="R9" s="1">
        <f t="shared" si="7"/>
        <v>-0.31079715869997293</v>
      </c>
      <c r="S9" s="5">
        <v>112535.81</v>
      </c>
      <c r="T9" s="8">
        <f t="shared" si="0"/>
        <v>16076.544285714286</v>
      </c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35">
      <c r="B10" s="2" t="s">
        <v>11</v>
      </c>
      <c r="C10" s="2">
        <v>5160050100</v>
      </c>
      <c r="D10" s="2" t="s">
        <v>12</v>
      </c>
      <c r="F10" s="4">
        <f t="shared" si="1"/>
        <v>-1</v>
      </c>
      <c r="H10" s="1">
        <f t="shared" si="2"/>
        <v>-1</v>
      </c>
      <c r="J10" s="1">
        <f t="shared" si="3"/>
        <v>-1</v>
      </c>
      <c r="L10" s="1">
        <f t="shared" si="4"/>
        <v>-1</v>
      </c>
      <c r="N10" s="1">
        <f t="shared" si="5"/>
        <v>-1</v>
      </c>
      <c r="O10" s="5">
        <v>28333.32</v>
      </c>
      <c r="P10" s="1">
        <f t="shared" si="6"/>
        <v>4.9999999999999991</v>
      </c>
      <c r="Q10" s="5">
        <v>4722.22</v>
      </c>
      <c r="R10" s="1">
        <f t="shared" si="7"/>
        <v>0</v>
      </c>
      <c r="S10" s="5">
        <v>33055.54</v>
      </c>
      <c r="T10" s="8">
        <f t="shared" si="0"/>
        <v>4722.22</v>
      </c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35">
      <c r="C11" s="2">
        <v>5160350300</v>
      </c>
      <c r="D11" s="2" t="s">
        <v>13</v>
      </c>
      <c r="F11" s="4">
        <f t="shared" si="1"/>
        <v>-1</v>
      </c>
      <c r="G11" s="5">
        <v>9800</v>
      </c>
      <c r="H11" s="1">
        <f t="shared" si="2"/>
        <v>3.1635207605526436</v>
      </c>
      <c r="I11" s="5">
        <v>3316.77</v>
      </c>
      <c r="J11" s="1">
        <f t="shared" si="3"/>
        <v>0.40912660744675433</v>
      </c>
      <c r="K11" s="5">
        <v>3359.67</v>
      </c>
      <c r="L11" s="1">
        <f t="shared" si="4"/>
        <v>0.4273526320006022</v>
      </c>
      <c r="N11" s="1">
        <f t="shared" si="5"/>
        <v>-1</v>
      </c>
      <c r="P11" s="1">
        <f t="shared" si="6"/>
        <v>-1</v>
      </c>
      <c r="R11" s="1">
        <f t="shared" si="7"/>
        <v>-1</v>
      </c>
      <c r="S11" s="5">
        <v>16476.439999999999</v>
      </c>
      <c r="T11" s="8">
        <f t="shared" si="0"/>
        <v>2353.7771428571427</v>
      </c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35">
      <c r="D12" s="2" t="s">
        <v>14</v>
      </c>
      <c r="F12" s="4">
        <f t="shared" si="1"/>
        <v>-1</v>
      </c>
      <c r="H12" s="1">
        <f t="shared" si="2"/>
        <v>-1</v>
      </c>
      <c r="J12" s="1">
        <f t="shared" si="3"/>
        <v>-1</v>
      </c>
      <c r="L12" s="1">
        <f t="shared" si="4"/>
        <v>-1</v>
      </c>
      <c r="M12" s="5">
        <v>3359.67</v>
      </c>
      <c r="N12" s="1">
        <f t="shared" si="5"/>
        <v>23.768499210110583</v>
      </c>
      <c r="O12" s="5">
        <v>-6612.55</v>
      </c>
      <c r="P12" s="1">
        <f t="shared" si="6"/>
        <v>-49.749710373880994</v>
      </c>
      <c r="Q12" s="5">
        <v>4202.38</v>
      </c>
      <c r="R12" s="1">
        <f t="shared" si="7"/>
        <v>29.981211163770407</v>
      </c>
      <c r="S12" s="5">
        <v>949.5</v>
      </c>
      <c r="T12" s="8">
        <f t="shared" si="0"/>
        <v>135.64285714285714</v>
      </c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35">
      <c r="C13" s="2">
        <v>5160350500</v>
      </c>
      <c r="D13" s="2" t="s">
        <v>15</v>
      </c>
      <c r="F13" s="4">
        <f t="shared" si="1"/>
        <v>-1</v>
      </c>
      <c r="H13" s="1">
        <f t="shared" si="2"/>
        <v>-1</v>
      </c>
      <c r="J13" s="1">
        <f t="shared" si="3"/>
        <v>-1</v>
      </c>
      <c r="K13" s="5">
        <v>1792.08</v>
      </c>
      <c r="L13" s="1">
        <f t="shared" si="4"/>
        <v>6</v>
      </c>
      <c r="N13" s="1">
        <f t="shared" si="5"/>
        <v>-1</v>
      </c>
      <c r="P13" s="1">
        <f t="shared" si="6"/>
        <v>-1</v>
      </c>
      <c r="R13" s="1">
        <f t="shared" si="7"/>
        <v>-1</v>
      </c>
      <c r="S13" s="5">
        <v>1792.08</v>
      </c>
      <c r="T13" s="8">
        <f t="shared" si="0"/>
        <v>256.01142857142855</v>
      </c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35">
      <c r="D14" s="2" t="s">
        <v>16</v>
      </c>
      <c r="F14" s="4">
        <f t="shared" si="1"/>
        <v>-1</v>
      </c>
      <c r="H14" s="1">
        <f t="shared" si="2"/>
        <v>-1</v>
      </c>
      <c r="J14" s="1">
        <f t="shared" si="3"/>
        <v>-1</v>
      </c>
      <c r="L14" s="1">
        <f t="shared" si="4"/>
        <v>-1</v>
      </c>
      <c r="M14" s="5">
        <v>5843.1</v>
      </c>
      <c r="N14" s="1">
        <f t="shared" si="5"/>
        <v>5.9999999999999991</v>
      </c>
      <c r="P14" s="1">
        <f t="shared" si="6"/>
        <v>-1</v>
      </c>
      <c r="R14" s="1">
        <f t="shared" si="7"/>
        <v>-1</v>
      </c>
      <c r="S14" s="5">
        <v>5843.1</v>
      </c>
      <c r="T14" s="8">
        <f t="shared" si="0"/>
        <v>834.72857142857151</v>
      </c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35">
      <c r="B15" s="2" t="s">
        <v>17</v>
      </c>
      <c r="C15" s="2">
        <v>5135500300</v>
      </c>
      <c r="D15" s="6" t="s">
        <v>18</v>
      </c>
      <c r="E15" s="6">
        <v>29948.83</v>
      </c>
      <c r="F15" s="4">
        <f t="shared" si="1"/>
        <v>-0.3262176372163258</v>
      </c>
      <c r="G15" s="6">
        <v>31272.080000000002</v>
      </c>
      <c r="H15" s="1">
        <f t="shared" si="2"/>
        <v>-0.29644744213513241</v>
      </c>
      <c r="I15" s="6">
        <v>47717.16</v>
      </c>
      <c r="J15" s="1">
        <f t="shared" si="3"/>
        <v>7.3530445433982836E-2</v>
      </c>
      <c r="K15" s="6">
        <v>47009.26</v>
      </c>
      <c r="L15" s="1">
        <f t="shared" si="4"/>
        <v>5.7604262854744723E-2</v>
      </c>
      <c r="M15" s="6">
        <v>48775.87</v>
      </c>
      <c r="N15" s="1">
        <f t="shared" si="5"/>
        <v>9.7349076255377295E-2</v>
      </c>
      <c r="O15" s="5">
        <v>51768.22</v>
      </c>
      <c r="P15" s="1">
        <f t="shared" si="6"/>
        <v>0.16467032564227244</v>
      </c>
      <c r="Q15" s="5">
        <v>54650.31</v>
      </c>
      <c r="R15" s="1">
        <f t="shared" si="7"/>
        <v>0.22951096916508107</v>
      </c>
      <c r="S15" s="5">
        <v>311141.73</v>
      </c>
      <c r="T15" s="8">
        <f t="shared" si="0"/>
        <v>44448.818571428572</v>
      </c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35">
      <c r="C16" s="2">
        <v>5135550100</v>
      </c>
      <c r="D16" s="6" t="s">
        <v>19</v>
      </c>
      <c r="E16" s="6">
        <v>2053.02</v>
      </c>
      <c r="F16" s="4">
        <f t="shared" si="1"/>
        <v>-0.60172985736020779</v>
      </c>
      <c r="G16" s="6">
        <v>2728.54</v>
      </c>
      <c r="H16" s="1">
        <f t="shared" si="2"/>
        <v>-0.47068415553751125</v>
      </c>
      <c r="I16" s="6">
        <v>3262.5</v>
      </c>
      <c r="J16" s="1">
        <f t="shared" si="3"/>
        <v>-0.36710000859108916</v>
      </c>
      <c r="K16" s="6">
        <v>6376.4</v>
      </c>
      <c r="L16" s="1">
        <f t="shared" si="4"/>
        <v>0.23697272190644564</v>
      </c>
      <c r="M16" s="6">
        <v>8955.48</v>
      </c>
      <c r="N16" s="1">
        <f t="shared" si="5"/>
        <v>0.73729447204986132</v>
      </c>
      <c r="O16" s="5">
        <v>5885.7</v>
      </c>
      <c r="P16" s="1">
        <f t="shared" si="6"/>
        <v>0.14178068335185484</v>
      </c>
      <c r="Q16" s="5">
        <v>6822.26</v>
      </c>
      <c r="R16" s="1">
        <f t="shared" si="7"/>
        <v>0.32346614418064557</v>
      </c>
      <c r="S16" s="5">
        <v>36083.9</v>
      </c>
      <c r="T16" s="8">
        <f t="shared" si="0"/>
        <v>5154.8428571428576</v>
      </c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2:37" x14ac:dyDescent="0.35">
      <c r="C17" s="2">
        <v>5135560100</v>
      </c>
      <c r="D17" s="6" t="s">
        <v>20</v>
      </c>
      <c r="E17" s="6">
        <v>7665.06</v>
      </c>
      <c r="F17" s="4">
        <f t="shared" si="1"/>
        <v>-0.50988269887138249</v>
      </c>
      <c r="G17" s="6">
        <v>11774.95</v>
      </c>
      <c r="H17" s="1">
        <f t="shared" si="2"/>
        <v>-0.24708916630471059</v>
      </c>
      <c r="I17" s="6">
        <v>17117.84</v>
      </c>
      <c r="J17" s="1">
        <f t="shared" si="3"/>
        <v>9.4544536109501268E-2</v>
      </c>
      <c r="K17" s="6">
        <v>12250.3</v>
      </c>
      <c r="L17" s="1">
        <f t="shared" si="4"/>
        <v>-0.21669445848879165</v>
      </c>
      <c r="M17" s="6">
        <v>26574.38</v>
      </c>
      <c r="N17" s="1">
        <f t="shared" si="5"/>
        <v>0.69921219204628671</v>
      </c>
      <c r="O17" s="5">
        <v>20404.21</v>
      </c>
      <c r="P17" s="1">
        <f t="shared" si="6"/>
        <v>0.30468076399422156</v>
      </c>
      <c r="Q17" s="5">
        <v>13687.91</v>
      </c>
      <c r="R17" s="1">
        <f t="shared" si="7"/>
        <v>-0.1247711684851241</v>
      </c>
      <c r="S17" s="5">
        <v>109474.65</v>
      </c>
      <c r="T17" s="8">
        <f t="shared" si="0"/>
        <v>15639.235714285713</v>
      </c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2:37" x14ac:dyDescent="0.35">
      <c r="B18" s="2" t="s">
        <v>21</v>
      </c>
      <c r="C18" s="2">
        <v>5138050100</v>
      </c>
      <c r="D18" s="6" t="s">
        <v>22</v>
      </c>
      <c r="E18" s="6">
        <v>1789.46</v>
      </c>
      <c r="F18" s="4">
        <f t="shared" si="1"/>
        <v>-0.92464239002274584</v>
      </c>
      <c r="G18" s="6">
        <v>20340.48</v>
      </c>
      <c r="H18" s="1">
        <f t="shared" si="2"/>
        <v>-0.14342317872981888</v>
      </c>
      <c r="I18" s="6">
        <v>42726.73</v>
      </c>
      <c r="J18" s="1">
        <f t="shared" si="3"/>
        <v>0.79930496068280044</v>
      </c>
      <c r="K18" s="6">
        <v>23735.86</v>
      </c>
      <c r="L18" s="1">
        <f t="shared" si="4"/>
        <v>-4.3718196846672031E-4</v>
      </c>
      <c r="M18" s="6">
        <v>18759.939999999999</v>
      </c>
      <c r="N18" s="1">
        <f t="shared" si="5"/>
        <v>-0.2099827647912281</v>
      </c>
      <c r="O18" s="5">
        <v>27474.74</v>
      </c>
      <c r="P18" s="1">
        <f t="shared" si="6"/>
        <v>0.15701426192620321</v>
      </c>
      <c r="Q18" s="5">
        <v>31396.48</v>
      </c>
      <c r="R18" s="1">
        <f t="shared" si="7"/>
        <v>0.32216629290325577</v>
      </c>
      <c r="S18" s="5">
        <v>166223.69</v>
      </c>
      <c r="T18" s="8">
        <f t="shared" si="0"/>
        <v>23746.241428571429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2:37" x14ac:dyDescent="0.35">
      <c r="C19" s="2">
        <v>5138050150</v>
      </c>
      <c r="D19" s="6" t="s">
        <v>23</v>
      </c>
      <c r="E19" s="6">
        <v>20318.28</v>
      </c>
      <c r="F19" s="4">
        <f t="shared" si="1"/>
        <v>0.87489796865343916</v>
      </c>
      <c r="G19" s="6">
        <v>13755.08</v>
      </c>
      <c r="H19" s="1">
        <f t="shared" si="2"/>
        <v>0.26926942392099867</v>
      </c>
      <c r="I19" s="6">
        <v>11472.91</v>
      </c>
      <c r="J19" s="1">
        <f t="shared" si="3"/>
        <v>5.867896561833625E-2</v>
      </c>
      <c r="K19" s="6">
        <v>7441.47</v>
      </c>
      <c r="L19" s="1">
        <f t="shared" si="4"/>
        <v>-0.31332785123566026</v>
      </c>
      <c r="M19" s="6">
        <v>9088.68</v>
      </c>
      <c r="N19" s="1">
        <f t="shared" si="5"/>
        <v>-0.16132922325407759</v>
      </c>
      <c r="O19" s="5">
        <v>6989.92</v>
      </c>
      <c r="P19" s="1">
        <f t="shared" si="6"/>
        <v>-0.35499526490184957</v>
      </c>
      <c r="Q19" s="5">
        <v>6792.7</v>
      </c>
      <c r="R19" s="1">
        <f t="shared" si="7"/>
        <v>-0.37319401880118708</v>
      </c>
      <c r="S19" s="5">
        <v>75859.040000000008</v>
      </c>
      <c r="T19" s="8">
        <f t="shared" si="0"/>
        <v>10837.005714285715</v>
      </c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2:37" x14ac:dyDescent="0.35">
      <c r="C20" s="2">
        <v>5138200200</v>
      </c>
      <c r="D20" s="6" t="s">
        <v>24</v>
      </c>
      <c r="E20" s="6">
        <v>10535.11</v>
      </c>
      <c r="F20" s="4">
        <f t="shared" si="1"/>
        <v>0.29224562591382353</v>
      </c>
      <c r="G20" s="6">
        <v>4601.26</v>
      </c>
      <c r="H20" s="1">
        <f t="shared" si="2"/>
        <v>-0.43560550305670853</v>
      </c>
      <c r="I20" s="6">
        <v>7005.52</v>
      </c>
      <c r="J20" s="1">
        <f t="shared" si="3"/>
        <v>-0.14069690992767905</v>
      </c>
      <c r="K20" s="6">
        <v>15131.78</v>
      </c>
      <c r="L20" s="1">
        <f t="shared" si="4"/>
        <v>0.85607710952142657</v>
      </c>
      <c r="M20" s="6">
        <v>6184.63</v>
      </c>
      <c r="N20" s="1">
        <f t="shared" si="5"/>
        <v>-0.24138798119854371</v>
      </c>
      <c r="O20" s="5">
        <v>6106.93</v>
      </c>
      <c r="P20" s="1">
        <f t="shared" si="6"/>
        <v>-0.25091872982228886</v>
      </c>
      <c r="Q20" s="5">
        <v>7502.69</v>
      </c>
      <c r="R20" s="1">
        <f t="shared" si="7"/>
        <v>-7.9713611430029335E-2</v>
      </c>
      <c r="S20" s="5">
        <v>57067.92</v>
      </c>
      <c r="T20" s="8">
        <f t="shared" si="0"/>
        <v>8152.5599999999995</v>
      </c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2:37" x14ac:dyDescent="0.35">
      <c r="C21" s="2">
        <v>5138350300</v>
      </c>
      <c r="D21" s="6" t="s">
        <v>25</v>
      </c>
      <c r="E21" s="6">
        <v>39235.71</v>
      </c>
      <c r="F21" s="4">
        <f t="shared" si="1"/>
        <v>0.66919839085975652</v>
      </c>
      <c r="G21" s="6">
        <v>22333.89</v>
      </c>
      <c r="H21" s="1">
        <f t="shared" si="2"/>
        <v>-4.9852971957464041E-2</v>
      </c>
      <c r="I21" s="6">
        <v>21837.31</v>
      </c>
      <c r="J21" s="1">
        <f t="shared" si="3"/>
        <v>-7.0978893648014171E-2</v>
      </c>
      <c r="K21" s="6">
        <v>20515.16</v>
      </c>
      <c r="L21" s="1">
        <f t="shared" si="4"/>
        <v>-0.12722690477041337</v>
      </c>
      <c r="M21" s="6">
        <v>21456.02</v>
      </c>
      <c r="N21" s="1">
        <f t="shared" si="5"/>
        <v>-8.7200051732089071E-2</v>
      </c>
      <c r="O21" s="5">
        <v>19901.669999999998</v>
      </c>
      <c r="P21" s="1">
        <f t="shared" si="6"/>
        <v>-0.15332650946237777</v>
      </c>
      <c r="Q21" s="5">
        <v>19260.28</v>
      </c>
      <c r="R21" s="1">
        <f t="shared" si="7"/>
        <v>-0.18061305928939858</v>
      </c>
      <c r="S21" s="5">
        <v>164540.04</v>
      </c>
      <c r="T21" s="8">
        <f t="shared" si="0"/>
        <v>23505.72</v>
      </c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2:37" x14ac:dyDescent="0.35">
      <c r="C22" s="2">
        <v>5138350350</v>
      </c>
      <c r="D22" s="6" t="s">
        <v>26</v>
      </c>
      <c r="E22" s="6"/>
      <c r="F22" s="4">
        <f t="shared" si="1"/>
        <v>-1</v>
      </c>
      <c r="G22" s="6">
        <v>84.81</v>
      </c>
      <c r="H22" s="1">
        <f t="shared" si="2"/>
        <v>4.9832888291570156E-2</v>
      </c>
      <c r="I22" s="6">
        <v>42.81</v>
      </c>
      <c r="J22" s="1">
        <f t="shared" si="3"/>
        <v>-0.47007020460131921</v>
      </c>
      <c r="K22" s="6">
        <v>437.87</v>
      </c>
      <c r="L22" s="1">
        <f t="shared" si="4"/>
        <v>4.4202373163097493</v>
      </c>
      <c r="M22" s="6"/>
      <c r="N22" s="1">
        <f t="shared" si="5"/>
        <v>-1</v>
      </c>
      <c r="P22" s="1">
        <f t="shared" si="6"/>
        <v>-1</v>
      </c>
      <c r="R22" s="1">
        <f t="shared" si="7"/>
        <v>-1</v>
      </c>
      <c r="S22" s="5">
        <v>565.49</v>
      </c>
      <c r="T22" s="8">
        <f t="shared" si="0"/>
        <v>80.784285714285716</v>
      </c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2:37" x14ac:dyDescent="0.35">
      <c r="C23" s="2">
        <v>5138350400</v>
      </c>
      <c r="D23" s="6" t="s">
        <v>27</v>
      </c>
      <c r="E23" s="6"/>
      <c r="F23" s="4">
        <f t="shared" si="1"/>
        <v>-1</v>
      </c>
      <c r="G23" s="6"/>
      <c r="H23" s="1">
        <f t="shared" si="2"/>
        <v>-1</v>
      </c>
      <c r="I23" s="6"/>
      <c r="J23" s="1">
        <f t="shared" si="3"/>
        <v>-1</v>
      </c>
      <c r="K23" s="6">
        <v>761.25</v>
      </c>
      <c r="L23" s="1">
        <f t="shared" si="4"/>
        <v>6</v>
      </c>
      <c r="M23" s="6"/>
      <c r="N23" s="1">
        <f t="shared" si="5"/>
        <v>-1</v>
      </c>
      <c r="P23" s="1">
        <f t="shared" si="6"/>
        <v>-1</v>
      </c>
      <c r="R23" s="1">
        <f t="shared" si="7"/>
        <v>-1</v>
      </c>
      <c r="S23" s="5">
        <v>761.25</v>
      </c>
      <c r="T23" s="8">
        <f t="shared" si="0"/>
        <v>108.75</v>
      </c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2:37" x14ac:dyDescent="0.35">
      <c r="C24" s="2">
        <v>5138350450</v>
      </c>
      <c r="D24" s="6" t="s">
        <v>28</v>
      </c>
      <c r="E24" s="6">
        <v>-39.659999999999997</v>
      </c>
      <c r="F24" s="4">
        <f t="shared" si="1"/>
        <v>-1.0818074128206789</v>
      </c>
      <c r="G24" s="6">
        <v>1806.48</v>
      </c>
      <c r="H24" s="1">
        <f t="shared" si="2"/>
        <v>2.7262595842738353</v>
      </c>
      <c r="I24" s="6">
        <v>1082</v>
      </c>
      <c r="J24" s="1">
        <f t="shared" si="3"/>
        <v>1.2318613381738461</v>
      </c>
      <c r="K24" s="6">
        <v>-2.59</v>
      </c>
      <c r="L24" s="1">
        <f t="shared" si="4"/>
        <v>-1.0053424407263125</v>
      </c>
      <c r="M24" s="6">
        <v>-37.07</v>
      </c>
      <c r="N24" s="1">
        <f t="shared" si="5"/>
        <v>-1.0764649720943664</v>
      </c>
      <c r="O24" s="5">
        <v>-0.86</v>
      </c>
      <c r="P24" s="1">
        <f t="shared" si="6"/>
        <v>-1.0017739378473471</v>
      </c>
      <c r="Q24" s="5">
        <v>585.28</v>
      </c>
      <c r="R24" s="1">
        <f t="shared" si="7"/>
        <v>0.20726784104102453</v>
      </c>
      <c r="S24" s="5">
        <v>3393.58</v>
      </c>
      <c r="T24" s="8">
        <f t="shared" si="0"/>
        <v>484.79714285714283</v>
      </c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2:37" x14ac:dyDescent="0.35">
      <c r="C25" s="2">
        <v>5138350500</v>
      </c>
      <c r="D25" s="6" t="s">
        <v>29</v>
      </c>
      <c r="E25" s="6">
        <v>800</v>
      </c>
      <c r="F25" s="4">
        <f t="shared" si="1"/>
        <v>-0.52486121280872355</v>
      </c>
      <c r="G25" s="6">
        <v>1000</v>
      </c>
      <c r="H25" s="1">
        <f t="shared" si="2"/>
        <v>-0.40607651601090444</v>
      </c>
      <c r="I25" s="6">
        <v>1000</v>
      </c>
      <c r="J25" s="1">
        <f t="shared" si="3"/>
        <v>-0.40607651601090444</v>
      </c>
      <c r="K25" s="6">
        <v>800</v>
      </c>
      <c r="L25" s="1">
        <f t="shared" si="4"/>
        <v>-0.52486121280872355</v>
      </c>
      <c r="M25" s="6">
        <v>4146.8</v>
      </c>
      <c r="N25" s="1">
        <f t="shared" si="5"/>
        <v>1.4628819034059815</v>
      </c>
      <c r="P25" s="1">
        <f t="shared" si="6"/>
        <v>-1</v>
      </c>
      <c r="Q25" s="5">
        <v>4039.23</v>
      </c>
      <c r="R25" s="1">
        <f t="shared" si="7"/>
        <v>1.3989935542332743</v>
      </c>
      <c r="S25" s="5">
        <v>11786.03</v>
      </c>
      <c r="T25" s="8">
        <f t="shared" si="0"/>
        <v>1683.7185714285715</v>
      </c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2:37" x14ac:dyDescent="0.35">
      <c r="C26" s="2">
        <v>5195650450</v>
      </c>
      <c r="D26" s="6" t="s">
        <v>30</v>
      </c>
      <c r="E26" s="6"/>
      <c r="F26" s="4">
        <f t="shared" si="1"/>
        <v>-1</v>
      </c>
      <c r="G26" s="6">
        <v>3</v>
      </c>
      <c r="H26" s="1">
        <f t="shared" si="2"/>
        <v>-0.99303997375075814</v>
      </c>
      <c r="I26" s="6">
        <v>379.1</v>
      </c>
      <c r="J26" s="1">
        <f t="shared" si="3"/>
        <v>-0.1204846829708042</v>
      </c>
      <c r="K26" s="6">
        <v>50.2</v>
      </c>
      <c r="L26" s="1">
        <f t="shared" si="4"/>
        <v>-0.88353556076268636</v>
      </c>
      <c r="M26" s="6">
        <v>1000.66</v>
      </c>
      <c r="N26" s="1">
        <f t="shared" si="5"/>
        <v>1.3215399555221181</v>
      </c>
      <c r="O26" s="5">
        <v>1063.57</v>
      </c>
      <c r="P26" s="1">
        <f t="shared" si="6"/>
        <v>1.4674917059687198</v>
      </c>
      <c r="Q26" s="5">
        <v>520.70000000000005</v>
      </c>
      <c r="R26" s="1">
        <f t="shared" si="7"/>
        <v>0.20802855599341141</v>
      </c>
      <c r="S26" s="5">
        <v>3017.2299999999996</v>
      </c>
      <c r="T26" s="8">
        <f t="shared" si="0"/>
        <v>431.0328571428571</v>
      </c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2:37" x14ac:dyDescent="0.35">
      <c r="B27" s="2" t="s">
        <v>31</v>
      </c>
      <c r="C27" s="2">
        <v>5101060100</v>
      </c>
      <c r="D27" s="6" t="s">
        <v>32</v>
      </c>
      <c r="E27" s="6">
        <v>8247.61</v>
      </c>
      <c r="F27" s="4">
        <f t="shared" si="1"/>
        <v>0.43901219514322881</v>
      </c>
      <c r="G27" s="6">
        <v>6801.07</v>
      </c>
      <c r="H27" s="1">
        <f t="shared" si="2"/>
        <v>0.18662529751318965</v>
      </c>
      <c r="I27" s="6">
        <v>6486.49</v>
      </c>
      <c r="J27" s="1">
        <f t="shared" si="3"/>
        <v>0.13173855379614233</v>
      </c>
      <c r="K27" s="6">
        <v>5998.71</v>
      </c>
      <c r="L27" s="1">
        <f t="shared" si="4"/>
        <v>4.6632520830596699E-2</v>
      </c>
      <c r="M27" s="6">
        <v>5035.42</v>
      </c>
      <c r="N27" s="1">
        <f t="shared" si="5"/>
        <v>-0.12143872131828289</v>
      </c>
      <c r="O27" s="5">
        <v>4205.22</v>
      </c>
      <c r="P27" s="1">
        <f t="shared" si="6"/>
        <v>-0.26628891724266684</v>
      </c>
      <c r="Q27" s="5">
        <v>3345.55</v>
      </c>
      <c r="R27" s="1">
        <f t="shared" si="7"/>
        <v>-0.41628092872220812</v>
      </c>
      <c r="S27" s="5">
        <v>40120.07</v>
      </c>
      <c r="T27" s="8">
        <f t="shared" si="0"/>
        <v>5731.4385714285718</v>
      </c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2:37" x14ac:dyDescent="0.35">
      <c r="C28" s="2">
        <v>5101300100</v>
      </c>
      <c r="D28" s="6" t="s">
        <v>33</v>
      </c>
      <c r="E28" s="6">
        <v>0</v>
      </c>
      <c r="F28" s="4">
        <v>0</v>
      </c>
      <c r="G28" s="6"/>
      <c r="H28" s="1">
        <v>0</v>
      </c>
      <c r="I28" s="6"/>
      <c r="J28" s="1">
        <v>0</v>
      </c>
      <c r="K28" s="6"/>
      <c r="L28" s="1">
        <v>0</v>
      </c>
      <c r="M28" s="6"/>
      <c r="N28" s="1">
        <v>0</v>
      </c>
      <c r="P28" s="1">
        <v>0</v>
      </c>
      <c r="R28" s="1">
        <v>0</v>
      </c>
      <c r="S28" s="5">
        <v>0</v>
      </c>
      <c r="T28" s="8">
        <f t="shared" si="0"/>
        <v>0</v>
      </c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2:37" x14ac:dyDescent="0.35">
      <c r="C29" s="2">
        <v>5101390100</v>
      </c>
      <c r="D29" s="6" t="s">
        <v>34</v>
      </c>
      <c r="E29" s="6">
        <v>617.44000000000005</v>
      </c>
      <c r="F29" s="4">
        <f t="shared" si="1"/>
        <v>1.462443026435734</v>
      </c>
      <c r="G29" s="6">
        <v>206.2</v>
      </c>
      <c r="H29" s="1">
        <f t="shared" si="2"/>
        <v>-0.17764357338195089</v>
      </c>
      <c r="I29" s="6">
        <v>130.91</v>
      </c>
      <c r="J29" s="1">
        <f t="shared" si="3"/>
        <v>-0.47791134913400185</v>
      </c>
      <c r="K29" s="6">
        <v>198.24</v>
      </c>
      <c r="L29" s="1">
        <f t="shared" si="4"/>
        <v>-0.20938924339106657</v>
      </c>
      <c r="M29" s="6">
        <v>202.34</v>
      </c>
      <c r="N29" s="1">
        <f t="shared" si="5"/>
        <v>-0.1930378304466728</v>
      </c>
      <c r="O29" s="5">
        <v>196.76</v>
      </c>
      <c r="P29" s="1">
        <f t="shared" si="6"/>
        <v>-0.21529170464904293</v>
      </c>
      <c r="Q29" s="5">
        <v>203.31</v>
      </c>
      <c r="R29" s="1">
        <f t="shared" si="7"/>
        <v>-0.18916932543299914</v>
      </c>
      <c r="S29" s="5">
        <v>1755.2</v>
      </c>
      <c r="T29" s="8">
        <f t="shared" si="0"/>
        <v>250.74285714285716</v>
      </c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2:37" x14ac:dyDescent="0.35">
      <c r="C30" s="2">
        <v>5101480300</v>
      </c>
      <c r="D30" s="6" t="s">
        <v>35</v>
      </c>
      <c r="E30" s="6">
        <v>93249.98</v>
      </c>
      <c r="F30" s="4">
        <f t="shared" si="1"/>
        <v>-6.9942570669027329E-2</v>
      </c>
      <c r="G30" s="6">
        <v>98041.58</v>
      </c>
      <c r="H30" s="1">
        <f t="shared" si="2"/>
        <v>-2.2152070570450419E-2</v>
      </c>
      <c r="I30" s="6">
        <v>99681.68</v>
      </c>
      <c r="J30" s="1">
        <f t="shared" si="3"/>
        <v>-5.794027492631847E-3</v>
      </c>
      <c r="K30" s="6">
        <v>102590.17</v>
      </c>
      <c r="L30" s="1">
        <f t="shared" si="4"/>
        <v>2.3214694360550809E-2</v>
      </c>
      <c r="M30" s="6">
        <v>102482.59</v>
      </c>
      <c r="N30" s="1">
        <f t="shared" si="5"/>
        <v>2.2141712058062084E-2</v>
      </c>
      <c r="O30" s="5">
        <v>104497.60000000001</v>
      </c>
      <c r="P30" s="1">
        <f t="shared" si="6"/>
        <v>4.2239035625061372E-2</v>
      </c>
      <c r="Q30" s="5">
        <v>101294.63</v>
      </c>
      <c r="R30" s="1">
        <f t="shared" si="7"/>
        <v>1.0293226688435035E-2</v>
      </c>
      <c r="S30" s="5">
        <v>701838.23</v>
      </c>
      <c r="T30" s="8">
        <f t="shared" si="0"/>
        <v>100262.60428571429</v>
      </c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2:37" x14ac:dyDescent="0.35">
      <c r="C31" s="2">
        <v>5101480301</v>
      </c>
      <c r="D31" s="6" t="s">
        <v>36</v>
      </c>
      <c r="E31" s="6">
        <v>50977.04</v>
      </c>
      <c r="F31" s="4">
        <f t="shared" si="1"/>
        <v>0.89528955540594146</v>
      </c>
      <c r="G31" s="6">
        <v>28860.1</v>
      </c>
      <c r="H31" s="1">
        <f t="shared" si="2"/>
        <v>7.2997688723609858E-2</v>
      </c>
      <c r="I31" s="6">
        <v>11544.19</v>
      </c>
      <c r="J31" s="1">
        <f t="shared" si="3"/>
        <v>-0.5707953476188159</v>
      </c>
      <c r="K31" s="6">
        <v>37044.32</v>
      </c>
      <c r="L31" s="1">
        <f t="shared" si="4"/>
        <v>0.37728108150483874</v>
      </c>
      <c r="M31" s="6">
        <v>10649.94</v>
      </c>
      <c r="N31" s="1">
        <f t="shared" si="5"/>
        <v>-0.60404291720939562</v>
      </c>
      <c r="O31" s="5">
        <v>25415.87</v>
      </c>
      <c r="P31" s="1">
        <f t="shared" si="6"/>
        <v>-5.5056296863152436E-2</v>
      </c>
      <c r="Q31" s="5">
        <v>23785.46</v>
      </c>
      <c r="R31" s="1">
        <f t="shared" si="7"/>
        <v>-0.11567376394302606</v>
      </c>
      <c r="S31" s="5">
        <v>188276.91999999998</v>
      </c>
      <c r="T31" s="8">
        <f t="shared" si="0"/>
        <v>26896.702857142856</v>
      </c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2:37" x14ac:dyDescent="0.35">
      <c r="C32" s="2">
        <v>5101480303</v>
      </c>
      <c r="D32" s="6" t="s">
        <v>37</v>
      </c>
      <c r="E32" s="6"/>
      <c r="F32" s="4">
        <f t="shared" si="1"/>
        <v>-1</v>
      </c>
      <c r="G32" s="6"/>
      <c r="H32" s="1">
        <f t="shared" si="2"/>
        <v>-1</v>
      </c>
      <c r="I32" s="6"/>
      <c r="J32" s="1">
        <f t="shared" si="3"/>
        <v>-1</v>
      </c>
      <c r="K32" s="6"/>
      <c r="L32" s="1">
        <f t="shared" si="4"/>
        <v>-1</v>
      </c>
      <c r="M32" s="6">
        <v>517.96</v>
      </c>
      <c r="N32" s="1">
        <f t="shared" si="5"/>
        <v>1.3345953742337611</v>
      </c>
      <c r="O32" s="5">
        <v>645.70000000000005</v>
      </c>
      <c r="P32" s="1">
        <f t="shared" si="6"/>
        <v>1.9103564621645293</v>
      </c>
      <c r="Q32" s="5">
        <v>389.38</v>
      </c>
      <c r="R32" s="1">
        <f t="shared" si="7"/>
        <v>0.75504816360171023</v>
      </c>
      <c r="S32" s="5">
        <v>1553.04</v>
      </c>
      <c r="T32" s="8">
        <f t="shared" si="0"/>
        <v>221.86285714285714</v>
      </c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3:37" x14ac:dyDescent="0.35">
      <c r="C33" s="2">
        <v>5101480305</v>
      </c>
      <c r="D33" s="6" t="s">
        <v>38</v>
      </c>
      <c r="E33" s="6">
        <v>79713.59</v>
      </c>
      <c r="F33" s="4">
        <f t="shared" si="1"/>
        <v>-3.1785274612992381E-2</v>
      </c>
      <c r="G33" s="6">
        <v>82051.179999999993</v>
      </c>
      <c r="H33" s="1">
        <f t="shared" si="2"/>
        <v>-3.3925117237860142E-3</v>
      </c>
      <c r="I33" s="6">
        <v>75144.5</v>
      </c>
      <c r="J33" s="1">
        <f t="shared" si="3"/>
        <v>-8.7282213335969472E-2</v>
      </c>
      <c r="K33" s="6">
        <v>84712.05</v>
      </c>
      <c r="L33" s="1">
        <f t="shared" si="4"/>
        <v>2.89268646377671E-2</v>
      </c>
      <c r="M33" s="6">
        <v>83133.33</v>
      </c>
      <c r="N33" s="1">
        <f t="shared" si="5"/>
        <v>9.7514649190619477E-3</v>
      </c>
      <c r="O33" s="5">
        <v>88713.43</v>
      </c>
      <c r="P33" s="1">
        <f t="shared" si="6"/>
        <v>7.7528301831463364E-2</v>
      </c>
      <c r="Q33" s="5">
        <v>82845.33</v>
      </c>
      <c r="R33" s="1">
        <f t="shared" si="7"/>
        <v>6.2533682844547458E-3</v>
      </c>
      <c r="S33" s="5">
        <v>576313.41</v>
      </c>
      <c r="T33" s="8">
        <f t="shared" si="0"/>
        <v>82330.48714285715</v>
      </c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3:37" x14ac:dyDescent="0.35">
      <c r="C34" s="2">
        <v>5101480306</v>
      </c>
      <c r="D34" s="6" t="s">
        <v>39</v>
      </c>
      <c r="E34" s="6"/>
      <c r="F34" s="4">
        <f t="shared" si="1"/>
        <v>-1</v>
      </c>
      <c r="G34" s="6"/>
      <c r="H34" s="1">
        <f t="shared" si="2"/>
        <v>-1</v>
      </c>
      <c r="I34" s="6"/>
      <c r="J34" s="1">
        <f t="shared" si="3"/>
        <v>-1</v>
      </c>
      <c r="K34" s="6"/>
      <c r="L34" s="1">
        <f t="shared" si="4"/>
        <v>-1</v>
      </c>
      <c r="M34" s="6">
        <v>6.97</v>
      </c>
      <c r="N34" s="1">
        <f t="shared" si="5"/>
        <v>-0.91064266222230361</v>
      </c>
      <c r="O34" s="5">
        <v>376.98</v>
      </c>
      <c r="P34" s="1">
        <f t="shared" si="6"/>
        <v>3.8329884068057365</v>
      </c>
      <c r="Q34" s="5">
        <v>162.06</v>
      </c>
      <c r="R34" s="1">
        <f t="shared" si="7"/>
        <v>1.0776542554165673</v>
      </c>
      <c r="S34" s="5">
        <v>546.01</v>
      </c>
      <c r="T34" s="8">
        <f t="shared" si="0"/>
        <v>78.001428571428576</v>
      </c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3:37" x14ac:dyDescent="0.35">
      <c r="C35" s="2">
        <v>5101950400</v>
      </c>
      <c r="D35" s="6" t="s">
        <v>40</v>
      </c>
      <c r="E35" s="6"/>
      <c r="F35" s="4">
        <f t="shared" si="1"/>
        <v>-1</v>
      </c>
      <c r="G35" s="6"/>
      <c r="H35" s="1">
        <f t="shared" si="2"/>
        <v>-1</v>
      </c>
      <c r="I35" s="6"/>
      <c r="J35" s="1">
        <f t="shared" si="3"/>
        <v>-1</v>
      </c>
      <c r="K35" s="6"/>
      <c r="L35" s="1">
        <f t="shared" si="4"/>
        <v>-1</v>
      </c>
      <c r="M35" s="6">
        <v>4870.09</v>
      </c>
      <c r="N35" s="1">
        <f t="shared" si="5"/>
        <v>6</v>
      </c>
      <c r="P35" s="1">
        <f t="shared" si="6"/>
        <v>-1</v>
      </c>
      <c r="R35" s="1">
        <f t="shared" si="7"/>
        <v>-1</v>
      </c>
      <c r="S35" s="5">
        <v>4870.09</v>
      </c>
      <c r="T35" s="8">
        <f t="shared" si="0"/>
        <v>695.72714285714289</v>
      </c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3:37" x14ac:dyDescent="0.35">
      <c r="C36" s="2">
        <v>5102690100</v>
      </c>
      <c r="D36" s="6" t="s">
        <v>41</v>
      </c>
      <c r="E36" s="6">
        <v>1061.9100000000001</v>
      </c>
      <c r="F36" s="4">
        <f t="shared" si="1"/>
        <v>0.72296883836932246</v>
      </c>
      <c r="G36" s="6">
        <v>555.91999999999996</v>
      </c>
      <c r="H36" s="1">
        <f t="shared" si="2"/>
        <v>-9.8009401336955501E-2</v>
      </c>
      <c r="I36" s="6">
        <v>339.66</v>
      </c>
      <c r="J36" s="1">
        <f t="shared" si="3"/>
        <v>-0.44889529655006161</v>
      </c>
      <c r="K36" s="6">
        <v>874.89</v>
      </c>
      <c r="L36" s="1">
        <f t="shared" si="4"/>
        <v>0.4195253900998544</v>
      </c>
      <c r="M36" s="6">
        <v>521.75</v>
      </c>
      <c r="N36" s="1">
        <f t="shared" si="5"/>
        <v>-0.15345086549783513</v>
      </c>
      <c r="O36" s="5">
        <v>723.68</v>
      </c>
      <c r="P36" s="1">
        <f t="shared" si="6"/>
        <v>0.17418433666799549</v>
      </c>
      <c r="Q36" s="5">
        <v>236.47</v>
      </c>
      <c r="R36" s="1">
        <f t="shared" si="7"/>
        <v>-0.61632300175232013</v>
      </c>
      <c r="S36" s="5">
        <v>4314.28</v>
      </c>
      <c r="T36" s="8">
        <f t="shared" si="0"/>
        <v>616.3257142857143</v>
      </c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3:37" x14ac:dyDescent="0.35">
      <c r="C37" s="2">
        <v>5102690200</v>
      </c>
      <c r="D37" s="6" t="s">
        <v>42</v>
      </c>
      <c r="E37" s="6">
        <v>362.55</v>
      </c>
      <c r="F37" s="4">
        <f t="shared" si="1"/>
        <v>0.98878596953169084</v>
      </c>
      <c r="G37" s="6">
        <v>186.3</v>
      </c>
      <c r="H37" s="1">
        <f t="shared" si="2"/>
        <v>2.1957870979875921E-2</v>
      </c>
      <c r="I37" s="6">
        <v>123.54</v>
      </c>
      <c r="J37" s="1">
        <f t="shared" si="3"/>
        <v>-0.32231521534700014</v>
      </c>
      <c r="K37" s="6">
        <v>99.25</v>
      </c>
      <c r="L37" s="1">
        <f t="shared" si="4"/>
        <v>-0.45555921258855242</v>
      </c>
      <c r="M37" s="6">
        <v>183.16</v>
      </c>
      <c r="N37" s="1">
        <f t="shared" si="5"/>
        <v>4.7332455645413794E-3</v>
      </c>
      <c r="O37" s="5">
        <v>239.5</v>
      </c>
      <c r="P37" s="1">
        <f t="shared" si="6"/>
        <v>0.31378910413140243</v>
      </c>
      <c r="Q37" s="5">
        <v>81.78</v>
      </c>
      <c r="R37" s="1">
        <f t="shared" si="7"/>
        <v>-0.55139176227195785</v>
      </c>
      <c r="S37" s="5">
        <v>1276.08</v>
      </c>
      <c r="T37" s="8">
        <f t="shared" si="0"/>
        <v>182.29714285714286</v>
      </c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3:37" x14ac:dyDescent="0.35">
      <c r="C38" s="2">
        <v>5102690300</v>
      </c>
      <c r="D38" s="6" t="s">
        <v>43</v>
      </c>
      <c r="E38" s="6">
        <v>1290.32</v>
      </c>
      <c r="F38" s="4">
        <f t="shared" si="1"/>
        <v>-0.16012367203663677</v>
      </c>
      <c r="G38" s="6">
        <v>0.02</v>
      </c>
      <c r="H38" s="1">
        <f t="shared" si="2"/>
        <v>-0.99998698189088031</v>
      </c>
      <c r="I38" s="6">
        <v>257.32</v>
      </c>
      <c r="J38" s="1">
        <f t="shared" si="3"/>
        <v>-0.83250900806657835</v>
      </c>
      <c r="K38" s="6">
        <v>1772.11</v>
      </c>
      <c r="L38" s="1">
        <f t="shared" si="4"/>
        <v>0.15347606760118079</v>
      </c>
      <c r="M38" s="6">
        <v>4348.88</v>
      </c>
      <c r="N38" s="1">
        <f t="shared" si="5"/>
        <v>1.8307097194132553</v>
      </c>
      <c r="O38" s="5">
        <v>2581.73</v>
      </c>
      <c r="P38" s="1">
        <f t="shared" si="6"/>
        <v>0.68046214287374751</v>
      </c>
      <c r="Q38" s="5">
        <v>503.87</v>
      </c>
      <c r="R38" s="1">
        <f t="shared" si="7"/>
        <v>-0.67202826789408832</v>
      </c>
      <c r="S38" s="5">
        <v>10754.25</v>
      </c>
      <c r="T38" s="8">
        <f t="shared" si="0"/>
        <v>1536.3214285714287</v>
      </c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3:37" x14ac:dyDescent="0.35">
      <c r="C39" s="2">
        <v>5102690500</v>
      </c>
      <c r="D39" s="6" t="s">
        <v>44</v>
      </c>
      <c r="E39" s="6">
        <v>0</v>
      </c>
      <c r="F39" s="4">
        <v>0</v>
      </c>
      <c r="G39" s="6">
        <v>0</v>
      </c>
      <c r="H39" s="1">
        <v>0</v>
      </c>
      <c r="I39" s="6">
        <v>0</v>
      </c>
      <c r="J39" s="1">
        <v>0</v>
      </c>
      <c r="K39" s="6">
        <v>0</v>
      </c>
      <c r="L39" s="1">
        <v>0</v>
      </c>
      <c r="M39" s="6">
        <v>0</v>
      </c>
      <c r="N39" s="1">
        <v>0</v>
      </c>
      <c r="P39" s="1">
        <v>0</v>
      </c>
      <c r="R39" s="1">
        <v>0</v>
      </c>
      <c r="S39" s="5">
        <v>0</v>
      </c>
      <c r="T39" s="8">
        <f t="shared" si="0"/>
        <v>0</v>
      </c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3:37" x14ac:dyDescent="0.35">
      <c r="C40" s="2">
        <v>5103390100</v>
      </c>
      <c r="D40" s="6" t="s">
        <v>45</v>
      </c>
      <c r="E40" s="6">
        <v>363469.64</v>
      </c>
      <c r="F40" s="4">
        <f t="shared" si="1"/>
        <v>-0.17377025807627133</v>
      </c>
      <c r="G40" s="6">
        <v>441003.82</v>
      </c>
      <c r="H40" s="1">
        <f t="shared" si="2"/>
        <v>2.4784253947000394E-3</v>
      </c>
      <c r="I40" s="6">
        <v>473953.95</v>
      </c>
      <c r="J40" s="1">
        <f t="shared" si="3"/>
        <v>7.7379804795338042E-2</v>
      </c>
      <c r="K40" s="6">
        <v>464555.22</v>
      </c>
      <c r="L40" s="1">
        <f t="shared" si="4"/>
        <v>5.6014855958591077E-2</v>
      </c>
      <c r="M40" s="6">
        <v>460273.9</v>
      </c>
      <c r="N40" s="1">
        <f t="shared" si="5"/>
        <v>4.628267057250806E-2</v>
      </c>
      <c r="O40" s="5">
        <v>422647.65</v>
      </c>
      <c r="P40" s="1">
        <f t="shared" si="6"/>
        <v>-3.9248343316458552E-2</v>
      </c>
      <c r="Q40" s="5">
        <v>453490.51</v>
      </c>
      <c r="R40" s="1">
        <f t="shared" si="7"/>
        <v>3.0862844671593715E-2</v>
      </c>
      <c r="S40" s="5">
        <v>3079394.6899999995</v>
      </c>
      <c r="T40" s="8">
        <f t="shared" si="0"/>
        <v>439913.52714285708</v>
      </c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3:37" x14ac:dyDescent="0.35">
      <c r="C41" s="2">
        <v>5103390103</v>
      </c>
      <c r="D41" s="6" t="s">
        <v>46</v>
      </c>
      <c r="E41" s="6">
        <v>104683.18</v>
      </c>
      <c r="F41" s="4">
        <f t="shared" si="1"/>
        <v>-5.5976788285819739E-3</v>
      </c>
      <c r="G41" s="6">
        <v>100471.78</v>
      </c>
      <c r="H41" s="1">
        <f t="shared" si="2"/>
        <v>-4.5602443064644581E-2</v>
      </c>
      <c r="I41" s="6">
        <v>103637.71</v>
      </c>
      <c r="J41" s="1">
        <f t="shared" si="3"/>
        <v>-1.5528766083622077E-2</v>
      </c>
      <c r="K41" s="6">
        <v>99643.51</v>
      </c>
      <c r="L41" s="1">
        <f t="shared" si="4"/>
        <v>-5.3470312674228991E-2</v>
      </c>
      <c r="M41" s="6">
        <v>101984.98</v>
      </c>
      <c r="N41" s="1">
        <f t="shared" si="5"/>
        <v>-3.1228313501551572E-2</v>
      </c>
      <c r="O41" s="5">
        <v>111122.79</v>
      </c>
      <c r="P41" s="1">
        <f t="shared" si="6"/>
        <v>5.557320966982509E-2</v>
      </c>
      <c r="Q41" s="5">
        <v>115363.28</v>
      </c>
      <c r="R41" s="1">
        <f t="shared" si="7"/>
        <v>9.585430448280452E-2</v>
      </c>
      <c r="S41" s="5">
        <v>736907.23</v>
      </c>
      <c r="T41" s="8">
        <f t="shared" si="0"/>
        <v>105272.46142857142</v>
      </c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3:37" x14ac:dyDescent="0.35">
      <c r="C42" s="2">
        <v>5105060100</v>
      </c>
      <c r="D42" s="6" t="s">
        <v>47</v>
      </c>
      <c r="E42" s="6">
        <v>547897.30000000005</v>
      </c>
      <c r="F42" s="4">
        <f t="shared" si="1"/>
        <v>-3.1637043080087843E-2</v>
      </c>
      <c r="G42" s="6">
        <v>548538.34</v>
      </c>
      <c r="H42" s="1">
        <f t="shared" si="2"/>
        <v>-3.0504058139472399E-2</v>
      </c>
      <c r="I42" s="6">
        <v>554610.78</v>
      </c>
      <c r="J42" s="1">
        <f t="shared" si="3"/>
        <v>-1.9771524954660554E-2</v>
      </c>
      <c r="K42" s="6">
        <v>584737.87</v>
      </c>
      <c r="L42" s="1">
        <f t="shared" si="4"/>
        <v>3.3475603577990148E-2</v>
      </c>
      <c r="M42" s="6">
        <v>572388.32999999996</v>
      </c>
      <c r="N42" s="1">
        <f t="shared" si="5"/>
        <v>1.1648817662088085E-2</v>
      </c>
      <c r="O42" s="5">
        <v>578694.86</v>
      </c>
      <c r="P42" s="1">
        <f t="shared" si="6"/>
        <v>2.2795085473052222E-2</v>
      </c>
      <c r="Q42" s="5">
        <v>573714.73</v>
      </c>
      <c r="R42" s="1">
        <f t="shared" si="7"/>
        <v>1.3993119461090551E-2</v>
      </c>
      <c r="S42" s="5">
        <v>3960582.21</v>
      </c>
      <c r="T42" s="8">
        <f t="shared" si="0"/>
        <v>565797.45857142855</v>
      </c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3:37" x14ac:dyDescent="0.35">
      <c r="C43" s="2">
        <v>5105690400</v>
      </c>
      <c r="D43" s="6" t="s">
        <v>48</v>
      </c>
      <c r="E43" s="6"/>
      <c r="F43" s="4">
        <f t="shared" si="1"/>
        <v>-1</v>
      </c>
      <c r="G43" s="6">
        <v>3239.96</v>
      </c>
      <c r="H43" s="1">
        <f t="shared" si="2"/>
        <v>2.4678683050049242</v>
      </c>
      <c r="I43" s="6">
        <v>3300</v>
      </c>
      <c r="J43" s="1">
        <f t="shared" si="3"/>
        <v>2.5321316949950767</v>
      </c>
      <c r="K43" s="6"/>
      <c r="L43" s="1">
        <f t="shared" si="4"/>
        <v>-1</v>
      </c>
      <c r="M43" s="6"/>
      <c r="N43" s="1">
        <f t="shared" si="5"/>
        <v>-1</v>
      </c>
      <c r="P43" s="1">
        <f t="shared" si="6"/>
        <v>-1</v>
      </c>
      <c r="R43" s="1">
        <f t="shared" si="7"/>
        <v>-1</v>
      </c>
      <c r="S43" s="5">
        <v>6539.96</v>
      </c>
      <c r="T43" s="8">
        <f t="shared" si="0"/>
        <v>934.28</v>
      </c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3:37" x14ac:dyDescent="0.35">
      <c r="C44" s="2">
        <v>5105840100</v>
      </c>
      <c r="D44" s="6" t="s">
        <v>49</v>
      </c>
      <c r="E44" s="6"/>
      <c r="F44" s="4">
        <f t="shared" si="1"/>
        <v>-1</v>
      </c>
      <c r="G44" s="6"/>
      <c r="H44" s="1">
        <f t="shared" si="2"/>
        <v>-1</v>
      </c>
      <c r="I44" s="6">
        <v>13430</v>
      </c>
      <c r="J44" s="1">
        <f t="shared" si="3"/>
        <v>2.3413897280966771</v>
      </c>
      <c r="K44" s="6"/>
      <c r="L44" s="1">
        <f t="shared" si="4"/>
        <v>-1</v>
      </c>
      <c r="M44" s="6">
        <v>14705</v>
      </c>
      <c r="N44" s="1">
        <f t="shared" si="5"/>
        <v>2.6586102719033233</v>
      </c>
      <c r="P44" s="1">
        <f t="shared" si="6"/>
        <v>-1</v>
      </c>
      <c r="R44" s="1">
        <f t="shared" si="7"/>
        <v>-1</v>
      </c>
      <c r="S44" s="5">
        <v>28135</v>
      </c>
      <c r="T44" s="8">
        <f t="shared" si="0"/>
        <v>4019.2857142857142</v>
      </c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3:37" x14ac:dyDescent="0.35">
      <c r="C45" s="2">
        <v>5105950100</v>
      </c>
      <c r="D45" s="6" t="s">
        <v>50</v>
      </c>
      <c r="E45" s="6"/>
      <c r="F45" s="4">
        <v>0</v>
      </c>
      <c r="G45" s="6"/>
      <c r="H45" s="1">
        <v>0</v>
      </c>
      <c r="I45" s="6"/>
      <c r="J45" s="1">
        <v>0</v>
      </c>
      <c r="K45" s="6"/>
      <c r="L45" s="1">
        <v>0</v>
      </c>
      <c r="M45" s="6">
        <v>0</v>
      </c>
      <c r="N45" s="1">
        <v>0</v>
      </c>
      <c r="P45" s="1">
        <v>0</v>
      </c>
      <c r="R45" s="1">
        <v>0</v>
      </c>
      <c r="S45" s="5">
        <v>0</v>
      </c>
      <c r="T45" s="8">
        <f t="shared" si="0"/>
        <v>0</v>
      </c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3:37" x14ac:dyDescent="0.35">
      <c r="C46" s="2">
        <v>5105950401</v>
      </c>
      <c r="D46" s="6" t="s">
        <v>51</v>
      </c>
      <c r="E46" s="6">
        <v>26005.99</v>
      </c>
      <c r="F46" s="4">
        <f t="shared" si="1"/>
        <v>0.65531533450081947</v>
      </c>
      <c r="G46" s="6">
        <v>15297.66</v>
      </c>
      <c r="H46" s="1">
        <f t="shared" si="2"/>
        <v>-2.6283899210151063E-2</v>
      </c>
      <c r="I46" s="6">
        <v>16435.09</v>
      </c>
      <c r="J46" s="1">
        <f t="shared" si="3"/>
        <v>4.6115010461092655E-2</v>
      </c>
      <c r="K46" s="6">
        <v>19086.86</v>
      </c>
      <c r="L46" s="1">
        <f t="shared" si="4"/>
        <v>0.21490364510139046</v>
      </c>
      <c r="M46" s="6">
        <v>26348.57</v>
      </c>
      <c r="N46" s="1">
        <f t="shared" si="5"/>
        <v>0.67712100032216627</v>
      </c>
      <c r="P46" s="1">
        <f t="shared" si="6"/>
        <v>-1</v>
      </c>
      <c r="Q46" s="5">
        <v>6800</v>
      </c>
      <c r="R46" s="1">
        <f t="shared" si="7"/>
        <v>-0.56717109117531883</v>
      </c>
      <c r="S46" s="5">
        <v>109974.17000000001</v>
      </c>
      <c r="T46" s="8">
        <f t="shared" si="0"/>
        <v>15710.595714285717</v>
      </c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3:37" x14ac:dyDescent="0.35">
      <c r="C47" s="2">
        <v>5106950500</v>
      </c>
      <c r="D47" s="6" t="s">
        <v>52</v>
      </c>
      <c r="E47" s="6">
        <v>3299</v>
      </c>
      <c r="F47" s="4">
        <f t="shared" si="1"/>
        <v>0.24375912231850944</v>
      </c>
      <c r="G47" s="6">
        <v>2541.85</v>
      </c>
      <c r="H47" s="1">
        <f t="shared" si="2"/>
        <v>-4.1694718076598025E-2</v>
      </c>
      <c r="I47" s="6">
        <v>1350.59</v>
      </c>
      <c r="J47" s="1">
        <f t="shared" si="3"/>
        <v>-0.49081278174836146</v>
      </c>
      <c r="K47" s="6"/>
      <c r="L47" s="1">
        <f t="shared" si="4"/>
        <v>-1</v>
      </c>
      <c r="M47" s="6">
        <v>3349.61</v>
      </c>
      <c r="N47" s="1">
        <f t="shared" si="5"/>
        <v>0.2628396464714467</v>
      </c>
      <c r="O47" s="5">
        <v>6646.05</v>
      </c>
      <c r="P47" s="1">
        <f t="shared" si="6"/>
        <v>1.5056336207592997</v>
      </c>
      <c r="Q47" s="5">
        <v>1380</v>
      </c>
      <c r="R47" s="1">
        <f t="shared" si="7"/>
        <v>-0.47972488972429733</v>
      </c>
      <c r="S47" s="5">
        <v>18567.100000000002</v>
      </c>
      <c r="T47" s="8">
        <f t="shared" si="0"/>
        <v>2652.4428571428575</v>
      </c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3:37" x14ac:dyDescent="0.35">
      <c r="C48" s="2">
        <v>5106950501</v>
      </c>
      <c r="D48" s="6" t="s">
        <v>53</v>
      </c>
      <c r="E48" s="6">
        <v>646.04</v>
      </c>
      <c r="F48" s="4">
        <f t="shared" si="1"/>
        <v>-0.76353226000428775</v>
      </c>
      <c r="G48" s="6">
        <v>3068.12</v>
      </c>
      <c r="H48" s="1">
        <f t="shared" si="2"/>
        <v>0.12301312989233595</v>
      </c>
      <c r="I48" s="6">
        <v>5321.32</v>
      </c>
      <c r="J48" s="1">
        <f t="shared" si="3"/>
        <v>0.94774396971392416</v>
      </c>
      <c r="K48" s="6">
        <v>5798.19</v>
      </c>
      <c r="L48" s="1">
        <f t="shared" si="4"/>
        <v>1.1222910119586076</v>
      </c>
      <c r="M48" s="6">
        <v>3712.58</v>
      </c>
      <c r="N48" s="1">
        <f t="shared" si="5"/>
        <v>0.35890254806711885</v>
      </c>
      <c r="O48" s="5">
        <v>111.44</v>
      </c>
      <c r="P48" s="1">
        <f t="shared" si="6"/>
        <v>-0.95921001030103059</v>
      </c>
      <c r="Q48" s="5">
        <v>466.61</v>
      </c>
      <c r="R48" s="1">
        <f t="shared" si="7"/>
        <v>-0.82920838932666807</v>
      </c>
      <c r="S48" s="5">
        <v>19124.3</v>
      </c>
      <c r="T48" s="8">
        <f t="shared" si="0"/>
        <v>2732.042857142857</v>
      </c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2:37" x14ac:dyDescent="0.35">
      <c r="C49" s="2">
        <v>5106950502</v>
      </c>
      <c r="D49" s="6" t="s">
        <v>54</v>
      </c>
      <c r="E49" s="6">
        <v>3234.88</v>
      </c>
      <c r="F49" s="4">
        <f t="shared" si="1"/>
        <v>2.181615216117597</v>
      </c>
      <c r="G49" s="6">
        <v>1341.86</v>
      </c>
      <c r="H49" s="1">
        <f t="shared" si="2"/>
        <v>0.31976524442933218</v>
      </c>
      <c r="I49" s="6">
        <v>1126.3499999999999</v>
      </c>
      <c r="J49" s="1">
        <f t="shared" si="3"/>
        <v>0.10780378211063621</v>
      </c>
      <c r="K49" s="6"/>
      <c r="L49" s="1">
        <f t="shared" si="4"/>
        <v>-1</v>
      </c>
      <c r="M49" s="6">
        <v>1414.1</v>
      </c>
      <c r="N49" s="1">
        <f t="shared" si="5"/>
        <v>0.39081575734243412</v>
      </c>
      <c r="P49" s="1">
        <f t="shared" si="6"/>
        <v>-1</v>
      </c>
      <c r="R49" s="1">
        <f t="shared" si="7"/>
        <v>-1</v>
      </c>
      <c r="S49" s="5">
        <v>7117.1900000000005</v>
      </c>
      <c r="T49" s="8">
        <f t="shared" si="0"/>
        <v>1016.7414285714286</v>
      </c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2:37" x14ac:dyDescent="0.35">
      <c r="C50" s="2">
        <v>5106950505</v>
      </c>
      <c r="D50" s="6" t="s">
        <v>55</v>
      </c>
      <c r="E50" s="6"/>
      <c r="F50" s="4">
        <f t="shared" si="1"/>
        <v>-1</v>
      </c>
      <c r="G50" s="6"/>
      <c r="H50" s="1">
        <f t="shared" si="2"/>
        <v>-1</v>
      </c>
      <c r="I50" s="6"/>
      <c r="J50" s="1">
        <f t="shared" si="3"/>
        <v>-1</v>
      </c>
      <c r="K50" s="6"/>
      <c r="L50" s="1">
        <f t="shared" si="4"/>
        <v>-1</v>
      </c>
      <c r="M50" s="6">
        <v>8240</v>
      </c>
      <c r="N50" s="1">
        <f t="shared" si="5"/>
        <v>1.4113974483000238</v>
      </c>
      <c r="O50" s="5">
        <v>7698.41</v>
      </c>
      <c r="P50" s="1">
        <f t="shared" si="6"/>
        <v>1.2529036686853623</v>
      </c>
      <c r="Q50" s="5">
        <v>7981.33</v>
      </c>
      <c r="R50" s="1">
        <f t="shared" si="7"/>
        <v>1.335698883014615</v>
      </c>
      <c r="S50" s="5">
        <v>23919.739999999998</v>
      </c>
      <c r="T50" s="8">
        <f t="shared" si="0"/>
        <v>3417.1057142857139</v>
      </c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2:37" x14ac:dyDescent="0.35">
      <c r="C51" s="2">
        <v>5106950506</v>
      </c>
      <c r="D51" s="6" t="s">
        <v>56</v>
      </c>
      <c r="E51" s="6"/>
      <c r="F51" s="4">
        <f t="shared" si="1"/>
        <v>-1</v>
      </c>
      <c r="G51" s="6"/>
      <c r="H51" s="1">
        <f t="shared" si="2"/>
        <v>-1</v>
      </c>
      <c r="I51" s="6"/>
      <c r="J51" s="1">
        <f t="shared" si="3"/>
        <v>-1</v>
      </c>
      <c r="K51" s="6"/>
      <c r="L51" s="1">
        <f t="shared" si="4"/>
        <v>-1</v>
      </c>
      <c r="M51" s="6">
        <v>15346.66</v>
      </c>
      <c r="N51" s="1">
        <f t="shared" si="5"/>
        <v>1.3376552556138785</v>
      </c>
      <c r="O51" s="5">
        <v>14490</v>
      </c>
      <c r="P51" s="1">
        <f t="shared" si="6"/>
        <v>1.207165901495511</v>
      </c>
      <c r="Q51" s="5">
        <v>16118.2</v>
      </c>
      <c r="R51" s="1">
        <f t="shared" si="7"/>
        <v>1.4551788428906105</v>
      </c>
      <c r="S51" s="5">
        <v>45954.86</v>
      </c>
      <c r="T51" s="8">
        <f t="shared" si="0"/>
        <v>6564.9800000000005</v>
      </c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2:37" x14ac:dyDescent="0.35">
      <c r="C52" s="2">
        <v>5106950550</v>
      </c>
      <c r="D52" s="6" t="s">
        <v>57</v>
      </c>
      <c r="E52" s="6"/>
      <c r="F52" s="4">
        <f t="shared" si="1"/>
        <v>-1</v>
      </c>
      <c r="G52" s="6">
        <v>3585</v>
      </c>
      <c r="H52" s="1">
        <f t="shared" si="2"/>
        <v>6.0000000000000009</v>
      </c>
      <c r="I52" s="6"/>
      <c r="J52" s="1">
        <f t="shared" si="3"/>
        <v>-1</v>
      </c>
      <c r="K52" s="6"/>
      <c r="L52" s="1">
        <f t="shared" si="4"/>
        <v>-1</v>
      </c>
      <c r="M52" s="6"/>
      <c r="N52" s="1">
        <f t="shared" si="5"/>
        <v>-1</v>
      </c>
      <c r="P52" s="1">
        <f t="shared" si="6"/>
        <v>-1</v>
      </c>
      <c r="R52" s="1">
        <f t="shared" si="7"/>
        <v>-1</v>
      </c>
      <c r="S52" s="5">
        <v>3585</v>
      </c>
      <c r="T52" s="8">
        <f t="shared" si="0"/>
        <v>512.14285714285711</v>
      </c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2:37" x14ac:dyDescent="0.35">
      <c r="D53" s="6" t="s">
        <v>58</v>
      </c>
      <c r="E53" s="6">
        <v>1875.46</v>
      </c>
      <c r="F53" s="4">
        <f t="shared" si="1"/>
        <v>-0.52822041310927281</v>
      </c>
      <c r="G53" s="6"/>
      <c r="H53" s="1">
        <f t="shared" si="2"/>
        <v>-1</v>
      </c>
      <c r="I53" s="6">
        <v>2171.06</v>
      </c>
      <c r="J53" s="1">
        <f t="shared" si="3"/>
        <v>-0.45386103147228835</v>
      </c>
      <c r="K53" s="6">
        <v>7677.67</v>
      </c>
      <c r="L53" s="1">
        <f t="shared" si="4"/>
        <v>0.9313490988255303</v>
      </c>
      <c r="M53" s="6">
        <v>5950.84</v>
      </c>
      <c r="N53" s="1">
        <f t="shared" si="5"/>
        <v>0.49695799262731</v>
      </c>
      <c r="O53" s="5">
        <v>6773</v>
      </c>
      <c r="P53" s="1">
        <f t="shared" si="6"/>
        <v>0.70377568277163738</v>
      </c>
      <c r="Q53" s="5">
        <v>3378.99</v>
      </c>
      <c r="R53" s="1">
        <f t="shared" si="7"/>
        <v>-0.15000132964291532</v>
      </c>
      <c r="S53" s="5">
        <v>27827.019999999997</v>
      </c>
      <c r="T53" s="8">
        <f t="shared" si="0"/>
        <v>3975.2885714285708</v>
      </c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2:37" x14ac:dyDescent="0.35">
      <c r="C54" s="2">
        <v>5135500200</v>
      </c>
      <c r="D54" s="6" t="s">
        <v>59</v>
      </c>
      <c r="E54" s="6">
        <v>1945.46</v>
      </c>
      <c r="F54" s="4">
        <f t="shared" si="1"/>
        <v>-0.41334786513852961</v>
      </c>
      <c r="G54" s="6">
        <v>4781.46</v>
      </c>
      <c r="H54" s="1">
        <f t="shared" si="2"/>
        <v>0.44184599876364772</v>
      </c>
      <c r="I54" s="6">
        <v>4378.42</v>
      </c>
      <c r="J54" s="1">
        <f t="shared" si="3"/>
        <v>0.32030956191345961</v>
      </c>
      <c r="K54" s="6">
        <v>3501.08</v>
      </c>
      <c r="L54" s="1">
        <f t="shared" si="4"/>
        <v>5.5748283861295857E-2</v>
      </c>
      <c r="M54" s="6">
        <v>3576.58</v>
      </c>
      <c r="N54" s="1">
        <f t="shared" si="5"/>
        <v>7.8515257318494153E-2</v>
      </c>
      <c r="O54" s="5">
        <v>2843.07</v>
      </c>
      <c r="P54" s="1">
        <f t="shared" si="6"/>
        <v>-0.14267418242441343</v>
      </c>
      <c r="Q54" s="5">
        <v>2187.38</v>
      </c>
      <c r="R54" s="1">
        <f t="shared" si="7"/>
        <v>-0.34039705429395456</v>
      </c>
      <c r="S54" s="5">
        <v>23213.45</v>
      </c>
      <c r="T54" s="8">
        <f t="shared" si="0"/>
        <v>3316.207142857143</v>
      </c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2:37" x14ac:dyDescent="0.35">
      <c r="B55" s="2" t="s">
        <v>60</v>
      </c>
      <c r="C55" s="2">
        <v>5106950300</v>
      </c>
      <c r="D55" s="6" t="s">
        <v>61</v>
      </c>
      <c r="E55" s="6">
        <v>57353.440000000002</v>
      </c>
      <c r="F55" s="4">
        <f t="shared" si="1"/>
        <v>-0.15722805052919311</v>
      </c>
      <c r="G55" s="6">
        <v>59763.46</v>
      </c>
      <c r="H55" s="1">
        <f t="shared" si="2"/>
        <v>-0.12181435514032661</v>
      </c>
      <c r="I55" s="6">
        <v>61430.1</v>
      </c>
      <c r="J55" s="1">
        <f t="shared" si="3"/>
        <v>-9.7324151207205514E-2</v>
      </c>
      <c r="K55" s="6">
        <v>83541.64</v>
      </c>
      <c r="L55" s="1">
        <f t="shared" si="4"/>
        <v>0.22759072175598075</v>
      </c>
      <c r="M55" s="6">
        <v>68374.25</v>
      </c>
      <c r="N55" s="1">
        <f t="shared" si="5"/>
        <v>4.7156712152630342E-3</v>
      </c>
      <c r="O55" s="5">
        <v>65217.94</v>
      </c>
      <c r="P55" s="1">
        <f t="shared" si="6"/>
        <v>-4.1664276209585419E-2</v>
      </c>
      <c r="Q55" s="5">
        <v>80692.5</v>
      </c>
      <c r="R55" s="1">
        <f t="shared" si="7"/>
        <v>0.18572444011506689</v>
      </c>
      <c r="S55" s="5">
        <v>476373.33</v>
      </c>
      <c r="T55" s="8">
        <f t="shared" si="0"/>
        <v>68053.332857142857</v>
      </c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2:37" x14ac:dyDescent="0.35">
      <c r="C56" s="2">
        <v>5155150100</v>
      </c>
      <c r="D56" s="6" t="s">
        <v>62</v>
      </c>
      <c r="E56" s="6">
        <v>125.31</v>
      </c>
      <c r="F56" s="4">
        <f t="shared" si="1"/>
        <v>-0.95938330148372708</v>
      </c>
      <c r="G56" s="6">
        <v>5567.33</v>
      </c>
      <c r="H56" s="1">
        <f t="shared" si="2"/>
        <v>0.804537260798035</v>
      </c>
      <c r="I56" s="6">
        <v>3489.76</v>
      </c>
      <c r="J56" s="1">
        <f t="shared" si="3"/>
        <v>0.13113502365452581</v>
      </c>
      <c r="K56" s="6">
        <v>4451.3500000000004</v>
      </c>
      <c r="L56" s="1">
        <f t="shared" si="4"/>
        <v>0.4428149464560811</v>
      </c>
      <c r="M56" s="6">
        <v>2575.48</v>
      </c>
      <c r="N56" s="1">
        <f t="shared" si="5"/>
        <v>-0.16521032084677514</v>
      </c>
      <c r="O56" s="5">
        <v>4954.8500000000004</v>
      </c>
      <c r="P56" s="1">
        <f t="shared" si="6"/>
        <v>0.60601427374794459</v>
      </c>
      <c r="Q56" s="5">
        <v>432.21</v>
      </c>
      <c r="R56" s="1">
        <f t="shared" si="7"/>
        <v>-0.85990788232608473</v>
      </c>
      <c r="S56" s="5">
        <v>21596.29</v>
      </c>
      <c r="T56" s="8">
        <f t="shared" si="0"/>
        <v>3085.184285714286</v>
      </c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2:37" x14ac:dyDescent="0.35">
      <c r="C57" s="2">
        <v>5155950100</v>
      </c>
      <c r="D57" s="6" t="s">
        <v>63</v>
      </c>
      <c r="E57" s="6">
        <v>103.72</v>
      </c>
      <c r="F57" s="4">
        <f t="shared" si="1"/>
        <v>0.84555160142348762</v>
      </c>
      <c r="G57" s="6">
        <v>0</v>
      </c>
      <c r="H57" s="1">
        <f t="shared" si="2"/>
        <v>-1</v>
      </c>
      <c r="I57" s="6">
        <v>289.68</v>
      </c>
      <c r="J57" s="1">
        <f t="shared" si="3"/>
        <v>4.1544483985765135</v>
      </c>
      <c r="K57" s="6">
        <v>0</v>
      </c>
      <c r="L57" s="1">
        <f t="shared" si="4"/>
        <v>-1</v>
      </c>
      <c r="M57" s="6"/>
      <c r="N57" s="1">
        <f t="shared" si="5"/>
        <v>-1</v>
      </c>
      <c r="O57" s="5">
        <v>0</v>
      </c>
      <c r="P57" s="1">
        <f t="shared" si="6"/>
        <v>-1</v>
      </c>
      <c r="Q57" s="5">
        <v>0</v>
      </c>
      <c r="R57" s="1">
        <f t="shared" si="7"/>
        <v>-1</v>
      </c>
      <c r="S57" s="5">
        <v>393.4</v>
      </c>
      <c r="T57" s="8">
        <f t="shared" si="0"/>
        <v>56.199999999999996</v>
      </c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2:37" x14ac:dyDescent="0.35">
      <c r="C58" s="2">
        <v>5165100100</v>
      </c>
      <c r="D58" s="6" t="s">
        <v>64</v>
      </c>
      <c r="E58" s="6">
        <v>18368</v>
      </c>
      <c r="F58" s="4">
        <f t="shared" si="1"/>
        <v>0.91201029049839033</v>
      </c>
      <c r="G58" s="6">
        <v>12294.32</v>
      </c>
      <c r="H58" s="1">
        <f t="shared" si="2"/>
        <v>0.27977277627831931</v>
      </c>
      <c r="I58" s="6">
        <v>5446.41</v>
      </c>
      <c r="J58" s="1">
        <f t="shared" si="3"/>
        <v>-0.43305792866543241</v>
      </c>
      <c r="K58" s="6">
        <v>12400.71</v>
      </c>
      <c r="L58" s="1">
        <f t="shared" si="4"/>
        <v>0.2908474046976422</v>
      </c>
      <c r="M58" s="6">
        <v>6578.03</v>
      </c>
      <c r="N58" s="1">
        <f t="shared" si="5"/>
        <v>-0.31526235566163296</v>
      </c>
      <c r="O58" s="5">
        <v>12229.06</v>
      </c>
      <c r="P58" s="1">
        <f t="shared" si="6"/>
        <v>0.27297956027451242</v>
      </c>
      <c r="Q58" s="5">
        <v>-70.03</v>
      </c>
      <c r="R58" s="1">
        <f t="shared" si="7"/>
        <v>-1.007289747421799</v>
      </c>
      <c r="S58" s="5">
        <v>67246.5</v>
      </c>
      <c r="T58" s="8">
        <f t="shared" si="0"/>
        <v>9606.6428571428569</v>
      </c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2:37" x14ac:dyDescent="0.35">
      <c r="B59" s="2" t="s">
        <v>65</v>
      </c>
      <c r="C59" s="2">
        <v>5195150100</v>
      </c>
      <c r="D59" s="6" t="s">
        <v>66</v>
      </c>
      <c r="E59" s="6">
        <v>45783.32</v>
      </c>
      <c r="F59" s="4">
        <f t="shared" si="1"/>
        <v>-0.20123171774892878</v>
      </c>
      <c r="G59" s="6">
        <v>52547.56</v>
      </c>
      <c r="H59" s="1">
        <f t="shared" si="2"/>
        <v>-8.3217987736907265E-2</v>
      </c>
      <c r="I59" s="6">
        <v>60110.1</v>
      </c>
      <c r="J59" s="1">
        <f t="shared" si="3"/>
        <v>4.8723450438721255E-2</v>
      </c>
      <c r="K59" s="6">
        <v>55546.36</v>
      </c>
      <c r="L59" s="1">
        <f t="shared" si="4"/>
        <v>-3.089879540191464E-2</v>
      </c>
      <c r="M59" s="6">
        <v>70131.91</v>
      </c>
      <c r="N59" s="1">
        <f t="shared" si="5"/>
        <v>0.22357105779324715</v>
      </c>
      <c r="O59" s="5">
        <v>60354</v>
      </c>
      <c r="P59" s="1">
        <f t="shared" si="6"/>
        <v>5.2978702876531301E-2</v>
      </c>
      <c r="Q59" s="5">
        <v>56748.54</v>
      </c>
      <c r="R59" s="1">
        <f t="shared" si="7"/>
        <v>-9.924710220748376E-3</v>
      </c>
      <c r="S59" s="5">
        <v>401221.79</v>
      </c>
      <c r="T59" s="8">
        <f t="shared" si="0"/>
        <v>57317.398571428566</v>
      </c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2:37" x14ac:dyDescent="0.35">
      <c r="C60" s="2">
        <v>5195200100</v>
      </c>
      <c r="D60" s="6" t="s">
        <v>67</v>
      </c>
      <c r="E60" s="6">
        <v>20730.3</v>
      </c>
      <c r="F60" s="4">
        <f t="shared" si="1"/>
        <v>-0.2661459586295582</v>
      </c>
      <c r="G60" s="6">
        <v>12879.55</v>
      </c>
      <c r="H60" s="1">
        <f t="shared" si="2"/>
        <v>-0.54406304691525575</v>
      </c>
      <c r="I60" s="6">
        <v>21819.61</v>
      </c>
      <c r="J60" s="1">
        <f t="shared" si="3"/>
        <v>-0.22758430994115347</v>
      </c>
      <c r="K60" s="6">
        <v>22153.58</v>
      </c>
      <c r="L60" s="1">
        <f t="shared" si="4"/>
        <v>-0.21576174904254189</v>
      </c>
      <c r="M60" s="6">
        <v>22447.14</v>
      </c>
      <c r="N60" s="1">
        <f t="shared" si="5"/>
        <v>-0.20536970491463707</v>
      </c>
      <c r="O60" s="5">
        <v>49018.95</v>
      </c>
      <c r="P60" s="1">
        <f t="shared" si="6"/>
        <v>0.73527419097821145</v>
      </c>
      <c r="Q60" s="5">
        <v>48690.6</v>
      </c>
      <c r="R60" s="1">
        <f t="shared" si="7"/>
        <v>0.72365057846493452</v>
      </c>
      <c r="S60" s="5">
        <v>197739.73</v>
      </c>
      <c r="T60" s="8">
        <f t="shared" si="0"/>
        <v>28248.532857142858</v>
      </c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2:37" x14ac:dyDescent="0.35">
      <c r="C61" s="2">
        <v>5195200200</v>
      </c>
      <c r="D61" s="6" t="s">
        <v>68</v>
      </c>
      <c r="E61" s="6">
        <v>69465.289999999994</v>
      </c>
      <c r="F61" s="4">
        <f t="shared" si="1"/>
        <v>-0.7111070602981876</v>
      </c>
      <c r="G61" s="6">
        <v>85728.960000000006</v>
      </c>
      <c r="H61" s="1">
        <f t="shared" si="2"/>
        <v>-0.64346954756858998</v>
      </c>
      <c r="I61" s="6">
        <v>138044.10999999999</v>
      </c>
      <c r="J61" s="1">
        <f t="shared" si="3"/>
        <v>-0.42590078085875166</v>
      </c>
      <c r="K61" s="6">
        <v>105408.14</v>
      </c>
      <c r="L61" s="1">
        <f t="shared" si="4"/>
        <v>-0.56162757784355022</v>
      </c>
      <c r="M61" s="6">
        <v>382288.52</v>
      </c>
      <c r="N61" s="1">
        <f t="shared" si="5"/>
        <v>0.58986530333430032</v>
      </c>
      <c r="O61" s="5">
        <v>401667.6</v>
      </c>
      <c r="P61" s="1">
        <f t="shared" si="6"/>
        <v>0.67045921419131382</v>
      </c>
      <c r="Q61" s="5">
        <v>500571.19</v>
      </c>
      <c r="R61" s="1">
        <f t="shared" si="7"/>
        <v>1.081780449043465</v>
      </c>
      <c r="S61" s="5">
        <v>1683173.81</v>
      </c>
      <c r="T61" s="8">
        <f t="shared" si="0"/>
        <v>240453.40142857144</v>
      </c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2:37" x14ac:dyDescent="0.35">
      <c r="C62" s="2">
        <v>5195650200</v>
      </c>
      <c r="D62" s="6" t="s">
        <v>69</v>
      </c>
      <c r="E62" s="6">
        <v>2313.88</v>
      </c>
      <c r="F62" s="4">
        <f t="shared" si="1"/>
        <v>-0.46123039299822638</v>
      </c>
      <c r="G62" s="6">
        <v>4096.24</v>
      </c>
      <c r="H62" s="1">
        <f t="shared" si="2"/>
        <v>-4.6221232308959394E-2</v>
      </c>
      <c r="I62" s="6">
        <v>1575.5</v>
      </c>
      <c r="J62" s="1">
        <f t="shared" si="3"/>
        <v>-0.63315663913803033</v>
      </c>
      <c r="K62" s="6">
        <v>6679.87</v>
      </c>
      <c r="L62" s="1">
        <f t="shared" si="4"/>
        <v>0.55535763942941618</v>
      </c>
      <c r="M62" s="6">
        <v>5322.26</v>
      </c>
      <c r="N62" s="1">
        <f t="shared" si="5"/>
        <v>0.23924833118452979</v>
      </c>
      <c r="O62" s="5">
        <v>1982.72</v>
      </c>
      <c r="P62" s="1">
        <f t="shared" si="6"/>
        <v>-0.53833851574214886</v>
      </c>
      <c r="Q62" s="5">
        <v>8092.77</v>
      </c>
      <c r="R62" s="1">
        <f t="shared" si="7"/>
        <v>0.88434080957341943</v>
      </c>
      <c r="S62" s="5">
        <v>30063.24</v>
      </c>
      <c r="T62" s="8">
        <f t="shared" si="0"/>
        <v>4294.7485714285713</v>
      </c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2:37" x14ac:dyDescent="0.35">
      <c r="B63" s="2" t="s">
        <v>70</v>
      </c>
      <c r="C63" s="2">
        <v>5110300100</v>
      </c>
      <c r="D63" s="6" t="s">
        <v>71</v>
      </c>
      <c r="E63" s="6"/>
      <c r="F63" s="4">
        <f t="shared" si="1"/>
        <v>-1</v>
      </c>
      <c r="G63" s="6"/>
      <c r="H63" s="1">
        <f t="shared" si="2"/>
        <v>-1</v>
      </c>
      <c r="I63" s="6"/>
      <c r="J63" s="1">
        <f t="shared" si="3"/>
        <v>-1</v>
      </c>
      <c r="K63" s="6"/>
      <c r="L63" s="1">
        <f t="shared" si="4"/>
        <v>-1</v>
      </c>
      <c r="M63" s="6">
        <v>1859.7</v>
      </c>
      <c r="N63" s="1">
        <f t="shared" si="5"/>
        <v>6</v>
      </c>
      <c r="P63" s="1">
        <f t="shared" si="6"/>
        <v>-1</v>
      </c>
      <c r="R63" s="1">
        <f t="shared" si="7"/>
        <v>-1</v>
      </c>
      <c r="S63" s="5">
        <v>1859.7</v>
      </c>
      <c r="T63" s="8">
        <f t="shared" si="0"/>
        <v>265.67142857142858</v>
      </c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2:37" x14ac:dyDescent="0.35">
      <c r="C64" s="2">
        <v>5110350100</v>
      </c>
      <c r="D64" s="6" t="s">
        <v>72</v>
      </c>
      <c r="E64" s="6">
        <v>640.77</v>
      </c>
      <c r="F64" s="4">
        <f t="shared" si="1"/>
        <v>-0.92086069959410444</v>
      </c>
      <c r="G64" s="6">
        <v>9474</v>
      </c>
      <c r="H64" s="1">
        <f t="shared" si="2"/>
        <v>0.17010117834083044</v>
      </c>
      <c r="I64" s="6">
        <v>6293.46</v>
      </c>
      <c r="J64" s="1">
        <f t="shared" si="3"/>
        <v>-0.2227163857039389</v>
      </c>
      <c r="K64" s="6">
        <v>2552</v>
      </c>
      <c r="L64" s="1">
        <f t="shared" si="4"/>
        <v>-0.68481125109501806</v>
      </c>
      <c r="M64" s="6">
        <v>13729.02</v>
      </c>
      <c r="N64" s="1">
        <f t="shared" si="5"/>
        <v>0.69562407425214567</v>
      </c>
      <c r="O64" s="5">
        <v>14829.9</v>
      </c>
      <c r="P64" s="1">
        <f t="shared" si="6"/>
        <v>0.83158997938322576</v>
      </c>
      <c r="Q64" s="5">
        <v>9158</v>
      </c>
      <c r="R64" s="1">
        <f t="shared" si="7"/>
        <v>0.13107310441685932</v>
      </c>
      <c r="S64" s="5">
        <v>56677.15</v>
      </c>
      <c r="T64" s="8">
        <f t="shared" si="0"/>
        <v>8096.7357142857145</v>
      </c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2:37" x14ac:dyDescent="0.35">
      <c r="C65" s="2">
        <v>5110350200</v>
      </c>
      <c r="D65" s="6" t="s">
        <v>73</v>
      </c>
      <c r="E65" s="6">
        <v>7112.85</v>
      </c>
      <c r="F65" s="4">
        <f t="shared" si="1"/>
        <v>-0.66111970544949872</v>
      </c>
      <c r="G65" s="6">
        <v>26080.42</v>
      </c>
      <c r="H65" s="1">
        <f t="shared" si="2"/>
        <v>0.24255965071677088</v>
      </c>
      <c r="I65" s="6">
        <v>17125.34</v>
      </c>
      <c r="J65" s="1">
        <f t="shared" si="3"/>
        <v>-0.18409072826258371</v>
      </c>
      <c r="K65" s="6">
        <v>14930.78</v>
      </c>
      <c r="L65" s="1">
        <f t="shared" si="4"/>
        <v>-0.28864700868586662</v>
      </c>
      <c r="M65" s="6">
        <v>13785.49</v>
      </c>
      <c r="N65" s="1">
        <f t="shared" si="5"/>
        <v>-0.34321250810533194</v>
      </c>
      <c r="O65" s="5">
        <v>25157.22</v>
      </c>
      <c r="P65" s="1">
        <f t="shared" si="6"/>
        <v>0.19857527203185249</v>
      </c>
      <c r="Q65" s="5">
        <v>42732.79</v>
      </c>
      <c r="R65" s="1">
        <f t="shared" si="7"/>
        <v>1.0359350277546575</v>
      </c>
      <c r="S65" s="5">
        <v>146924.89000000001</v>
      </c>
      <c r="T65" s="8">
        <f t="shared" si="0"/>
        <v>20989.27</v>
      </c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2:37" x14ac:dyDescent="0.35">
      <c r="C66" s="2">
        <v>5135600100</v>
      </c>
      <c r="D66" s="6" t="s">
        <v>74</v>
      </c>
      <c r="E66" s="6">
        <v>1005.37</v>
      </c>
      <c r="F66" s="4">
        <f t="shared" si="1"/>
        <v>0.45604205761197686</v>
      </c>
      <c r="G66" s="6">
        <v>760.21</v>
      </c>
      <c r="H66" s="1">
        <f t="shared" si="2"/>
        <v>0.10098544080010441</v>
      </c>
      <c r="I66" s="6">
        <v>646.35</v>
      </c>
      <c r="J66" s="1">
        <f t="shared" si="3"/>
        <v>-6.3913997893808985E-2</v>
      </c>
      <c r="K66" s="6">
        <v>721.26</v>
      </c>
      <c r="L66" s="1">
        <f t="shared" si="4"/>
        <v>4.4575523909818678E-2</v>
      </c>
      <c r="M66" s="6">
        <v>389.9</v>
      </c>
      <c r="N66" s="1">
        <f t="shared" si="5"/>
        <v>-0.43532152514705058</v>
      </c>
      <c r="O66" s="5">
        <v>635.28</v>
      </c>
      <c r="P66" s="1">
        <f t="shared" si="6"/>
        <v>-7.9946290062627087E-2</v>
      </c>
      <c r="Q66" s="5">
        <v>675</v>
      </c>
      <c r="R66" s="1">
        <f t="shared" si="7"/>
        <v>-2.2421209218412758E-2</v>
      </c>
      <c r="S66" s="5">
        <v>4833.37</v>
      </c>
      <c r="T66" s="8">
        <f t="shared" si="0"/>
        <v>690.48142857142852</v>
      </c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2:37" x14ac:dyDescent="0.35">
      <c r="C67" s="2">
        <v>5140100100</v>
      </c>
      <c r="D67" s="6" t="s">
        <v>75</v>
      </c>
      <c r="E67" s="6"/>
      <c r="F67" s="4">
        <f t="shared" si="1"/>
        <v>-1</v>
      </c>
      <c r="G67" s="6"/>
      <c r="H67" s="1">
        <f t="shared" si="2"/>
        <v>-1</v>
      </c>
      <c r="I67" s="6"/>
      <c r="J67" s="1">
        <f t="shared" si="3"/>
        <v>-1</v>
      </c>
      <c r="K67" s="6"/>
      <c r="L67" s="1">
        <f t="shared" si="4"/>
        <v>-1</v>
      </c>
      <c r="M67" s="6">
        <v>1700</v>
      </c>
      <c r="N67" s="1">
        <f t="shared" si="5"/>
        <v>6</v>
      </c>
      <c r="P67" s="1">
        <f t="shared" si="6"/>
        <v>-1</v>
      </c>
      <c r="R67" s="1">
        <f t="shared" si="7"/>
        <v>-1</v>
      </c>
      <c r="S67" s="5">
        <v>1700</v>
      </c>
      <c r="T67" s="8">
        <f t="shared" si="0"/>
        <v>242.85714285714286</v>
      </c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2:37" x14ac:dyDescent="0.35">
      <c r="C68" s="2">
        <v>5140150100</v>
      </c>
      <c r="D68" s="6" t="s">
        <v>76</v>
      </c>
      <c r="E68" s="6">
        <v>2119.13</v>
      </c>
      <c r="F68" s="4">
        <f t="shared" si="1"/>
        <v>0.7524271156486052</v>
      </c>
      <c r="G68" s="6">
        <v>444.5</v>
      </c>
      <c r="H68" s="1">
        <f t="shared" si="2"/>
        <v>-0.63241809001533411</v>
      </c>
      <c r="I68" s="6">
        <v>365.41</v>
      </c>
      <c r="J68" s="1">
        <f t="shared" si="3"/>
        <v>-0.69782203435883738</v>
      </c>
      <c r="K68" s="6">
        <v>338.92</v>
      </c>
      <c r="L68" s="1">
        <f t="shared" si="4"/>
        <v>-0.71972809689088191</v>
      </c>
      <c r="M68" s="6">
        <v>236.26</v>
      </c>
      <c r="N68" s="1">
        <f t="shared" si="5"/>
        <v>-0.8046233924567443</v>
      </c>
      <c r="O68" s="5">
        <v>3945.21</v>
      </c>
      <c r="P68" s="1">
        <f t="shared" si="6"/>
        <v>2.2625147966042825</v>
      </c>
      <c r="Q68" s="5">
        <v>1015.35</v>
      </c>
      <c r="R68" s="1">
        <f t="shared" si="7"/>
        <v>-0.16035029853109001</v>
      </c>
      <c r="S68" s="5">
        <v>8464.7800000000007</v>
      </c>
      <c r="T68" s="8">
        <f t="shared" si="0"/>
        <v>1209.2542857142857</v>
      </c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2:37" x14ac:dyDescent="0.35">
      <c r="C69" s="2">
        <v>5140160100</v>
      </c>
      <c r="D69" s="6" t="s">
        <v>77</v>
      </c>
      <c r="E69" s="6"/>
      <c r="F69" s="4">
        <f t="shared" ref="F69:F130" si="8">(E69-T69)/T69</f>
        <v>-1</v>
      </c>
      <c r="G69" s="6"/>
      <c r="H69" s="1">
        <f t="shared" ref="H69:H130" si="9">(G69-T69)/T69</f>
        <v>-1</v>
      </c>
      <c r="I69" s="6"/>
      <c r="J69" s="1">
        <f t="shared" ref="J69:J130" si="10">(I69-T69)/T69</f>
        <v>-1</v>
      </c>
      <c r="K69" s="6">
        <v>420.01</v>
      </c>
      <c r="L69" s="1">
        <f t="shared" ref="L69:L130" si="11">(K69-T69)/T69</f>
        <v>6</v>
      </c>
      <c r="M69" s="6"/>
      <c r="N69" s="1">
        <f t="shared" ref="N69:N130" si="12">(M69-T69)/T69</f>
        <v>-1</v>
      </c>
      <c r="P69" s="1">
        <f t="shared" ref="P69:P130" si="13">(O69-T69)/T69</f>
        <v>-1</v>
      </c>
      <c r="R69" s="1">
        <f t="shared" ref="R69:R130" si="14">(Q69-T69)/T69</f>
        <v>-1</v>
      </c>
      <c r="S69" s="5">
        <v>420.01</v>
      </c>
      <c r="T69" s="8">
        <f t="shared" si="0"/>
        <v>60.001428571428569</v>
      </c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2:37" x14ac:dyDescent="0.35">
      <c r="C70" s="2">
        <v>5140950100</v>
      </c>
      <c r="D70" s="6" t="s">
        <v>78</v>
      </c>
      <c r="E70" s="6">
        <v>7008.24</v>
      </c>
      <c r="F70" s="4">
        <f t="shared" si="8"/>
        <v>0.11392625804575046</v>
      </c>
      <c r="G70" s="6">
        <v>11831.59</v>
      </c>
      <c r="H70" s="1">
        <f t="shared" si="9"/>
        <v>0.88057469142488287</v>
      </c>
      <c r="I70" s="6">
        <v>3987.67</v>
      </c>
      <c r="J70" s="1">
        <f t="shared" si="10"/>
        <v>-0.36617890919527613</v>
      </c>
      <c r="K70" s="6">
        <v>3814.01</v>
      </c>
      <c r="L70" s="1">
        <f t="shared" si="11"/>
        <v>-0.39378133633421897</v>
      </c>
      <c r="M70" s="6">
        <v>8863.6</v>
      </c>
      <c r="N70" s="1">
        <f t="shared" si="12"/>
        <v>0.40882686392222789</v>
      </c>
      <c r="O70" s="5">
        <v>4711.2299999999996</v>
      </c>
      <c r="P70" s="1">
        <f t="shared" si="13"/>
        <v>-0.25117250483817899</v>
      </c>
      <c r="Q70" s="5">
        <v>3823.99</v>
      </c>
      <c r="R70" s="1">
        <f t="shared" si="14"/>
        <v>-0.3921950630251862</v>
      </c>
      <c r="S70" s="5">
        <v>44040.329999999994</v>
      </c>
      <c r="T70" s="8">
        <f t="shared" si="0"/>
        <v>6291.4757142857134</v>
      </c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2:37" x14ac:dyDescent="0.35">
      <c r="B71" s="2" t="s">
        <v>79</v>
      </c>
      <c r="C71" s="2">
        <v>5405050100</v>
      </c>
      <c r="D71" s="6" t="s">
        <v>80</v>
      </c>
      <c r="E71" s="6">
        <v>12736.23</v>
      </c>
      <c r="F71" s="4">
        <f t="shared" si="8"/>
        <v>2.9962495495156283</v>
      </c>
      <c r="G71" s="6">
        <v>3952.07</v>
      </c>
      <c r="H71" s="1">
        <f t="shared" si="9"/>
        <v>0.24004183005129695</v>
      </c>
      <c r="I71" s="6">
        <v>3238.19</v>
      </c>
      <c r="J71" s="1">
        <f t="shared" si="10"/>
        <v>1.6047553219909853E-2</v>
      </c>
      <c r="K71" s="6"/>
      <c r="L71" s="1">
        <f t="shared" si="11"/>
        <v>-1</v>
      </c>
      <c r="M71" s="6">
        <v>22.22</v>
      </c>
      <c r="N71" s="1">
        <f t="shared" si="12"/>
        <v>-0.99302802595507178</v>
      </c>
      <c r="O71" s="5">
        <v>2360.61</v>
      </c>
      <c r="P71" s="1">
        <f t="shared" si="13"/>
        <v>-0.25931090683176355</v>
      </c>
      <c r="R71" s="1">
        <f t="shared" si="14"/>
        <v>-1</v>
      </c>
      <c r="S71" s="5">
        <v>22309.32</v>
      </c>
      <c r="T71" s="8">
        <f t="shared" si="0"/>
        <v>3187.0457142857144</v>
      </c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2:37" x14ac:dyDescent="0.35">
      <c r="B72" s="2" t="s">
        <v>81</v>
      </c>
      <c r="C72" s="2">
        <v>5115050100</v>
      </c>
      <c r="D72" s="6" t="s">
        <v>82</v>
      </c>
      <c r="E72" s="6"/>
      <c r="F72" s="4">
        <f t="shared" si="8"/>
        <v>-1</v>
      </c>
      <c r="G72" s="6"/>
      <c r="H72" s="1">
        <f t="shared" si="9"/>
        <v>-1</v>
      </c>
      <c r="I72" s="6">
        <v>12015.06</v>
      </c>
      <c r="J72" s="1">
        <f t="shared" si="10"/>
        <v>2.7026281242488466</v>
      </c>
      <c r="K72" s="6">
        <v>9700</v>
      </c>
      <c r="L72" s="1">
        <f t="shared" si="11"/>
        <v>1.9892062798865604</v>
      </c>
      <c r="M72" s="6">
        <v>1000</v>
      </c>
      <c r="N72" s="1">
        <f t="shared" si="12"/>
        <v>-0.6918344041354062</v>
      </c>
      <c r="P72" s="1">
        <f t="shared" si="13"/>
        <v>-1</v>
      </c>
      <c r="R72" s="1">
        <f t="shared" si="14"/>
        <v>-1</v>
      </c>
      <c r="S72" s="5">
        <v>22715.059999999998</v>
      </c>
      <c r="T72" s="8">
        <f t="shared" si="0"/>
        <v>3245.008571428571</v>
      </c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2:37" x14ac:dyDescent="0.35">
      <c r="C73" s="2">
        <v>5115350200</v>
      </c>
      <c r="D73" s="6" t="s">
        <v>83</v>
      </c>
      <c r="E73" s="6">
        <v>32943.54</v>
      </c>
      <c r="F73" s="4">
        <f t="shared" si="8"/>
        <v>0.15207781369939014</v>
      </c>
      <c r="G73" s="6">
        <v>23818.39</v>
      </c>
      <c r="H73" s="1">
        <f t="shared" si="9"/>
        <v>-0.1670403764428651</v>
      </c>
      <c r="I73" s="6">
        <v>26785.89</v>
      </c>
      <c r="J73" s="1">
        <f t="shared" si="10"/>
        <v>-6.3263098343640176E-2</v>
      </c>
      <c r="K73" s="6">
        <v>24280.23</v>
      </c>
      <c r="L73" s="1">
        <f t="shared" si="11"/>
        <v>-0.1508892397563121</v>
      </c>
      <c r="M73" s="6">
        <v>26781.94</v>
      </c>
      <c r="N73" s="1">
        <f t="shared" si="12"/>
        <v>-6.3401234905895276E-2</v>
      </c>
      <c r="O73" s="5">
        <v>30987.16</v>
      </c>
      <c r="P73" s="1">
        <f t="shared" si="13"/>
        <v>8.3660697834938E-2</v>
      </c>
      <c r="Q73" s="5">
        <v>34567.089999999997</v>
      </c>
      <c r="R73" s="1">
        <f t="shared" si="14"/>
        <v>0.20885543791438463</v>
      </c>
      <c r="S73" s="5">
        <v>200164.24</v>
      </c>
      <c r="T73" s="8">
        <f t="shared" si="0"/>
        <v>28594.891428571427</v>
      </c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2:37" x14ac:dyDescent="0.35">
      <c r="C74" s="2">
        <v>5115350300</v>
      </c>
      <c r="D74" s="6" t="s">
        <v>84</v>
      </c>
      <c r="E74" s="6"/>
      <c r="F74" s="4">
        <f t="shared" si="8"/>
        <v>-1</v>
      </c>
      <c r="G74" s="6"/>
      <c r="H74" s="1">
        <f t="shared" si="9"/>
        <v>-1</v>
      </c>
      <c r="I74" s="6"/>
      <c r="J74" s="1">
        <f t="shared" si="10"/>
        <v>-1</v>
      </c>
      <c r="K74" s="6"/>
      <c r="L74" s="1">
        <f t="shared" si="11"/>
        <v>-1</v>
      </c>
      <c r="M74" s="6">
        <v>239.39</v>
      </c>
      <c r="N74" s="1">
        <f t="shared" si="12"/>
        <v>6</v>
      </c>
      <c r="P74" s="1">
        <f t="shared" si="13"/>
        <v>-1</v>
      </c>
      <c r="R74" s="1">
        <f t="shared" si="14"/>
        <v>-1</v>
      </c>
      <c r="S74" s="5">
        <v>239.39</v>
      </c>
      <c r="T74" s="8">
        <f t="shared" si="0"/>
        <v>34.198571428571427</v>
      </c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2:37" x14ac:dyDescent="0.35">
      <c r="C75" s="2">
        <v>5125100400</v>
      </c>
      <c r="D75" s="6" t="s">
        <v>85</v>
      </c>
      <c r="E75" s="6">
        <v>26264.18</v>
      </c>
      <c r="F75" s="4">
        <f t="shared" si="8"/>
        <v>-0.24126233820323675</v>
      </c>
      <c r="G75" s="6">
        <v>27976.9</v>
      </c>
      <c r="H75" s="1">
        <f t="shared" si="9"/>
        <v>-0.19178410708722424</v>
      </c>
      <c r="I75" s="6">
        <v>27950.959999999999</v>
      </c>
      <c r="J75" s="1">
        <f t="shared" si="10"/>
        <v>-0.19253347961463649</v>
      </c>
      <c r="K75" s="6">
        <v>31173.08</v>
      </c>
      <c r="L75" s="1">
        <f t="shared" si="11"/>
        <v>-9.9450665118673204E-2</v>
      </c>
      <c r="M75" s="6">
        <v>44705.45</v>
      </c>
      <c r="N75" s="1">
        <f t="shared" si="12"/>
        <v>0.2914817292057893</v>
      </c>
      <c r="O75" s="5">
        <v>43850.02</v>
      </c>
      <c r="P75" s="1">
        <f t="shared" si="13"/>
        <v>0.26676948012621382</v>
      </c>
      <c r="Q75" s="5">
        <v>40388.800000000003</v>
      </c>
      <c r="R75" s="1">
        <f t="shared" si="14"/>
        <v>0.16677938069176779</v>
      </c>
      <c r="S75" s="5">
        <v>242309.39</v>
      </c>
      <c r="T75" s="8">
        <f t="shared" si="0"/>
        <v>34615.627142857142</v>
      </c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2:37" x14ac:dyDescent="0.35">
      <c r="C76" s="2">
        <v>5125100500</v>
      </c>
      <c r="D76" s="6" t="s">
        <v>86</v>
      </c>
      <c r="E76" s="6">
        <v>243.69</v>
      </c>
      <c r="F76" s="4">
        <f t="shared" si="8"/>
        <v>-0.11948981066628142</v>
      </c>
      <c r="G76" s="6">
        <v>1693.63</v>
      </c>
      <c r="H76" s="1">
        <f t="shared" si="9"/>
        <v>5.1194898106662805</v>
      </c>
      <c r="I76" s="6"/>
      <c r="J76" s="1">
        <f t="shared" si="10"/>
        <v>-1</v>
      </c>
      <c r="K76" s="6"/>
      <c r="L76" s="1">
        <f t="shared" si="11"/>
        <v>-1</v>
      </c>
      <c r="M76" s="6"/>
      <c r="N76" s="1">
        <f t="shared" si="12"/>
        <v>-1</v>
      </c>
      <c r="P76" s="1">
        <f t="shared" si="13"/>
        <v>-1</v>
      </c>
      <c r="R76" s="1">
        <f t="shared" si="14"/>
        <v>-1</v>
      </c>
      <c r="S76" s="5">
        <v>1937.3200000000002</v>
      </c>
      <c r="T76" s="8">
        <f t="shared" si="0"/>
        <v>276.76000000000005</v>
      </c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2:37" x14ac:dyDescent="0.35">
      <c r="C77" s="2">
        <v>5125100600</v>
      </c>
      <c r="D77" s="6" t="s">
        <v>87</v>
      </c>
      <c r="E77" s="6">
        <v>1715.46</v>
      </c>
      <c r="F77" s="4">
        <f t="shared" si="8"/>
        <v>0.19826490269764316</v>
      </c>
      <c r="G77" s="6">
        <v>422.73</v>
      </c>
      <c r="H77" s="1">
        <f t="shared" si="9"/>
        <v>-0.70471912937790759</v>
      </c>
      <c r="I77" s="6">
        <v>2214.0700000000002</v>
      </c>
      <c r="J77" s="1">
        <f t="shared" si="10"/>
        <v>0.54654866514857292</v>
      </c>
      <c r="K77" s="6">
        <v>2032.93</v>
      </c>
      <c r="L77" s="1">
        <f t="shared" si="11"/>
        <v>0.42002067587767694</v>
      </c>
      <c r="M77" s="6">
        <v>1185.82</v>
      </c>
      <c r="N77" s="1">
        <f t="shared" si="12"/>
        <v>-0.17169360584512661</v>
      </c>
      <c r="O77" s="5">
        <v>1816.73</v>
      </c>
      <c r="P77" s="1">
        <f t="shared" si="13"/>
        <v>0.26900294770958766</v>
      </c>
      <c r="Q77" s="5">
        <v>633.6</v>
      </c>
      <c r="R77" s="1">
        <f t="shared" si="14"/>
        <v>-0.55742445621044689</v>
      </c>
      <c r="S77" s="5">
        <v>10021.34</v>
      </c>
      <c r="T77" s="8">
        <f t="shared" si="0"/>
        <v>1431.6200000000001</v>
      </c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2:37" x14ac:dyDescent="0.35">
      <c r="C78" s="2">
        <v>5125100700</v>
      </c>
      <c r="D78" s="6" t="s">
        <v>88</v>
      </c>
      <c r="E78" s="6">
        <v>517.85</v>
      </c>
      <c r="F78" s="4">
        <f t="shared" si="8"/>
        <v>3.9474539027419508</v>
      </c>
      <c r="G78" s="6">
        <v>214.84</v>
      </c>
      <c r="H78" s="1">
        <f t="shared" si="9"/>
        <v>1.0525460972580492</v>
      </c>
      <c r="I78" s="6"/>
      <c r="J78" s="1">
        <f t="shared" si="10"/>
        <v>-1</v>
      </c>
      <c r="K78" s="6"/>
      <c r="L78" s="1">
        <f t="shared" si="11"/>
        <v>-1</v>
      </c>
      <c r="M78" s="6"/>
      <c r="N78" s="1">
        <f t="shared" si="12"/>
        <v>-1</v>
      </c>
      <c r="P78" s="1">
        <f t="shared" si="13"/>
        <v>-1</v>
      </c>
      <c r="R78" s="1">
        <f t="shared" si="14"/>
        <v>-1</v>
      </c>
      <c r="S78" s="5">
        <v>732.69</v>
      </c>
      <c r="T78" s="8">
        <f t="shared" si="0"/>
        <v>104.67</v>
      </c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2:37" x14ac:dyDescent="0.35">
      <c r="C79" s="2">
        <v>5395200100</v>
      </c>
      <c r="D79" s="6" t="s">
        <v>89</v>
      </c>
      <c r="E79" s="6">
        <v>3355.86</v>
      </c>
      <c r="F79" s="4">
        <f t="shared" si="8"/>
        <v>-0.33567322310908393</v>
      </c>
      <c r="G79" s="6">
        <v>497.29</v>
      </c>
      <c r="H79" s="1">
        <f t="shared" si="9"/>
        <v>-0.90155636323324462</v>
      </c>
      <c r="I79" s="6">
        <v>4735.4399999999996</v>
      </c>
      <c r="J79" s="1">
        <f t="shared" si="10"/>
        <v>-6.2571265678449256E-2</v>
      </c>
      <c r="K79" s="6">
        <v>1462.26</v>
      </c>
      <c r="L79" s="1">
        <f t="shared" si="11"/>
        <v>-0.71053069175218542</v>
      </c>
      <c r="M79" s="6">
        <v>2133.83</v>
      </c>
      <c r="N79" s="1">
        <f t="shared" si="12"/>
        <v>-0.57758654820727229</v>
      </c>
      <c r="O79" s="5">
        <v>15406.61</v>
      </c>
      <c r="P79" s="1">
        <f t="shared" si="13"/>
        <v>2.0498958729253771</v>
      </c>
      <c r="Q79" s="5">
        <v>7769.35</v>
      </c>
      <c r="R79" s="1">
        <f t="shared" si="14"/>
        <v>0.53802221905485892</v>
      </c>
      <c r="S79" s="5">
        <v>35360.639999999999</v>
      </c>
      <c r="T79" s="8">
        <f t="shared" si="0"/>
        <v>5051.5199999999995</v>
      </c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2:37" x14ac:dyDescent="0.35">
      <c r="C80" s="2">
        <v>5395250200</v>
      </c>
      <c r="D80" s="6" t="s">
        <v>90</v>
      </c>
      <c r="E80" s="6">
        <v>5090.8599999999997</v>
      </c>
      <c r="F80" s="4">
        <f t="shared" si="8"/>
        <v>-0.52339510050545279</v>
      </c>
      <c r="G80" s="6">
        <v>7229.45</v>
      </c>
      <c r="H80" s="1">
        <f t="shared" si="9"/>
        <v>-0.32318089858081855</v>
      </c>
      <c r="I80" s="6">
        <v>4891.21</v>
      </c>
      <c r="J80" s="1">
        <f t="shared" si="10"/>
        <v>-0.54208627806368193</v>
      </c>
      <c r="K80" s="6">
        <v>6865.36</v>
      </c>
      <c r="L80" s="1">
        <f t="shared" si="11"/>
        <v>-0.35726690327491145</v>
      </c>
      <c r="M80" s="6">
        <v>4871.46</v>
      </c>
      <c r="N80" s="1">
        <f t="shared" si="12"/>
        <v>-0.54393526757920918</v>
      </c>
      <c r="O80" s="5">
        <v>19142.919999999998</v>
      </c>
      <c r="P80" s="1">
        <f t="shared" si="13"/>
        <v>0.79215485451027068</v>
      </c>
      <c r="Q80" s="5">
        <v>26679.31</v>
      </c>
      <c r="R80" s="1">
        <f t="shared" si="14"/>
        <v>1.4977095934938043</v>
      </c>
      <c r="S80" s="5">
        <v>74770.569999999992</v>
      </c>
      <c r="T80" s="8">
        <f t="shared" si="0"/>
        <v>10681.509999999998</v>
      </c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2:37" x14ac:dyDescent="0.35">
      <c r="B81" s="2" t="s">
        <v>91</v>
      </c>
      <c r="C81" s="2">
        <v>5121100100</v>
      </c>
      <c r="D81" s="6" t="s">
        <v>92</v>
      </c>
      <c r="E81" s="6">
        <v>2483.96</v>
      </c>
      <c r="F81" s="4">
        <f t="shared" si="8"/>
        <v>1.1659464583564303</v>
      </c>
      <c r="G81" s="6">
        <v>1449.44</v>
      </c>
      <c r="H81" s="1">
        <f t="shared" si="9"/>
        <v>0.2638727816068473</v>
      </c>
      <c r="I81" s="6">
        <v>393.64</v>
      </c>
      <c r="J81" s="1">
        <f t="shared" si="10"/>
        <v>-0.65675648405472509</v>
      </c>
      <c r="K81" s="6">
        <v>144.96</v>
      </c>
      <c r="L81" s="1">
        <f t="shared" si="11"/>
        <v>-0.87359877026870469</v>
      </c>
      <c r="M81" s="6"/>
      <c r="N81" s="1">
        <f t="shared" si="12"/>
        <v>-1</v>
      </c>
      <c r="O81" s="5">
        <v>1135.77</v>
      </c>
      <c r="P81" s="1">
        <f t="shared" si="13"/>
        <v>-9.639040480731248E-3</v>
      </c>
      <c r="Q81" s="5">
        <v>2420</v>
      </c>
      <c r="R81" s="1">
        <f t="shared" si="14"/>
        <v>1.1101750548408837</v>
      </c>
      <c r="S81" s="5">
        <v>8027.77</v>
      </c>
      <c r="T81" s="8">
        <f t="shared" si="0"/>
        <v>1146.8242857142857</v>
      </c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2:37" x14ac:dyDescent="0.35">
      <c r="C82" s="2">
        <v>5121200100</v>
      </c>
      <c r="D82" s="6" t="s">
        <v>93</v>
      </c>
      <c r="E82" s="6"/>
      <c r="F82" s="4">
        <f t="shared" si="8"/>
        <v>-1</v>
      </c>
      <c r="G82" s="6"/>
      <c r="H82" s="1">
        <f t="shared" si="9"/>
        <v>-1</v>
      </c>
      <c r="I82" s="6"/>
      <c r="J82" s="1">
        <f t="shared" si="10"/>
        <v>-1</v>
      </c>
      <c r="K82" s="6">
        <v>20</v>
      </c>
      <c r="L82" s="1">
        <f t="shared" si="11"/>
        <v>-0.2</v>
      </c>
      <c r="M82" s="6"/>
      <c r="N82" s="1">
        <f t="shared" si="12"/>
        <v>-1</v>
      </c>
      <c r="O82" s="5">
        <v>120</v>
      </c>
      <c r="P82" s="1">
        <f t="shared" si="13"/>
        <v>3.8</v>
      </c>
      <c r="Q82" s="5">
        <v>35</v>
      </c>
      <c r="R82" s="1">
        <f t="shared" si="14"/>
        <v>0.4</v>
      </c>
      <c r="S82" s="5">
        <v>175</v>
      </c>
      <c r="T82" s="8">
        <f t="shared" si="0"/>
        <v>25</v>
      </c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2:37" x14ac:dyDescent="0.35">
      <c r="C83" s="2">
        <v>5130100400</v>
      </c>
      <c r="D83" s="6" t="s">
        <v>94</v>
      </c>
      <c r="E83" s="6">
        <v>689</v>
      </c>
      <c r="F83" s="4">
        <f t="shared" si="8"/>
        <v>-0.21161378065764777</v>
      </c>
      <c r="G83" s="6">
        <v>852</v>
      </c>
      <c r="H83" s="1">
        <f t="shared" si="9"/>
        <v>-2.510151105996504E-2</v>
      </c>
      <c r="I83" s="6">
        <v>813</v>
      </c>
      <c r="J83" s="1">
        <f t="shared" si="10"/>
        <v>-6.9727146117079322E-2</v>
      </c>
      <c r="K83" s="6">
        <v>826</v>
      </c>
      <c r="L83" s="1">
        <f t="shared" si="11"/>
        <v>-5.4851934431374559E-2</v>
      </c>
      <c r="M83" s="6">
        <v>1062.56</v>
      </c>
      <c r="N83" s="1">
        <f t="shared" si="12"/>
        <v>0.21583114836634212</v>
      </c>
      <c r="O83" s="5">
        <v>916</v>
      </c>
      <c r="P83" s="1">
        <f t="shared" si="13"/>
        <v>4.8130300315812238E-2</v>
      </c>
      <c r="Q83" s="5">
        <v>959</v>
      </c>
      <c r="R83" s="1">
        <f t="shared" si="14"/>
        <v>9.7332923583912587E-2</v>
      </c>
      <c r="S83" s="5">
        <v>6117.5599999999995</v>
      </c>
      <c r="T83" s="8">
        <f t="shared" si="0"/>
        <v>873.93714285714282</v>
      </c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2:37" x14ac:dyDescent="0.35">
      <c r="C84" s="2">
        <v>5130400400</v>
      </c>
      <c r="D84" s="6" t="s">
        <v>95</v>
      </c>
      <c r="E84" s="6">
        <v>1729.85</v>
      </c>
      <c r="F84" s="4">
        <f t="shared" si="8"/>
        <v>3.6917002785817523</v>
      </c>
      <c r="G84" s="6">
        <v>190.09</v>
      </c>
      <c r="H84" s="1">
        <f t="shared" si="9"/>
        <v>-0.48443778018001254</v>
      </c>
      <c r="I84" s="6"/>
      <c r="J84" s="1">
        <f t="shared" si="10"/>
        <v>-1</v>
      </c>
      <c r="K84" s="6">
        <v>21.65</v>
      </c>
      <c r="L84" s="1">
        <f t="shared" si="11"/>
        <v>-0.94128085612550516</v>
      </c>
      <c r="M84" s="6">
        <v>614.34</v>
      </c>
      <c r="N84" s="1">
        <f t="shared" si="12"/>
        <v>0.66621334170240987</v>
      </c>
      <c r="P84" s="1">
        <f t="shared" si="13"/>
        <v>-1</v>
      </c>
      <c r="Q84" s="5">
        <v>25</v>
      </c>
      <c r="R84" s="1">
        <f t="shared" si="14"/>
        <v>-0.93219498397864331</v>
      </c>
      <c r="S84" s="5">
        <v>2580.9299999999998</v>
      </c>
      <c r="T84" s="8">
        <f t="shared" si="0"/>
        <v>368.70428571428567</v>
      </c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2:37" x14ac:dyDescent="0.35">
      <c r="C85" s="2">
        <v>5135700300</v>
      </c>
      <c r="D85" s="6" t="s">
        <v>96</v>
      </c>
      <c r="E85" s="6">
        <v>30442.01</v>
      </c>
      <c r="F85" s="4">
        <f t="shared" si="8"/>
        <v>-0.39488200183034128</v>
      </c>
      <c r="G85" s="6">
        <v>46263.83</v>
      </c>
      <c r="H85" s="1">
        <f t="shared" si="9"/>
        <v>-8.0380165525817643E-2</v>
      </c>
      <c r="I85" s="6">
        <v>42782.15</v>
      </c>
      <c r="J85" s="1">
        <f t="shared" si="10"/>
        <v>-0.14958805396246613</v>
      </c>
      <c r="K85" s="6">
        <v>67880.73</v>
      </c>
      <c r="L85" s="1">
        <f t="shared" si="11"/>
        <v>0.34931469544537619</v>
      </c>
      <c r="M85" s="6">
        <v>112354.94</v>
      </c>
      <c r="N85" s="1">
        <f t="shared" si="12"/>
        <v>1.2333609501235996</v>
      </c>
      <c r="O85" s="5">
        <v>36535.78</v>
      </c>
      <c r="P85" s="1">
        <f t="shared" si="13"/>
        <v>-0.27375169855186787</v>
      </c>
      <c r="Q85" s="5">
        <v>15893.48</v>
      </c>
      <c r="R85" s="1">
        <f t="shared" si="14"/>
        <v>-0.68407372569848346</v>
      </c>
      <c r="S85" s="5">
        <v>352152.92000000004</v>
      </c>
      <c r="T85" s="8">
        <f t="shared" si="0"/>
        <v>50307.560000000005</v>
      </c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2:37" x14ac:dyDescent="0.35">
      <c r="C86" s="2">
        <v>5145100100</v>
      </c>
      <c r="D86" s="6" t="s">
        <v>97</v>
      </c>
      <c r="E86" s="6">
        <v>21759.68</v>
      </c>
      <c r="F86" s="4">
        <f t="shared" si="8"/>
        <v>-0.61869281810178323</v>
      </c>
      <c r="G86" s="6">
        <v>39549.040000000001</v>
      </c>
      <c r="H86" s="1">
        <f t="shared" si="9"/>
        <v>-0.30695979953841918</v>
      </c>
      <c r="I86" s="6">
        <v>85042.58</v>
      </c>
      <c r="J86" s="1">
        <f t="shared" si="10"/>
        <v>0.49024923717415197</v>
      </c>
      <c r="K86" s="6">
        <v>31346.84</v>
      </c>
      <c r="L86" s="1">
        <f t="shared" si="11"/>
        <v>-0.45069159005029957</v>
      </c>
      <c r="M86" s="6">
        <v>63075.93</v>
      </c>
      <c r="N86" s="1">
        <f t="shared" si="12"/>
        <v>0.10531520288483966</v>
      </c>
      <c r="O86" s="5">
        <v>43243.35</v>
      </c>
      <c r="P86" s="1">
        <f t="shared" si="13"/>
        <v>-0.24222231556997845</v>
      </c>
      <c r="Q86" s="5">
        <v>115444.66</v>
      </c>
      <c r="R86" s="1">
        <f t="shared" si="14"/>
        <v>1.0230020832014897</v>
      </c>
      <c r="S86" s="5">
        <v>399462.07999999996</v>
      </c>
      <c r="T86" s="8">
        <f t="shared" si="0"/>
        <v>57066.011428571423</v>
      </c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2:37" x14ac:dyDescent="0.35">
      <c r="C87" s="2">
        <v>5145200100</v>
      </c>
      <c r="D87" s="6" t="s">
        <v>98</v>
      </c>
      <c r="E87" s="6"/>
      <c r="F87" s="4">
        <f t="shared" si="8"/>
        <v>-1</v>
      </c>
      <c r="G87" s="6">
        <v>59.74</v>
      </c>
      <c r="H87" s="1">
        <f t="shared" si="9"/>
        <v>6</v>
      </c>
      <c r="I87" s="6"/>
      <c r="J87" s="1">
        <f t="shared" si="10"/>
        <v>-1</v>
      </c>
      <c r="K87" s="6"/>
      <c r="L87" s="1">
        <f t="shared" si="11"/>
        <v>-1</v>
      </c>
      <c r="M87" s="6"/>
      <c r="N87" s="1">
        <f t="shared" si="12"/>
        <v>-1</v>
      </c>
      <c r="P87" s="1">
        <f t="shared" si="13"/>
        <v>-1</v>
      </c>
      <c r="R87" s="1">
        <f t="shared" si="14"/>
        <v>-1</v>
      </c>
      <c r="S87" s="5">
        <v>59.74</v>
      </c>
      <c r="T87" s="8">
        <f t="shared" si="0"/>
        <v>8.5342857142857138</v>
      </c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2:37" x14ac:dyDescent="0.35">
      <c r="C88" s="2">
        <v>5145250100</v>
      </c>
      <c r="D88" s="6" t="s">
        <v>99</v>
      </c>
      <c r="E88" s="6">
        <v>8293.98</v>
      </c>
      <c r="F88" s="4">
        <f t="shared" si="8"/>
        <v>6</v>
      </c>
      <c r="G88" s="6"/>
      <c r="H88" s="1">
        <f t="shared" si="9"/>
        <v>-1</v>
      </c>
      <c r="I88" s="6"/>
      <c r="J88" s="1">
        <f t="shared" si="10"/>
        <v>-1</v>
      </c>
      <c r="K88" s="6"/>
      <c r="L88" s="1">
        <f t="shared" si="11"/>
        <v>-1</v>
      </c>
      <c r="M88" s="6"/>
      <c r="N88" s="1">
        <f t="shared" si="12"/>
        <v>-1</v>
      </c>
      <c r="P88" s="1">
        <f t="shared" si="13"/>
        <v>-1</v>
      </c>
      <c r="R88" s="1">
        <f t="shared" si="14"/>
        <v>-1</v>
      </c>
      <c r="S88" s="5">
        <v>8293.98</v>
      </c>
      <c r="T88" s="8">
        <f t="shared" si="0"/>
        <v>1184.8542857142857</v>
      </c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2:37" x14ac:dyDescent="0.35">
      <c r="C89" s="2">
        <v>5145400100</v>
      </c>
      <c r="D89" s="6" t="s">
        <v>100</v>
      </c>
      <c r="E89" s="6">
        <v>2252.96</v>
      </c>
      <c r="F89" s="4">
        <f t="shared" si="8"/>
        <v>-0.12745154451177143</v>
      </c>
      <c r="G89" s="6">
        <v>2504.9299999999998</v>
      </c>
      <c r="H89" s="1">
        <f t="shared" si="9"/>
        <v>-2.9866130510027608E-2</v>
      </c>
      <c r="I89" s="6">
        <v>1467.87</v>
      </c>
      <c r="J89" s="1">
        <f t="shared" si="10"/>
        <v>-0.43150890323951335</v>
      </c>
      <c r="K89" s="6">
        <v>1751.17</v>
      </c>
      <c r="L89" s="1">
        <f t="shared" si="11"/>
        <v>-0.321789699418844</v>
      </c>
      <c r="M89" s="6">
        <v>4786.67</v>
      </c>
      <c r="N89" s="1">
        <f t="shared" si="12"/>
        <v>0.85382852577579671</v>
      </c>
      <c r="O89" s="5">
        <v>2761.85</v>
      </c>
      <c r="P89" s="1">
        <f t="shared" si="13"/>
        <v>6.9636368062532816E-2</v>
      </c>
      <c r="Q89" s="5">
        <v>2548.87</v>
      </c>
      <c r="R89" s="1">
        <f t="shared" si="14"/>
        <v>-1.2848616158173686E-2</v>
      </c>
      <c r="S89" s="5">
        <v>18074.32</v>
      </c>
      <c r="T89" s="8">
        <f t="shared" si="0"/>
        <v>2582.0457142857144</v>
      </c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2:37" x14ac:dyDescent="0.35">
      <c r="C90" s="2">
        <v>5145400500</v>
      </c>
      <c r="D90" s="6" t="s">
        <v>101</v>
      </c>
      <c r="E90" s="6">
        <v>-288.08999999999997</v>
      </c>
      <c r="F90" s="4">
        <f t="shared" si="8"/>
        <v>-1.0733717541504306</v>
      </c>
      <c r="G90" s="6">
        <v>789.92</v>
      </c>
      <c r="H90" s="1">
        <f t="shared" si="9"/>
        <v>-0.79882045180843442</v>
      </c>
      <c r="I90" s="6">
        <v>11071.28</v>
      </c>
      <c r="J90" s="1">
        <f t="shared" si="10"/>
        <v>1.8196717494205954</v>
      </c>
      <c r="K90" s="6">
        <v>4531.17</v>
      </c>
      <c r="L90" s="1">
        <f t="shared" si="11"/>
        <v>0.15401399303622695</v>
      </c>
      <c r="M90" s="6">
        <v>26.08</v>
      </c>
      <c r="N90" s="1">
        <f t="shared" si="12"/>
        <v>-0.99335785571091251</v>
      </c>
      <c r="O90" s="5">
        <v>6707</v>
      </c>
      <c r="P90" s="1">
        <f t="shared" si="13"/>
        <v>0.70816187679870191</v>
      </c>
      <c r="Q90" s="5">
        <v>4647.74</v>
      </c>
      <c r="R90" s="1">
        <f t="shared" si="14"/>
        <v>0.18370244241425351</v>
      </c>
      <c r="S90" s="5">
        <v>27485.1</v>
      </c>
      <c r="T90" s="8">
        <f t="shared" si="0"/>
        <v>3926.4428571428571</v>
      </c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2:37" x14ac:dyDescent="0.35">
      <c r="C91" s="2">
        <v>5145400600</v>
      </c>
      <c r="D91" s="6" t="s">
        <v>102</v>
      </c>
      <c r="E91" s="6"/>
      <c r="F91" s="4">
        <f t="shared" si="8"/>
        <v>-1</v>
      </c>
      <c r="G91" s="6"/>
      <c r="H91" s="1">
        <f t="shared" si="9"/>
        <v>-1</v>
      </c>
      <c r="I91" s="6"/>
      <c r="J91" s="1">
        <f t="shared" si="10"/>
        <v>-1</v>
      </c>
      <c r="K91" s="6"/>
      <c r="L91" s="1">
        <f t="shared" si="11"/>
        <v>-1</v>
      </c>
      <c r="M91" s="6"/>
      <c r="N91" s="1">
        <f t="shared" si="12"/>
        <v>-1</v>
      </c>
      <c r="O91" s="5">
        <v>55621.34</v>
      </c>
      <c r="P91" s="1">
        <f t="shared" si="13"/>
        <v>2.8011676197994531</v>
      </c>
      <c r="Q91" s="5">
        <v>46807.55</v>
      </c>
      <c r="R91" s="1">
        <f t="shared" si="14"/>
        <v>2.1988323802005474</v>
      </c>
      <c r="S91" s="5">
        <v>102428.89</v>
      </c>
      <c r="T91" s="8">
        <f t="shared" si="0"/>
        <v>14632.698571428571</v>
      </c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2:37" x14ac:dyDescent="0.35">
      <c r="C92" s="2">
        <v>5195500100</v>
      </c>
      <c r="D92" s="6" t="s">
        <v>103</v>
      </c>
      <c r="E92" s="6">
        <v>17521.73</v>
      </c>
      <c r="F92" s="4">
        <f t="shared" si="8"/>
        <v>-0.61321568649092695</v>
      </c>
      <c r="G92" s="6">
        <v>30550.91</v>
      </c>
      <c r="H92" s="1">
        <f t="shared" si="9"/>
        <v>-0.32560239477337721</v>
      </c>
      <c r="I92" s="6">
        <v>69933.61</v>
      </c>
      <c r="J92" s="1">
        <f t="shared" si="10"/>
        <v>0.54375300470109078</v>
      </c>
      <c r="K92" s="6">
        <v>19640.22</v>
      </c>
      <c r="L92" s="1">
        <f t="shared" si="11"/>
        <v>-0.56645097202917938</v>
      </c>
      <c r="M92" s="6">
        <v>60608.6</v>
      </c>
      <c r="N92" s="1">
        <f t="shared" si="12"/>
        <v>0.33790760066192105</v>
      </c>
      <c r="O92" s="5">
        <v>61214.21</v>
      </c>
      <c r="P92" s="1">
        <f t="shared" si="13"/>
        <v>0.35127616918250831</v>
      </c>
      <c r="Q92" s="5">
        <v>57637.97</v>
      </c>
      <c r="R92" s="1">
        <f t="shared" si="14"/>
        <v>0.27233227874796295</v>
      </c>
      <c r="S92" s="5">
        <v>317107.25</v>
      </c>
      <c r="T92" s="8">
        <f t="shared" si="0"/>
        <v>45301.035714285717</v>
      </c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2:37" x14ac:dyDescent="0.35">
      <c r="C93" s="2">
        <v>5195500150</v>
      </c>
      <c r="D93" s="6" t="s">
        <v>104</v>
      </c>
      <c r="E93" s="6">
        <v>3451.79</v>
      </c>
      <c r="F93" s="4">
        <f t="shared" si="8"/>
        <v>-0.80482341033762173</v>
      </c>
      <c r="G93" s="6">
        <v>7725.86</v>
      </c>
      <c r="H93" s="1">
        <f t="shared" si="9"/>
        <v>-0.56315215960154541</v>
      </c>
      <c r="I93" s="6">
        <v>23245.14</v>
      </c>
      <c r="J93" s="1">
        <f t="shared" si="10"/>
        <v>0.31436360596227891</v>
      </c>
      <c r="K93" s="6">
        <v>17690.79</v>
      </c>
      <c r="L93" s="1">
        <f t="shared" si="11"/>
        <v>3.0073110858552338E-4</v>
      </c>
      <c r="M93" s="6">
        <v>17166.34</v>
      </c>
      <c r="N93" s="1">
        <f t="shared" si="12"/>
        <v>-2.935355332019908E-2</v>
      </c>
      <c r="O93" s="5">
        <v>27349.02</v>
      </c>
      <c r="P93" s="1">
        <f t="shared" si="13"/>
        <v>0.54641170355327984</v>
      </c>
      <c r="Q93" s="5">
        <v>27169.360000000001</v>
      </c>
      <c r="R93" s="1">
        <f t="shared" si="14"/>
        <v>0.53625308263522198</v>
      </c>
      <c r="S93" s="5">
        <v>123798.3</v>
      </c>
      <c r="T93" s="8">
        <f t="shared" si="0"/>
        <v>17685.471428571429</v>
      </c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2:37" x14ac:dyDescent="0.35">
      <c r="C94" s="2">
        <v>5195500200</v>
      </c>
      <c r="D94" s="6" t="s">
        <v>105</v>
      </c>
      <c r="E94" s="6">
        <v>13542.32</v>
      </c>
      <c r="F94" s="4">
        <f t="shared" si="8"/>
        <v>-0.57088622796613686</v>
      </c>
      <c r="G94" s="6">
        <v>23940.27</v>
      </c>
      <c r="H94" s="1">
        <f t="shared" si="9"/>
        <v>-0.24140770833881245</v>
      </c>
      <c r="I94" s="6">
        <v>28947.08</v>
      </c>
      <c r="J94" s="1">
        <f t="shared" si="10"/>
        <v>-8.2757556447787359E-2</v>
      </c>
      <c r="K94" s="6">
        <v>21313.48</v>
      </c>
      <c r="L94" s="1">
        <f t="shared" si="11"/>
        <v>-0.32464246909183203</v>
      </c>
      <c r="M94" s="6">
        <v>45399.35</v>
      </c>
      <c r="N94" s="1">
        <f t="shared" si="12"/>
        <v>0.43856343125738906</v>
      </c>
      <c r="O94" s="5">
        <v>33518.78</v>
      </c>
      <c r="P94" s="1">
        <f t="shared" si="13"/>
        <v>6.2105320194265921E-2</v>
      </c>
      <c r="Q94" s="5">
        <v>54250.39</v>
      </c>
      <c r="R94" s="1">
        <f t="shared" si="14"/>
        <v>0.71902521039291412</v>
      </c>
      <c r="S94" s="5">
        <v>220911.66999999998</v>
      </c>
      <c r="T94" s="8">
        <f t="shared" si="0"/>
        <v>31558.809999999998</v>
      </c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2:37" x14ac:dyDescent="0.35">
      <c r="C95" s="2">
        <v>5195500300</v>
      </c>
      <c r="D95" s="6" t="s">
        <v>106</v>
      </c>
      <c r="E95" s="6">
        <v>16.399999999999999</v>
      </c>
      <c r="F95" s="4">
        <f t="shared" si="8"/>
        <v>-0.91294852740453147</v>
      </c>
      <c r="G95" s="6">
        <v>26.29</v>
      </c>
      <c r="H95" s="1">
        <f t="shared" si="9"/>
        <v>-0.86045224301616674</v>
      </c>
      <c r="I95" s="6">
        <v>58.12</v>
      </c>
      <c r="J95" s="1">
        <f t="shared" si="10"/>
        <v>-0.69149807394825435</v>
      </c>
      <c r="K95" s="6">
        <v>121.87</v>
      </c>
      <c r="L95" s="1">
        <f t="shared" si="11"/>
        <v>-0.35311201431647904</v>
      </c>
      <c r="M95" s="6">
        <v>70.03</v>
      </c>
      <c r="N95" s="1">
        <f t="shared" si="12"/>
        <v>-0.62827959598410621</v>
      </c>
      <c r="O95" s="5">
        <v>540.42999999999995</v>
      </c>
      <c r="P95" s="1">
        <f t="shared" si="13"/>
        <v>1.8686114228517696</v>
      </c>
      <c r="Q95" s="5">
        <v>485.62</v>
      </c>
      <c r="R95" s="1">
        <f t="shared" si="14"/>
        <v>1.5776790318177683</v>
      </c>
      <c r="S95" s="5">
        <v>1318.76</v>
      </c>
      <c r="T95" s="8">
        <f t="shared" si="0"/>
        <v>188.3942857142857</v>
      </c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2:37" x14ac:dyDescent="0.35">
      <c r="C96" s="2">
        <v>5195500350</v>
      </c>
      <c r="D96" s="6" t="s">
        <v>107</v>
      </c>
      <c r="E96" s="6"/>
      <c r="F96" s="4">
        <f t="shared" si="8"/>
        <v>-1</v>
      </c>
      <c r="G96" s="6"/>
      <c r="H96" s="1">
        <f t="shared" si="9"/>
        <v>-1</v>
      </c>
      <c r="I96" s="6"/>
      <c r="J96" s="1">
        <f t="shared" si="10"/>
        <v>-1</v>
      </c>
      <c r="K96" s="6">
        <v>3331.05</v>
      </c>
      <c r="L96" s="1">
        <f t="shared" si="11"/>
        <v>5.9999999999999991</v>
      </c>
      <c r="M96" s="6"/>
      <c r="N96" s="1">
        <f t="shared" si="12"/>
        <v>-1</v>
      </c>
      <c r="P96" s="1">
        <f t="shared" si="13"/>
        <v>-1</v>
      </c>
      <c r="R96" s="1">
        <f t="shared" si="14"/>
        <v>-1</v>
      </c>
      <c r="S96" s="5">
        <v>3331.05</v>
      </c>
      <c r="T96" s="8">
        <f t="shared" si="0"/>
        <v>475.86428571428576</v>
      </c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2:37" x14ac:dyDescent="0.35">
      <c r="C97" s="2">
        <v>5195600100</v>
      </c>
      <c r="D97" s="6" t="s">
        <v>108</v>
      </c>
      <c r="E97" s="6"/>
      <c r="F97" s="4">
        <f t="shared" si="8"/>
        <v>-1</v>
      </c>
      <c r="G97" s="6"/>
      <c r="H97" s="1">
        <f t="shared" si="9"/>
        <v>-1</v>
      </c>
      <c r="I97" s="6"/>
      <c r="J97" s="1">
        <f t="shared" si="10"/>
        <v>-1</v>
      </c>
      <c r="K97" s="6">
        <v>13257.5</v>
      </c>
      <c r="L97" s="1">
        <f t="shared" si="11"/>
        <v>6.0000000000000009</v>
      </c>
      <c r="M97" s="6"/>
      <c r="N97" s="1">
        <f t="shared" si="12"/>
        <v>-1</v>
      </c>
      <c r="P97" s="1">
        <f t="shared" si="13"/>
        <v>-1</v>
      </c>
      <c r="R97" s="1">
        <f t="shared" si="14"/>
        <v>-1</v>
      </c>
      <c r="S97" s="5">
        <v>13257.5</v>
      </c>
      <c r="T97" s="8">
        <f t="shared" si="0"/>
        <v>1893.9285714285713</v>
      </c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2:37" x14ac:dyDescent="0.35">
      <c r="C98" s="2">
        <v>5195600150</v>
      </c>
      <c r="D98" s="6" t="s">
        <v>109</v>
      </c>
      <c r="E98" s="6">
        <v>1358</v>
      </c>
      <c r="F98" s="4">
        <f t="shared" si="8"/>
        <v>-0.82502824930511032</v>
      </c>
      <c r="G98" s="6">
        <v>5767.77</v>
      </c>
      <c r="H98" s="1">
        <f t="shared" si="9"/>
        <v>-0.25685065205783225</v>
      </c>
      <c r="I98" s="6">
        <v>9180.08</v>
      </c>
      <c r="J98" s="1">
        <f t="shared" si="10"/>
        <v>0.18280903469745413</v>
      </c>
      <c r="K98" s="6">
        <v>6373.82</v>
      </c>
      <c r="L98" s="1">
        <f t="shared" si="11"/>
        <v>-0.17876403239020502</v>
      </c>
      <c r="M98" s="6">
        <v>6212.91</v>
      </c>
      <c r="N98" s="1">
        <f t="shared" si="12"/>
        <v>-0.19949650986024528</v>
      </c>
      <c r="O98" s="5">
        <v>9284.94</v>
      </c>
      <c r="P98" s="1">
        <f t="shared" si="13"/>
        <v>0.1963197399830699</v>
      </c>
      <c r="Q98" s="5">
        <v>16151.25</v>
      </c>
      <c r="R98" s="1">
        <f t="shared" si="14"/>
        <v>1.0810106689328696</v>
      </c>
      <c r="S98" s="5">
        <v>54328.77</v>
      </c>
      <c r="T98" s="8">
        <f t="shared" si="0"/>
        <v>7761.2528571428566</v>
      </c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2:37" x14ac:dyDescent="0.35">
      <c r="C99" s="2">
        <v>5195600200</v>
      </c>
      <c r="D99" s="6" t="s">
        <v>110</v>
      </c>
      <c r="E99" s="6"/>
      <c r="F99" s="4">
        <f t="shared" si="8"/>
        <v>-1</v>
      </c>
      <c r="G99" s="6"/>
      <c r="H99" s="1">
        <f t="shared" si="9"/>
        <v>-1</v>
      </c>
      <c r="I99" s="6"/>
      <c r="J99" s="1">
        <f t="shared" si="10"/>
        <v>-1</v>
      </c>
      <c r="K99" s="6"/>
      <c r="L99" s="1">
        <f t="shared" si="11"/>
        <v>-1</v>
      </c>
      <c r="M99" s="6"/>
      <c r="N99" s="1">
        <f t="shared" si="12"/>
        <v>-1</v>
      </c>
      <c r="O99" s="5">
        <v>301.95999999999998</v>
      </c>
      <c r="P99" s="1">
        <f t="shared" si="13"/>
        <v>6</v>
      </c>
      <c r="R99" s="1">
        <f t="shared" si="14"/>
        <v>-1</v>
      </c>
      <c r="S99" s="5">
        <v>301.95999999999998</v>
      </c>
      <c r="T99" s="8">
        <f t="shared" si="0"/>
        <v>43.137142857142855</v>
      </c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2:37" x14ac:dyDescent="0.35">
      <c r="B100" s="2" t="s">
        <v>111</v>
      </c>
      <c r="C100" s="2">
        <v>5135700150</v>
      </c>
      <c r="D100" s="6" t="s">
        <v>112</v>
      </c>
      <c r="E100" s="6">
        <v>26726.42</v>
      </c>
      <c r="F100" s="4">
        <f t="shared" si="8"/>
        <v>4.2966859797399727E-4</v>
      </c>
      <c r="G100" s="6">
        <v>19014.7</v>
      </c>
      <c r="H100" s="1">
        <f t="shared" si="9"/>
        <v>-0.28823725663632099</v>
      </c>
      <c r="I100" s="6">
        <v>35134.120000000003</v>
      </c>
      <c r="J100" s="1">
        <f t="shared" si="10"/>
        <v>0.31514868164465931</v>
      </c>
      <c r="K100" s="6">
        <v>27346.02</v>
      </c>
      <c r="L100" s="1">
        <f t="shared" si="11"/>
        <v>2.3622682202613411E-2</v>
      </c>
      <c r="M100" s="6">
        <v>28818.12</v>
      </c>
      <c r="N100" s="1">
        <f t="shared" si="12"/>
        <v>7.8726677243590698E-2</v>
      </c>
      <c r="O100" s="5">
        <v>22550.09</v>
      </c>
      <c r="P100" s="1">
        <f t="shared" si="13"/>
        <v>-0.15589970278269633</v>
      </c>
      <c r="Q100" s="5">
        <v>27415.119999999999</v>
      </c>
      <c r="R100" s="1">
        <f t="shared" si="14"/>
        <v>2.6209249730180462E-2</v>
      </c>
      <c r="S100" s="5">
        <v>187004.59</v>
      </c>
      <c r="T100" s="8">
        <f t="shared" si="0"/>
        <v>26714.941428571427</v>
      </c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2:37" x14ac:dyDescent="0.35">
      <c r="C101" s="2">
        <v>5135700200</v>
      </c>
      <c r="D101" s="6" t="s">
        <v>113</v>
      </c>
      <c r="E101" s="6">
        <v>9114.2199999999993</v>
      </c>
      <c r="F101" s="4">
        <f t="shared" si="8"/>
        <v>2.5717927113629169</v>
      </c>
      <c r="G101" s="6">
        <v>2303.9299999999998</v>
      </c>
      <c r="H101" s="1">
        <f t="shared" si="9"/>
        <v>-9.7107554843928939E-2</v>
      </c>
      <c r="I101" s="6">
        <v>4120.7</v>
      </c>
      <c r="J101" s="1">
        <f t="shared" si="10"/>
        <v>0.61487063354990046</v>
      </c>
      <c r="K101" s="6">
        <v>130</v>
      </c>
      <c r="L101" s="1">
        <f t="shared" si="11"/>
        <v>-0.94905399996081075</v>
      </c>
      <c r="M101" s="6">
        <v>979.48</v>
      </c>
      <c r="N101" s="1">
        <f t="shared" si="12"/>
        <v>-0.61614932216626872</v>
      </c>
      <c r="O101" s="5">
        <v>803.95</v>
      </c>
      <c r="P101" s="1">
        <f t="shared" si="13"/>
        <v>-0.68493817898841391</v>
      </c>
      <c r="Q101" s="5">
        <v>409.77</v>
      </c>
      <c r="R101" s="1">
        <f t="shared" si="14"/>
        <v>-0.83941428895339565</v>
      </c>
      <c r="S101" s="5">
        <v>17862.05</v>
      </c>
      <c r="T101" s="8">
        <f t="shared" si="0"/>
        <v>2551.7214285714285</v>
      </c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2:37" x14ac:dyDescent="0.35">
      <c r="C102" s="2">
        <v>5135700250</v>
      </c>
      <c r="D102" s="6" t="s">
        <v>114</v>
      </c>
      <c r="E102" s="6">
        <v>2101.4299999999998</v>
      </c>
      <c r="F102" s="4">
        <f t="shared" si="8"/>
        <v>-4.3963357369633735E-2</v>
      </c>
      <c r="G102" s="6">
        <v>1393.08</v>
      </c>
      <c r="H102" s="1">
        <f t="shared" si="9"/>
        <v>-0.36622417776680133</v>
      </c>
      <c r="I102" s="6">
        <v>2018.86</v>
      </c>
      <c r="J102" s="1">
        <f t="shared" si="10"/>
        <v>-8.1528227758839791E-2</v>
      </c>
      <c r="K102" s="6">
        <v>1350.58</v>
      </c>
      <c r="L102" s="1">
        <f t="shared" si="11"/>
        <v>-0.38555937204488366</v>
      </c>
      <c r="M102" s="6">
        <v>6474.24</v>
      </c>
      <c r="N102" s="1">
        <f t="shared" si="12"/>
        <v>1.9454279577160423</v>
      </c>
      <c r="O102" s="5">
        <v>1943.49</v>
      </c>
      <c r="P102" s="1">
        <f t="shared" si="13"/>
        <v>-0.11581748876446482</v>
      </c>
      <c r="Q102" s="5">
        <v>104.77</v>
      </c>
      <c r="R102" s="1">
        <f t="shared" si="14"/>
        <v>-0.95233533401141912</v>
      </c>
      <c r="S102" s="5">
        <v>15386.449999999999</v>
      </c>
      <c r="T102" s="8">
        <f t="shared" si="0"/>
        <v>2198.0642857142857</v>
      </c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2:37" x14ac:dyDescent="0.35">
      <c r="C103" s="2">
        <v>5195450100</v>
      </c>
      <c r="D103" s="6" t="s">
        <v>115</v>
      </c>
      <c r="E103" s="6"/>
      <c r="F103" s="4">
        <f t="shared" si="8"/>
        <v>-1</v>
      </c>
      <c r="G103" s="6"/>
      <c r="H103" s="1">
        <f t="shared" si="9"/>
        <v>-1</v>
      </c>
      <c r="I103" s="6"/>
      <c r="J103" s="1">
        <f t="shared" si="10"/>
        <v>-1</v>
      </c>
      <c r="K103" s="6">
        <v>0.13</v>
      </c>
      <c r="L103" s="1">
        <f t="shared" si="11"/>
        <v>-0.95641762452107282</v>
      </c>
      <c r="M103" s="6">
        <v>20.69</v>
      </c>
      <c r="N103" s="1">
        <f t="shared" si="12"/>
        <v>5.9363026819923386</v>
      </c>
      <c r="P103" s="1">
        <f t="shared" si="13"/>
        <v>-1</v>
      </c>
      <c r="Q103" s="5">
        <v>0.06</v>
      </c>
      <c r="R103" s="1">
        <f t="shared" si="14"/>
        <v>-0.97988505747126431</v>
      </c>
      <c r="S103" s="5">
        <v>20.88</v>
      </c>
      <c r="T103" s="8">
        <f t="shared" si="0"/>
        <v>2.9828571428571427</v>
      </c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2:37" x14ac:dyDescent="0.35">
      <c r="B104" s="2" t="s">
        <v>116</v>
      </c>
      <c r="C104" s="2">
        <v>5305250100</v>
      </c>
      <c r="D104" s="6" t="s">
        <v>117</v>
      </c>
      <c r="E104" s="6">
        <v>819472.85</v>
      </c>
      <c r="F104" s="4">
        <f t="shared" si="8"/>
        <v>-0.40394146206776105</v>
      </c>
      <c r="G104" s="6">
        <v>926789.6</v>
      </c>
      <c r="H104" s="1">
        <f t="shared" si="9"/>
        <v>-0.32588266475600186</v>
      </c>
      <c r="I104" s="6">
        <v>1568186.41</v>
      </c>
      <c r="J104" s="1">
        <f t="shared" si="10"/>
        <v>0.14064901448511274</v>
      </c>
      <c r="K104" s="6">
        <v>1106338.1200000001</v>
      </c>
      <c r="L104" s="1">
        <f t="shared" si="11"/>
        <v>-0.19528477085494408</v>
      </c>
      <c r="M104" s="6">
        <v>1943021.01</v>
      </c>
      <c r="N104" s="1">
        <f t="shared" si="12"/>
        <v>0.41329180386174147</v>
      </c>
      <c r="O104" s="5">
        <v>1898336.54</v>
      </c>
      <c r="P104" s="1">
        <f t="shared" si="13"/>
        <v>0.38078973883728462</v>
      </c>
      <c r="Q104" s="5">
        <v>1361591.37</v>
      </c>
      <c r="R104" s="1">
        <f t="shared" si="14"/>
        <v>-9.621659505431682E-3</v>
      </c>
      <c r="S104" s="5">
        <v>9623735.9000000004</v>
      </c>
      <c r="T104" s="8">
        <f t="shared" si="0"/>
        <v>1374819.4142857143</v>
      </c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2:37" x14ac:dyDescent="0.35">
      <c r="B105" s="2" t="s">
        <v>118</v>
      </c>
      <c r="C105" s="2">
        <v>5130750400</v>
      </c>
      <c r="D105" s="6" t="s">
        <v>119</v>
      </c>
      <c r="E105" s="6"/>
      <c r="F105" s="4">
        <f t="shared" si="8"/>
        <v>-1</v>
      </c>
      <c r="G105" s="6"/>
      <c r="H105" s="1">
        <f t="shared" si="9"/>
        <v>-1</v>
      </c>
      <c r="I105" s="6"/>
      <c r="J105" s="1">
        <f t="shared" si="10"/>
        <v>-1</v>
      </c>
      <c r="K105" s="6">
        <v>733</v>
      </c>
      <c r="L105" s="1">
        <f t="shared" si="11"/>
        <v>6.0000000000000009</v>
      </c>
      <c r="M105" s="6"/>
      <c r="N105" s="1">
        <f t="shared" si="12"/>
        <v>-1</v>
      </c>
      <c r="P105" s="1">
        <f t="shared" si="13"/>
        <v>-1</v>
      </c>
      <c r="R105" s="1">
        <f t="shared" si="14"/>
        <v>-1</v>
      </c>
      <c r="S105" s="5">
        <v>733</v>
      </c>
      <c r="T105" s="8">
        <f t="shared" si="0"/>
        <v>104.71428571428571</v>
      </c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2:37" x14ac:dyDescent="0.35">
      <c r="C106" s="2">
        <v>5130950600</v>
      </c>
      <c r="D106" s="6" t="s">
        <v>120</v>
      </c>
      <c r="E106" s="6">
        <v>1986.8</v>
      </c>
      <c r="F106" s="4">
        <f t="shared" si="8"/>
        <v>0.98938051071961908</v>
      </c>
      <c r="G106" s="6"/>
      <c r="H106" s="1">
        <f t="shared" si="9"/>
        <v>-1</v>
      </c>
      <c r="I106" s="6">
        <v>742</v>
      </c>
      <c r="J106" s="1">
        <f t="shared" si="10"/>
        <v>-0.25703626990439027</v>
      </c>
      <c r="K106" s="6">
        <v>3514.12</v>
      </c>
      <c r="L106" s="1">
        <f t="shared" si="11"/>
        <v>2.5186842361234283</v>
      </c>
      <c r="M106" s="6"/>
      <c r="N106" s="1">
        <f t="shared" si="12"/>
        <v>-1</v>
      </c>
      <c r="O106" s="5">
        <v>323</v>
      </c>
      <c r="P106" s="1">
        <f t="shared" si="13"/>
        <v>-0.67658047867805671</v>
      </c>
      <c r="Q106" s="5">
        <v>425</v>
      </c>
      <c r="R106" s="1">
        <f t="shared" si="14"/>
        <v>-0.57444799826060089</v>
      </c>
      <c r="S106" s="5">
        <v>6990.92</v>
      </c>
      <c r="T106" s="8">
        <f t="shared" si="0"/>
        <v>998.70285714285717</v>
      </c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2:37" x14ac:dyDescent="0.35">
      <c r="C107" s="2">
        <v>5130950700</v>
      </c>
      <c r="D107" s="6" t="s">
        <v>121</v>
      </c>
      <c r="E107" s="6"/>
      <c r="F107" s="4">
        <f t="shared" si="8"/>
        <v>-1</v>
      </c>
      <c r="G107" s="6">
        <v>4599.8999999999996</v>
      </c>
      <c r="H107" s="1">
        <f t="shared" si="9"/>
        <v>-0.21598290123799463</v>
      </c>
      <c r="I107" s="6"/>
      <c r="J107" s="1">
        <f t="shared" si="10"/>
        <v>-1</v>
      </c>
      <c r="K107" s="6">
        <v>14390.16</v>
      </c>
      <c r="L107" s="1">
        <f t="shared" si="11"/>
        <v>1.4526906006480704</v>
      </c>
      <c r="M107" s="6">
        <v>5670.66</v>
      </c>
      <c r="N107" s="1">
        <f t="shared" si="12"/>
        <v>-3.3480205816266977E-2</v>
      </c>
      <c r="O107" s="5">
        <v>8722.32</v>
      </c>
      <c r="P107" s="1">
        <f t="shared" si="13"/>
        <v>0.48665145348242678</v>
      </c>
      <c r="Q107" s="5">
        <v>7686.6</v>
      </c>
      <c r="R107" s="1">
        <f t="shared" si="14"/>
        <v>0.31012105292376596</v>
      </c>
      <c r="S107" s="5">
        <v>41069.639999999992</v>
      </c>
      <c r="T107" s="8">
        <f t="shared" si="0"/>
        <v>5867.0914285714271</v>
      </c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2:37" x14ac:dyDescent="0.35">
      <c r="B108" s="2" t="s">
        <v>122</v>
      </c>
      <c r="C108" s="2">
        <v>5135050100</v>
      </c>
      <c r="D108" s="6" t="s">
        <v>123</v>
      </c>
      <c r="E108" s="6">
        <v>7665.91</v>
      </c>
      <c r="F108" s="4">
        <f t="shared" si="8"/>
        <v>9.7217400123254916E-2</v>
      </c>
      <c r="G108" s="6">
        <v>5749.3</v>
      </c>
      <c r="H108" s="1">
        <f t="shared" si="9"/>
        <v>-0.17710591455826774</v>
      </c>
      <c r="I108" s="6">
        <v>7551.92</v>
      </c>
      <c r="J108" s="1">
        <f t="shared" si="10"/>
        <v>8.0902075335975973E-2</v>
      </c>
      <c r="K108" s="6">
        <v>6178.58</v>
      </c>
      <c r="L108" s="1">
        <f t="shared" si="11"/>
        <v>-0.11566330885002035</v>
      </c>
      <c r="M108" s="6">
        <v>6856.82</v>
      </c>
      <c r="N108" s="1">
        <f t="shared" si="12"/>
        <v>-1.8587197930430097E-2</v>
      </c>
      <c r="O108" s="5">
        <v>8457.74</v>
      </c>
      <c r="P108" s="1">
        <f t="shared" si="13"/>
        <v>0.21055158405439903</v>
      </c>
      <c r="Q108" s="5">
        <v>6446.51</v>
      </c>
      <c r="R108" s="1">
        <f t="shared" si="14"/>
        <v>-7.7314638174911465E-2</v>
      </c>
      <c r="S108" s="5">
        <v>48906.78</v>
      </c>
      <c r="T108" s="8">
        <f t="shared" si="0"/>
        <v>6986.6828571428568</v>
      </c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2:37" x14ac:dyDescent="0.35">
      <c r="C109" s="2">
        <v>5135050200</v>
      </c>
      <c r="D109" s="6" t="s">
        <v>124</v>
      </c>
      <c r="E109" s="6">
        <v>103.07</v>
      </c>
      <c r="F109" s="4">
        <f t="shared" si="8"/>
        <v>0.82424778761061934</v>
      </c>
      <c r="G109" s="6">
        <v>98.88</v>
      </c>
      <c r="H109" s="1">
        <f t="shared" si="9"/>
        <v>0.75008849557522117</v>
      </c>
      <c r="I109" s="6">
        <v>119.3</v>
      </c>
      <c r="J109" s="1">
        <f t="shared" si="10"/>
        <v>1.1115044247787611</v>
      </c>
      <c r="K109" s="6">
        <v>43.33</v>
      </c>
      <c r="L109" s="1">
        <f t="shared" si="11"/>
        <v>-0.23309734513274338</v>
      </c>
      <c r="M109" s="6">
        <v>10.92</v>
      </c>
      <c r="N109" s="1">
        <f t="shared" si="12"/>
        <v>-0.80672566371681409</v>
      </c>
      <c r="O109" s="5">
        <v>10</v>
      </c>
      <c r="P109" s="1">
        <f t="shared" si="13"/>
        <v>-0.82300884955752207</v>
      </c>
      <c r="Q109" s="5">
        <v>10</v>
      </c>
      <c r="R109" s="1">
        <f t="shared" si="14"/>
        <v>-0.82300884955752207</v>
      </c>
      <c r="S109" s="5">
        <v>395.5</v>
      </c>
      <c r="T109" s="8">
        <f t="shared" si="0"/>
        <v>56.5</v>
      </c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2:37" x14ac:dyDescent="0.35">
      <c r="C110" s="2">
        <v>5135250100</v>
      </c>
      <c r="D110" s="6" t="s">
        <v>125</v>
      </c>
      <c r="E110" s="6">
        <v>2567.42</v>
      </c>
      <c r="F110" s="4">
        <f t="shared" si="8"/>
        <v>-0.21253205178762649</v>
      </c>
      <c r="G110" s="6">
        <v>3041.43</v>
      </c>
      <c r="H110" s="1">
        <f t="shared" si="9"/>
        <v>-6.714575654487423E-2</v>
      </c>
      <c r="I110" s="6">
        <v>3535.2</v>
      </c>
      <c r="J110" s="1">
        <f t="shared" si="10"/>
        <v>8.4301240358173823E-2</v>
      </c>
      <c r="K110" s="6">
        <v>3492.74</v>
      </c>
      <c r="L110" s="1">
        <f t="shared" si="11"/>
        <v>7.1278092964643588E-2</v>
      </c>
      <c r="M110" s="6">
        <v>3419.66</v>
      </c>
      <c r="N110" s="1">
        <f t="shared" si="12"/>
        <v>4.8863311723023516E-2</v>
      </c>
      <c r="O110" s="5">
        <v>3156.08</v>
      </c>
      <c r="P110" s="1">
        <f t="shared" si="13"/>
        <v>-3.1980804856974049E-2</v>
      </c>
      <c r="Q110" s="5">
        <v>3609.91</v>
      </c>
      <c r="R110" s="1">
        <f t="shared" si="14"/>
        <v>0.10721596814363411</v>
      </c>
      <c r="S110" s="5">
        <v>22822.44</v>
      </c>
      <c r="T110" s="8">
        <f t="shared" si="0"/>
        <v>3260.3485714285712</v>
      </c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2:37" x14ac:dyDescent="0.35">
      <c r="C111" s="2">
        <v>5135350100</v>
      </c>
      <c r="D111" s="6" t="s">
        <v>126</v>
      </c>
      <c r="E111" s="6">
        <v>5369.35</v>
      </c>
      <c r="F111" s="4">
        <f t="shared" si="8"/>
        <v>-0.26581382152174055</v>
      </c>
      <c r="G111" s="6">
        <v>6364.77</v>
      </c>
      <c r="H111" s="1">
        <f t="shared" si="9"/>
        <v>-0.12970356501381516</v>
      </c>
      <c r="I111" s="6">
        <v>7229.37</v>
      </c>
      <c r="J111" s="1">
        <f t="shared" si="10"/>
        <v>-1.1481178707781351E-2</v>
      </c>
      <c r="K111" s="6">
        <v>7965.07</v>
      </c>
      <c r="L111" s="1">
        <f t="shared" si="11"/>
        <v>8.9115871495028171E-2</v>
      </c>
      <c r="M111" s="6">
        <v>8114.72</v>
      </c>
      <c r="N111" s="1">
        <f t="shared" si="12"/>
        <v>0.10957849017499352</v>
      </c>
      <c r="O111" s="5">
        <v>8083.2</v>
      </c>
      <c r="P111" s="1">
        <f t="shared" si="13"/>
        <v>0.1052685553885417</v>
      </c>
      <c r="Q111" s="5">
        <v>8066.87</v>
      </c>
      <c r="R111" s="1">
        <f t="shared" si="14"/>
        <v>0.10303564818477404</v>
      </c>
      <c r="S111" s="5">
        <v>51193.35</v>
      </c>
      <c r="T111" s="8">
        <f t="shared" si="0"/>
        <v>7313.3357142857139</v>
      </c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2:37" x14ac:dyDescent="0.35">
      <c r="C112" s="2">
        <v>5135350200</v>
      </c>
      <c r="D112" s="6" t="s">
        <v>127</v>
      </c>
      <c r="E112" s="6">
        <v>13964.57</v>
      </c>
      <c r="F112" s="4">
        <f t="shared" si="8"/>
        <v>-0.1722703598717388</v>
      </c>
      <c r="G112" s="6">
        <v>15195.81</v>
      </c>
      <c r="H112" s="1">
        <f t="shared" si="9"/>
        <v>-9.9290393992981341E-2</v>
      </c>
      <c r="I112" s="6">
        <v>16661.36</v>
      </c>
      <c r="J112" s="1">
        <f t="shared" si="10"/>
        <v>-1.2422042580086126E-2</v>
      </c>
      <c r="K112" s="6">
        <v>18523.27</v>
      </c>
      <c r="L112" s="1">
        <f t="shared" si="11"/>
        <v>9.7939973167710664E-2</v>
      </c>
      <c r="M112" s="6">
        <v>17043.169999999998</v>
      </c>
      <c r="N112" s="1">
        <f t="shared" si="12"/>
        <v>1.0209191600226587E-2</v>
      </c>
      <c r="O112" s="5">
        <v>18608.650000000001</v>
      </c>
      <c r="P112" s="1">
        <f t="shared" si="13"/>
        <v>0.10300074887896793</v>
      </c>
      <c r="Q112" s="5">
        <v>18099.689999999999</v>
      </c>
      <c r="R112" s="1">
        <f t="shared" si="14"/>
        <v>7.2832882797901191E-2</v>
      </c>
      <c r="S112" s="5">
        <v>118096.51999999999</v>
      </c>
      <c r="T112" s="8">
        <f t="shared" si="0"/>
        <v>16870.931428571428</v>
      </c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2:37" x14ac:dyDescent="0.35">
      <c r="C113" s="2">
        <v>5135350400</v>
      </c>
      <c r="D113" s="6" t="s">
        <v>128</v>
      </c>
      <c r="E113" s="6">
        <v>11243.02</v>
      </c>
      <c r="F113" s="4">
        <f t="shared" si="8"/>
        <v>-5.2146826231281924E-2</v>
      </c>
      <c r="G113" s="6">
        <v>12303.13</v>
      </c>
      <c r="H113" s="1">
        <f t="shared" si="9"/>
        <v>3.7226725362858662E-2</v>
      </c>
      <c r="I113" s="6">
        <v>13378.64</v>
      </c>
      <c r="J113" s="1">
        <f t="shared" si="10"/>
        <v>0.12789858816484551</v>
      </c>
      <c r="K113" s="6">
        <v>14695.67</v>
      </c>
      <c r="L113" s="1">
        <f t="shared" si="11"/>
        <v>0.238932017390144</v>
      </c>
      <c r="M113" s="6">
        <v>12215.2</v>
      </c>
      <c r="N113" s="1">
        <f t="shared" si="12"/>
        <v>2.9813705589747705E-2</v>
      </c>
      <c r="O113" s="5">
        <v>9226.86</v>
      </c>
      <c r="P113" s="1">
        <f t="shared" si="13"/>
        <v>-0.22212105511511726</v>
      </c>
      <c r="Q113" s="5">
        <v>9968.42</v>
      </c>
      <c r="R113" s="1">
        <f t="shared" si="14"/>
        <v>-0.15960315516119652</v>
      </c>
      <c r="S113" s="5">
        <v>83030.94</v>
      </c>
      <c r="T113" s="8">
        <f t="shared" si="0"/>
        <v>11861.562857142857</v>
      </c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2:37" x14ac:dyDescent="0.35">
      <c r="C114" s="2">
        <v>5135400100</v>
      </c>
      <c r="D114" s="6" t="s">
        <v>129</v>
      </c>
      <c r="E114" s="6"/>
      <c r="F114" s="4">
        <f t="shared" si="8"/>
        <v>-1</v>
      </c>
      <c r="G114" s="6"/>
      <c r="H114" s="1">
        <f t="shared" si="9"/>
        <v>-1</v>
      </c>
      <c r="I114" s="6">
        <v>21.53</v>
      </c>
      <c r="J114" s="1">
        <f t="shared" si="10"/>
        <v>-0.30378343419411458</v>
      </c>
      <c r="K114" s="6">
        <v>23.25</v>
      </c>
      <c r="L114" s="1">
        <f t="shared" si="11"/>
        <v>-0.24816371783618973</v>
      </c>
      <c r="M114" s="6">
        <v>106.37</v>
      </c>
      <c r="N114" s="1">
        <f t="shared" si="12"/>
        <v>2.4396914122049247</v>
      </c>
      <c r="O114" s="5">
        <v>57.98</v>
      </c>
      <c r="P114" s="1">
        <f t="shared" si="13"/>
        <v>0.87490183397237498</v>
      </c>
      <c r="Q114" s="5">
        <v>7.34</v>
      </c>
      <c r="R114" s="1">
        <f t="shared" si="14"/>
        <v>-0.76264609414699491</v>
      </c>
      <c r="S114" s="5">
        <v>216.47</v>
      </c>
      <c r="T114" s="8">
        <f t="shared" si="0"/>
        <v>30.924285714285713</v>
      </c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2:37" x14ac:dyDescent="0.35">
      <c r="C115" s="2">
        <v>5135700100</v>
      </c>
      <c r="D115" s="6" t="s">
        <v>130</v>
      </c>
      <c r="E115" s="6">
        <v>14655.16</v>
      </c>
      <c r="F115" s="4">
        <f t="shared" si="8"/>
        <v>-1.0858215880959071E-2</v>
      </c>
      <c r="G115" s="6">
        <v>12814.76</v>
      </c>
      <c r="H115" s="1">
        <f t="shared" si="9"/>
        <v>-0.13507497908877683</v>
      </c>
      <c r="I115" s="6">
        <v>18636.5</v>
      </c>
      <c r="J115" s="1">
        <f t="shared" si="10"/>
        <v>0.25786008885160627</v>
      </c>
      <c r="K115" s="6">
        <v>17803.05</v>
      </c>
      <c r="L115" s="1">
        <f t="shared" si="11"/>
        <v>0.20160684972122386</v>
      </c>
      <c r="M115" s="6">
        <v>18902.240000000002</v>
      </c>
      <c r="N115" s="1">
        <f t="shared" si="12"/>
        <v>0.27579606073535207</v>
      </c>
      <c r="O115" s="5">
        <v>11208.17</v>
      </c>
      <c r="P115" s="1">
        <f t="shared" si="13"/>
        <v>-0.24351086780973316</v>
      </c>
      <c r="Q115" s="5">
        <v>9692.3700000000008</v>
      </c>
      <c r="R115" s="1">
        <f t="shared" si="14"/>
        <v>-0.34581893652871276</v>
      </c>
      <c r="S115" s="5">
        <v>103712.25</v>
      </c>
      <c r="T115" s="8">
        <f t="shared" si="0"/>
        <v>14816.035714285714</v>
      </c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2:37" x14ac:dyDescent="0.35">
      <c r="C116" s="2">
        <v>5135700350</v>
      </c>
      <c r="D116" s="6" t="s">
        <v>131</v>
      </c>
      <c r="E116" s="6">
        <v>58.26</v>
      </c>
      <c r="F116" s="4">
        <f t="shared" si="8"/>
        <v>-0.77789880132230327</v>
      </c>
      <c r="G116" s="6">
        <v>62.96</v>
      </c>
      <c r="H116" s="1">
        <f t="shared" si="9"/>
        <v>-0.75998126555530743</v>
      </c>
      <c r="I116" s="6">
        <v>142.69</v>
      </c>
      <c r="J116" s="1">
        <f t="shared" si="10"/>
        <v>-0.45603123859731287</v>
      </c>
      <c r="K116" s="6">
        <v>44.49</v>
      </c>
      <c r="L116" s="1">
        <f t="shared" si="11"/>
        <v>-0.83039336887794835</v>
      </c>
      <c r="M116" s="6">
        <v>60.03</v>
      </c>
      <c r="N116" s="1">
        <f t="shared" si="12"/>
        <v>-0.77115113359728571</v>
      </c>
      <c r="O116" s="5">
        <v>1268.47</v>
      </c>
      <c r="P116" s="1">
        <f t="shared" si="13"/>
        <v>3.835714169013011</v>
      </c>
      <c r="Q116" s="5">
        <v>199.29</v>
      </c>
      <c r="R116" s="1">
        <f t="shared" si="14"/>
        <v>-0.24025836106285295</v>
      </c>
      <c r="S116" s="5">
        <v>1836.19</v>
      </c>
      <c r="T116" s="8">
        <f t="shared" si="0"/>
        <v>262.31285714285713</v>
      </c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2:37" x14ac:dyDescent="0.35">
      <c r="C117" s="2">
        <v>5135800100</v>
      </c>
      <c r="D117" s="6" t="s">
        <v>132</v>
      </c>
      <c r="E117" s="6">
        <v>125.32</v>
      </c>
      <c r="F117" s="4">
        <f t="shared" si="8"/>
        <v>-0.9590749646960689</v>
      </c>
      <c r="G117" s="6">
        <v>1032.4100000000001</v>
      </c>
      <c r="H117" s="1">
        <f t="shared" si="9"/>
        <v>-0.66285177387383143</v>
      </c>
      <c r="I117" s="6">
        <v>350.44</v>
      </c>
      <c r="J117" s="1">
        <f t="shared" si="10"/>
        <v>-0.88555881445970641</v>
      </c>
      <c r="K117" s="6">
        <v>357.55</v>
      </c>
      <c r="L117" s="1">
        <f t="shared" si="11"/>
        <v>-0.88323694244397899</v>
      </c>
      <c r="M117" s="6">
        <v>909.53</v>
      </c>
      <c r="N117" s="1">
        <f t="shared" si="12"/>
        <v>-0.70297999233973507</v>
      </c>
      <c r="O117" s="5">
        <v>10159.11</v>
      </c>
      <c r="P117" s="1">
        <f t="shared" si="13"/>
        <v>2.3176024210542523</v>
      </c>
      <c r="Q117" s="5">
        <v>8500.93</v>
      </c>
      <c r="R117" s="1">
        <f t="shared" si="14"/>
        <v>1.7761000667590687</v>
      </c>
      <c r="S117" s="5">
        <v>21435.29</v>
      </c>
      <c r="T117" s="8">
        <f t="shared" si="0"/>
        <v>3062.184285714286</v>
      </c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2:37" x14ac:dyDescent="0.35">
      <c r="B118" s="2" t="s">
        <v>133</v>
      </c>
      <c r="C118" s="2">
        <v>5106950400</v>
      </c>
      <c r="D118" s="6" t="s">
        <v>133</v>
      </c>
      <c r="E118" s="6"/>
      <c r="F118" s="4">
        <f t="shared" si="8"/>
        <v>-1</v>
      </c>
      <c r="G118" s="6"/>
      <c r="H118" s="1">
        <f t="shared" si="9"/>
        <v>-1</v>
      </c>
      <c r="I118" s="6"/>
      <c r="J118" s="1">
        <f t="shared" si="10"/>
        <v>-1</v>
      </c>
      <c r="K118" s="6">
        <v>5730</v>
      </c>
      <c r="L118" s="1">
        <f t="shared" si="11"/>
        <v>5.7796323684766531</v>
      </c>
      <c r="M118" s="6">
        <v>186.25</v>
      </c>
      <c r="N118" s="1">
        <f t="shared" si="12"/>
        <v>-0.77963236847665329</v>
      </c>
      <c r="P118" s="1">
        <f t="shared" si="13"/>
        <v>-1</v>
      </c>
      <c r="R118" s="1">
        <f t="shared" si="14"/>
        <v>-1</v>
      </c>
      <c r="S118" s="5">
        <v>5916.25</v>
      </c>
      <c r="T118" s="8">
        <f t="shared" si="0"/>
        <v>845.17857142857144</v>
      </c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2:37" x14ac:dyDescent="0.35">
      <c r="D119" s="6" t="s">
        <v>134</v>
      </c>
      <c r="E119" s="6"/>
      <c r="F119" s="4">
        <f t="shared" si="8"/>
        <v>-1</v>
      </c>
      <c r="G119" s="6"/>
      <c r="H119" s="1">
        <f t="shared" si="9"/>
        <v>-1</v>
      </c>
      <c r="I119" s="6"/>
      <c r="J119" s="1">
        <f t="shared" si="10"/>
        <v>-1</v>
      </c>
      <c r="K119" s="6"/>
      <c r="L119" s="1">
        <f t="shared" si="11"/>
        <v>-1</v>
      </c>
      <c r="M119" s="6"/>
      <c r="N119" s="1">
        <f t="shared" si="12"/>
        <v>-1</v>
      </c>
      <c r="O119" s="5">
        <v>450.01</v>
      </c>
      <c r="P119" s="1">
        <f t="shared" si="13"/>
        <v>6</v>
      </c>
      <c r="R119" s="1">
        <f t="shared" si="14"/>
        <v>-1</v>
      </c>
      <c r="S119" s="5">
        <v>450.01</v>
      </c>
      <c r="T119" s="8">
        <f t="shared" si="0"/>
        <v>64.287142857142854</v>
      </c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2:37" x14ac:dyDescent="0.35">
      <c r="C120" s="2">
        <v>5121300100</v>
      </c>
      <c r="D120" s="6" t="s">
        <v>135</v>
      </c>
      <c r="E120" s="6"/>
      <c r="F120" s="4">
        <f t="shared" si="8"/>
        <v>-1</v>
      </c>
      <c r="G120" s="6"/>
      <c r="H120" s="1">
        <f t="shared" si="9"/>
        <v>-1</v>
      </c>
      <c r="I120" s="6"/>
      <c r="J120" s="1">
        <f t="shared" si="10"/>
        <v>-1</v>
      </c>
      <c r="K120" s="6"/>
      <c r="L120" s="1">
        <f t="shared" si="11"/>
        <v>-1</v>
      </c>
      <c r="M120" s="6"/>
      <c r="N120" s="1">
        <f t="shared" si="12"/>
        <v>-1</v>
      </c>
      <c r="P120" s="1">
        <f t="shared" si="13"/>
        <v>-1</v>
      </c>
      <c r="Q120" s="5">
        <v>83.88</v>
      </c>
      <c r="R120" s="1">
        <f t="shared" si="14"/>
        <v>6</v>
      </c>
      <c r="S120" s="5">
        <v>83.88</v>
      </c>
      <c r="T120" s="8">
        <f t="shared" si="0"/>
        <v>11.982857142857142</v>
      </c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2:37" x14ac:dyDescent="0.35">
      <c r="C121" s="2">
        <v>5195350100</v>
      </c>
      <c r="D121" s="6" t="s">
        <v>136</v>
      </c>
      <c r="E121" s="6">
        <v>3591.55</v>
      </c>
      <c r="F121" s="4">
        <f t="shared" si="8"/>
        <v>-0.50405550129633614</v>
      </c>
      <c r="G121" s="6">
        <v>4410.43</v>
      </c>
      <c r="H121" s="1">
        <f t="shared" si="9"/>
        <v>-0.39097924422113006</v>
      </c>
      <c r="I121" s="6">
        <v>8554.4699999999993</v>
      </c>
      <c r="J121" s="1">
        <f t="shared" si="10"/>
        <v>0.18125665404227451</v>
      </c>
      <c r="K121" s="6">
        <v>5030.8</v>
      </c>
      <c r="L121" s="1">
        <f t="shared" si="11"/>
        <v>-0.30531453437140171</v>
      </c>
      <c r="M121" s="6">
        <v>9075.51</v>
      </c>
      <c r="N121" s="1">
        <f t="shared" si="12"/>
        <v>0.25320523379323367</v>
      </c>
      <c r="O121" s="5">
        <v>9896.83</v>
      </c>
      <c r="P121" s="1">
        <f t="shared" si="13"/>
        <v>0.36661842188063132</v>
      </c>
      <c r="Q121" s="5">
        <v>10133.280000000001</v>
      </c>
      <c r="R121" s="1">
        <f t="shared" si="14"/>
        <v>0.3992689701727285</v>
      </c>
      <c r="S121" s="5">
        <v>50692.87</v>
      </c>
      <c r="T121" s="8">
        <f t="shared" si="0"/>
        <v>7241.8385714285714</v>
      </c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2:37" x14ac:dyDescent="0.35">
      <c r="C122" s="2">
        <v>5195400100</v>
      </c>
      <c r="D122" s="6" t="s">
        <v>137</v>
      </c>
      <c r="E122" s="6">
        <v>1916.52</v>
      </c>
      <c r="F122" s="4">
        <f t="shared" si="8"/>
        <v>-0.59697615858945086</v>
      </c>
      <c r="G122" s="6">
        <v>3392.4</v>
      </c>
      <c r="H122" s="1">
        <f t="shared" si="9"/>
        <v>-0.28661423851504447</v>
      </c>
      <c r="I122" s="6">
        <v>9563.7099999999991</v>
      </c>
      <c r="J122" s="1">
        <f t="shared" si="10"/>
        <v>1.0111468402815951</v>
      </c>
      <c r="K122" s="6">
        <v>3190.33</v>
      </c>
      <c r="L122" s="1">
        <f t="shared" si="11"/>
        <v>-0.32910741762813994</v>
      </c>
      <c r="M122" s="6">
        <v>6734.33</v>
      </c>
      <c r="N122" s="1">
        <f t="shared" si="12"/>
        <v>0.41615821693815014</v>
      </c>
      <c r="O122" s="5">
        <v>3883.26</v>
      </c>
      <c r="P122" s="1">
        <f t="shared" si="13"/>
        <v>-0.18339158349720891</v>
      </c>
      <c r="Q122" s="5">
        <v>4606.91</v>
      </c>
      <c r="R122" s="1">
        <f t="shared" si="14"/>
        <v>-3.1215658989902039E-2</v>
      </c>
      <c r="S122" s="5">
        <v>33287.460000000006</v>
      </c>
      <c r="T122" s="8">
        <f t="shared" si="0"/>
        <v>4755.3514285714291</v>
      </c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2:37" x14ac:dyDescent="0.35">
      <c r="C123" s="2">
        <v>5195650100</v>
      </c>
      <c r="D123" s="6" t="s">
        <v>138</v>
      </c>
      <c r="E123" s="6">
        <v>16012.29</v>
      </c>
      <c r="F123" s="4">
        <f t="shared" si="8"/>
        <v>-0.64733619430403078</v>
      </c>
      <c r="G123" s="6">
        <v>39524.49</v>
      </c>
      <c r="H123" s="1">
        <f t="shared" si="9"/>
        <v>-0.12949009407197365</v>
      </c>
      <c r="I123" s="6">
        <v>85659.36</v>
      </c>
      <c r="J123" s="1">
        <f t="shared" si="10"/>
        <v>0.88661059043279111</v>
      </c>
      <c r="K123" s="6">
        <v>34543.01</v>
      </c>
      <c r="L123" s="1">
        <f t="shared" si="11"/>
        <v>-0.23920505019619795</v>
      </c>
      <c r="M123" s="6">
        <v>46324</v>
      </c>
      <c r="N123" s="1">
        <f t="shared" si="12"/>
        <v>2.0266191472929677E-2</v>
      </c>
      <c r="O123" s="5">
        <v>40381.089999999997</v>
      </c>
      <c r="P123" s="1">
        <f t="shared" si="13"/>
        <v>-0.11062384721039629</v>
      </c>
      <c r="Q123" s="5">
        <v>55382.62</v>
      </c>
      <c r="R123" s="1">
        <f t="shared" si="14"/>
        <v>0.21977840387687822</v>
      </c>
      <c r="S123" s="5">
        <v>317826.86</v>
      </c>
      <c r="T123" s="8">
        <f t="shared" si="0"/>
        <v>45403.837142857141</v>
      </c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2:37" x14ac:dyDescent="0.35">
      <c r="C124" s="2">
        <v>5195650300</v>
      </c>
      <c r="D124" s="6" t="s">
        <v>139</v>
      </c>
      <c r="E124" s="6">
        <v>3036.65</v>
      </c>
      <c r="F124" s="4">
        <f t="shared" si="8"/>
        <v>-0.28376624886322394</v>
      </c>
      <c r="G124" s="6">
        <v>7343.27</v>
      </c>
      <c r="H124" s="1">
        <f t="shared" si="9"/>
        <v>0.73200659203732865</v>
      </c>
      <c r="I124" s="6">
        <v>10426.43</v>
      </c>
      <c r="J124" s="1">
        <f t="shared" si="10"/>
        <v>1.4592103370045992</v>
      </c>
      <c r="K124" s="6">
        <v>1595.06</v>
      </c>
      <c r="L124" s="1">
        <f t="shared" si="11"/>
        <v>-0.62378416772159251</v>
      </c>
      <c r="M124" s="6">
        <v>821.1</v>
      </c>
      <c r="N124" s="1">
        <f t="shared" si="12"/>
        <v>-0.80633279006194103</v>
      </c>
      <c r="O124" s="5">
        <v>6420.99</v>
      </c>
      <c r="P124" s="1">
        <f t="shared" si="13"/>
        <v>0.51447475135815046</v>
      </c>
      <c r="Q124" s="5">
        <v>34.729999999999997</v>
      </c>
      <c r="R124" s="1">
        <f t="shared" si="14"/>
        <v>-0.99180847375332026</v>
      </c>
      <c r="S124" s="5">
        <v>29678.23</v>
      </c>
      <c r="T124" s="8">
        <f t="shared" si="0"/>
        <v>4239.7471428571425</v>
      </c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2:37" x14ac:dyDescent="0.35">
      <c r="C125" s="2">
        <v>5195650400</v>
      </c>
      <c r="D125" s="6" t="s">
        <v>140</v>
      </c>
      <c r="E125" s="6">
        <v>1345.69</v>
      </c>
      <c r="F125" s="4">
        <f t="shared" si="8"/>
        <v>-0.10736710237793359</v>
      </c>
      <c r="G125" s="6">
        <v>1346.17</v>
      </c>
      <c r="H125" s="1">
        <f t="shared" si="9"/>
        <v>-0.10704870527989571</v>
      </c>
      <c r="I125" s="6">
        <v>1902.74</v>
      </c>
      <c r="J125" s="1">
        <f t="shared" si="10"/>
        <v>0.26213936316789943</v>
      </c>
      <c r="K125" s="6">
        <v>888.22</v>
      </c>
      <c r="L125" s="1">
        <f t="shared" si="11"/>
        <v>-0.4108194366266586</v>
      </c>
      <c r="M125" s="6">
        <v>4966.68</v>
      </c>
      <c r="N125" s="1">
        <f t="shared" si="12"/>
        <v>2.2945343726724317</v>
      </c>
      <c r="O125" s="5">
        <v>18.829999999999998</v>
      </c>
      <c r="P125" s="1">
        <f t="shared" si="13"/>
        <v>-0.98750954717488915</v>
      </c>
      <c r="Q125" s="5">
        <v>84.53</v>
      </c>
      <c r="R125" s="1">
        <f t="shared" si="14"/>
        <v>-0.94392894438095454</v>
      </c>
      <c r="S125" s="5">
        <v>10552.86</v>
      </c>
      <c r="T125" s="8">
        <f t="shared" si="0"/>
        <v>1507.5514285714287</v>
      </c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2:37" x14ac:dyDescent="0.35">
      <c r="C126" s="2">
        <v>5205950300</v>
      </c>
      <c r="D126" s="6" t="s">
        <v>141</v>
      </c>
      <c r="E126" s="6"/>
      <c r="F126" s="4">
        <f t="shared" si="8"/>
        <v>-1</v>
      </c>
      <c r="G126" s="6"/>
      <c r="H126" s="1">
        <f t="shared" si="9"/>
        <v>-1</v>
      </c>
      <c r="I126" s="6">
        <v>-0.41</v>
      </c>
      <c r="J126" s="1">
        <f t="shared" si="10"/>
        <v>6.0000000000000009</v>
      </c>
      <c r="K126" s="6"/>
      <c r="L126" s="1">
        <f t="shared" si="11"/>
        <v>-1</v>
      </c>
      <c r="M126" s="6"/>
      <c r="N126" s="1">
        <f t="shared" si="12"/>
        <v>-1</v>
      </c>
      <c r="P126" s="1">
        <f t="shared" si="13"/>
        <v>-1</v>
      </c>
      <c r="R126" s="1">
        <f t="shared" si="14"/>
        <v>-1</v>
      </c>
      <c r="S126" s="5">
        <v>-0.41</v>
      </c>
      <c r="T126" s="8">
        <f t="shared" si="0"/>
        <v>-5.8571428571428566E-2</v>
      </c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2:37" x14ac:dyDescent="0.35">
      <c r="C127" s="2">
        <v>5315150100</v>
      </c>
      <c r="D127" s="6" t="s">
        <v>142</v>
      </c>
      <c r="E127" s="6"/>
      <c r="F127" s="4">
        <f t="shared" si="8"/>
        <v>-1</v>
      </c>
      <c r="G127" s="6"/>
      <c r="H127" s="1">
        <f t="shared" si="9"/>
        <v>-1</v>
      </c>
      <c r="I127" s="6"/>
      <c r="J127" s="1">
        <f t="shared" si="10"/>
        <v>-1</v>
      </c>
      <c r="K127" s="6"/>
      <c r="L127" s="1">
        <f t="shared" si="11"/>
        <v>-1</v>
      </c>
      <c r="M127" s="6">
        <v>1188.6500000000001</v>
      </c>
      <c r="N127" s="1">
        <f t="shared" si="12"/>
        <v>5.9999999999999991</v>
      </c>
      <c r="P127" s="1">
        <f t="shared" si="13"/>
        <v>-1</v>
      </c>
      <c r="R127" s="1">
        <f t="shared" si="14"/>
        <v>-1</v>
      </c>
      <c r="S127" s="5">
        <v>1188.6500000000001</v>
      </c>
      <c r="T127" s="8">
        <f t="shared" si="0"/>
        <v>169.80714285714288</v>
      </c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2:37" x14ac:dyDescent="0.35">
      <c r="C128" s="2">
        <v>5315250200</v>
      </c>
      <c r="D128" s="6" t="s">
        <v>143</v>
      </c>
      <c r="E128" s="6">
        <v>284.7</v>
      </c>
      <c r="F128" s="4">
        <f t="shared" si="8"/>
        <v>-0.70813598938516553</v>
      </c>
      <c r="G128" s="6">
        <v>210.18</v>
      </c>
      <c r="H128" s="1">
        <f t="shared" si="9"/>
        <v>-0.78453116350184082</v>
      </c>
      <c r="I128" s="6">
        <v>1202.71</v>
      </c>
      <c r="J128" s="1">
        <f t="shared" si="10"/>
        <v>0.23297423325102731</v>
      </c>
      <c r="K128" s="6">
        <v>590.89</v>
      </c>
      <c r="L128" s="1">
        <f t="shared" si="11"/>
        <v>-0.39424121801124173</v>
      </c>
      <c r="M128" s="6">
        <v>455.75</v>
      </c>
      <c r="N128" s="1">
        <f t="shared" si="12"/>
        <v>-0.5327817954418308</v>
      </c>
      <c r="O128" s="5">
        <v>377.31</v>
      </c>
      <c r="P128" s="1">
        <f t="shared" si="13"/>
        <v>-0.61319560995755829</v>
      </c>
      <c r="Q128" s="5">
        <v>3706.64</v>
      </c>
      <c r="R128" s="1">
        <f t="shared" si="14"/>
        <v>2.7999115430466097</v>
      </c>
      <c r="S128" s="5">
        <v>6828.18</v>
      </c>
      <c r="T128" s="8">
        <f t="shared" si="0"/>
        <v>975.45428571428579</v>
      </c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3:37" x14ac:dyDescent="0.35">
      <c r="C129" s="2">
        <v>5395350250</v>
      </c>
      <c r="D129" s="6" t="s">
        <v>144</v>
      </c>
      <c r="E129" s="6">
        <v>876.94</v>
      </c>
      <c r="F129" s="4">
        <f t="shared" si="8"/>
        <v>0.55227888816960691</v>
      </c>
      <c r="G129" s="6">
        <v>790.9</v>
      </c>
      <c r="H129" s="1">
        <f t="shared" si="9"/>
        <v>0.39997875869881866</v>
      </c>
      <c r="I129" s="6">
        <v>413.7</v>
      </c>
      <c r="J129" s="1">
        <f t="shared" si="10"/>
        <v>-0.267706141770513</v>
      </c>
      <c r="K129" s="6">
        <v>640</v>
      </c>
      <c r="L129" s="1">
        <f t="shared" si="11"/>
        <v>0.13286939634245032</v>
      </c>
      <c r="M129" s="6">
        <v>643.17999999999995</v>
      </c>
      <c r="N129" s="1">
        <f t="shared" si="12"/>
        <v>0.13849834115552678</v>
      </c>
      <c r="O129" s="5">
        <v>507</v>
      </c>
      <c r="P129" s="1">
        <f t="shared" si="13"/>
        <v>-0.10255502508496514</v>
      </c>
      <c r="Q129" s="5">
        <v>82.84</v>
      </c>
      <c r="R129" s="1">
        <f t="shared" si="14"/>
        <v>-0.85336421751092406</v>
      </c>
      <c r="S129" s="5">
        <v>3954.56</v>
      </c>
      <c r="T129" s="8">
        <f t="shared" si="0"/>
        <v>564.93714285714282</v>
      </c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3:37" x14ac:dyDescent="0.35">
      <c r="C130" s="2">
        <v>5396150100</v>
      </c>
      <c r="D130" s="6" t="s">
        <v>145</v>
      </c>
      <c r="E130" s="6">
        <v>31477.3</v>
      </c>
      <c r="F130" s="4">
        <f t="shared" si="8"/>
        <v>1.411647078653407</v>
      </c>
      <c r="G130" s="6">
        <v>0</v>
      </c>
      <c r="H130" s="1">
        <f t="shared" si="9"/>
        <v>-1</v>
      </c>
      <c r="I130" s="6">
        <v>82855.12</v>
      </c>
      <c r="J130" s="1">
        <f t="shared" si="10"/>
        <v>5.3479811832488009</v>
      </c>
      <c r="K130" s="6">
        <v>-23860.01</v>
      </c>
      <c r="L130" s="1">
        <f t="shared" si="11"/>
        <v>-2.8280450805228239</v>
      </c>
      <c r="M130" s="6">
        <v>-4868.6099999999997</v>
      </c>
      <c r="N130" s="1">
        <f t="shared" si="12"/>
        <v>-1.3730106801918449</v>
      </c>
      <c r="O130" s="5">
        <v>1361.15</v>
      </c>
      <c r="P130" s="1">
        <f t="shared" si="13"/>
        <v>-0.89571489863777753</v>
      </c>
      <c r="Q130" s="5">
        <v>4400.45</v>
      </c>
      <c r="R130" s="1">
        <f t="shared" si="14"/>
        <v>-0.66285760254976178</v>
      </c>
      <c r="S130" s="5">
        <v>91365.4</v>
      </c>
      <c r="T130" s="8">
        <f t="shared" si="0"/>
        <v>13052.199999999999</v>
      </c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3:37" x14ac:dyDescent="0.35">
      <c r="F131" s="9"/>
    </row>
  </sheetData>
  <conditionalFormatting sqref="F4:F130">
    <cfRule type="cellIs" dxfId="109" priority="7" operator="equal">
      <formula>-1</formula>
    </cfRule>
    <cfRule type="cellIs" dxfId="108" priority="29" operator="between">
      <formula>-0.05</formula>
      <formula>0.05</formula>
    </cfRule>
    <cfRule type="cellIs" dxfId="107" priority="30" operator="lessThan">
      <formula>-0.15</formula>
    </cfRule>
    <cfRule type="cellIs" dxfId="106" priority="31" operator="greaterThan">
      <formula>0.15</formula>
    </cfRule>
    <cfRule type="cellIs" dxfId="105" priority="32" operator="between">
      <formula>-0.15</formula>
      <formula>0.15</formula>
    </cfRule>
  </conditionalFormatting>
  <conditionalFormatting sqref="H4:H130">
    <cfRule type="cellIs" dxfId="104" priority="6" operator="equal">
      <formula>-1</formula>
    </cfRule>
    <cfRule type="cellIs" dxfId="103" priority="16" operator="between">
      <formula>-0.05</formula>
      <formula>0.05</formula>
    </cfRule>
    <cfRule type="cellIs" dxfId="102" priority="17" operator="lessThan">
      <formula>-0.15</formula>
    </cfRule>
    <cfRule type="cellIs" dxfId="101" priority="18" operator="greaterThan">
      <formula>0.15</formula>
    </cfRule>
    <cfRule type="cellIs" dxfId="100" priority="19" operator="between">
      <formula>-0.15</formula>
      <formula>0.15</formula>
    </cfRule>
  </conditionalFormatting>
  <conditionalFormatting sqref="J4:J130 L4:L130">
    <cfRule type="cellIs" dxfId="99" priority="12" operator="between">
      <formula>-0.05</formula>
      <formula>0.05</formula>
    </cfRule>
    <cfRule type="cellIs" dxfId="98" priority="13" operator="lessThan">
      <formula>0.15</formula>
    </cfRule>
    <cfRule type="cellIs" dxfId="97" priority="14" operator="greaterThan">
      <formula>0.15</formula>
    </cfRule>
    <cfRule type="cellIs" dxfId="96" priority="15" operator="between">
      <formula>-0.15</formula>
      <formula>0.15</formula>
    </cfRule>
  </conditionalFormatting>
  <conditionalFormatting sqref="J4:J130">
    <cfRule type="cellIs" dxfId="95" priority="5" operator="equal">
      <formula>-1</formula>
    </cfRule>
  </conditionalFormatting>
  <conditionalFormatting sqref="L4:L130">
    <cfRule type="cellIs" dxfId="94" priority="4" operator="equal">
      <formula>-1</formula>
    </cfRule>
  </conditionalFormatting>
  <conditionalFormatting sqref="N4:N130 P4:P130 R4:R130">
    <cfRule type="cellIs" dxfId="93" priority="8" operator="between">
      <formula>-0.05</formula>
      <formula>0.05</formula>
    </cfRule>
    <cfRule type="cellIs" dxfId="92" priority="9" operator="lessThan">
      <formula>-0.15</formula>
    </cfRule>
    <cfRule type="cellIs" dxfId="91" priority="10" operator="greaterThan">
      <formula>0.15</formula>
    </cfRule>
    <cfRule type="cellIs" dxfId="90" priority="11" operator="between">
      <formula>-0.15</formula>
      <formula>0.15</formula>
    </cfRule>
  </conditionalFormatting>
  <conditionalFormatting sqref="N4:N130">
    <cfRule type="cellIs" dxfId="89" priority="3" operator="equal">
      <formula>-1</formula>
    </cfRule>
  </conditionalFormatting>
  <conditionalFormatting sqref="P4:P130">
    <cfRule type="cellIs" dxfId="88" priority="2" operator="equal">
      <formula>-1</formula>
    </cfRule>
  </conditionalFormatting>
  <conditionalFormatting sqref="R4:R130">
    <cfRule type="cellIs" dxfId="87" priority="1" operator="equal">
      <formula>-1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299BC-2839-44BA-9D47-4D7C68D4F6E8}">
  <dimension ref="A1:AM131"/>
  <sheetViews>
    <sheetView tabSelected="1" zoomScale="80" zoomScaleNormal="80" workbookViewId="0">
      <selection activeCell="X19" sqref="X19"/>
    </sheetView>
  </sheetViews>
  <sheetFormatPr baseColWidth="10" defaultColWidth="14.453125" defaultRowHeight="14.5" x14ac:dyDescent="0.35"/>
  <cols>
    <col min="4" max="4" width="33.90625" customWidth="1"/>
    <col min="6" max="6" width="11" customWidth="1"/>
    <col min="8" max="8" width="8.36328125" customWidth="1"/>
    <col min="10" max="10" width="9" customWidth="1"/>
    <col min="12" max="12" width="9" customWidth="1"/>
    <col min="14" max="14" width="14.453125" style="16"/>
    <col min="16" max="16" width="10.36328125" customWidth="1"/>
    <col min="18" max="18" width="9.81640625" customWidth="1"/>
    <col min="20" max="20" width="9.6328125" customWidth="1"/>
    <col min="22" max="22" width="14.453125" style="16"/>
    <col min="24" max="24" width="37.1796875" customWidth="1"/>
  </cols>
  <sheetData>
    <row r="1" spans="1:39" x14ac:dyDescent="0.35">
      <c r="M1" s="32"/>
      <c r="N1" s="35"/>
      <c r="O1" s="32"/>
      <c r="P1" s="32"/>
      <c r="Q1" s="32"/>
      <c r="R1" s="32"/>
      <c r="S1" s="32"/>
      <c r="T1" s="32"/>
      <c r="U1" s="32"/>
      <c r="V1" s="35"/>
    </row>
    <row r="2" spans="1:39" ht="15" thickBot="1" x14ac:dyDescent="0.4">
      <c r="M2" s="32"/>
      <c r="N2" s="35"/>
      <c r="O2" s="32"/>
      <c r="P2" s="32"/>
      <c r="Q2" s="32"/>
      <c r="R2" s="32"/>
      <c r="S2" s="32"/>
      <c r="T2" s="32"/>
      <c r="U2" s="32"/>
      <c r="V2" s="35"/>
    </row>
    <row r="3" spans="1:39" ht="15.5" customHeight="1" thickBot="1" x14ac:dyDescent="0.4">
      <c r="A3" s="31" t="s">
        <v>224</v>
      </c>
      <c r="B3" s="31" t="s">
        <v>223</v>
      </c>
      <c r="C3" s="31" t="s">
        <v>221</v>
      </c>
      <c r="D3" s="31" t="s">
        <v>222</v>
      </c>
      <c r="E3" s="30" t="s">
        <v>147</v>
      </c>
      <c r="F3" s="30" t="s">
        <v>0</v>
      </c>
      <c r="G3" s="30" t="s">
        <v>148</v>
      </c>
      <c r="H3" s="30" t="s">
        <v>0</v>
      </c>
      <c r="I3" s="30" t="s">
        <v>149</v>
      </c>
      <c r="J3" s="30" t="s">
        <v>0</v>
      </c>
      <c r="K3" s="30" t="s">
        <v>150</v>
      </c>
      <c r="L3" s="30" t="s">
        <v>0</v>
      </c>
      <c r="M3" s="17" t="s">
        <v>1</v>
      </c>
      <c r="N3" s="12" t="s">
        <v>146</v>
      </c>
      <c r="O3" s="30" t="s">
        <v>151</v>
      </c>
      <c r="P3" s="30" t="s">
        <v>0</v>
      </c>
      <c r="Q3" s="30" t="s">
        <v>152</v>
      </c>
      <c r="R3" s="30" t="s">
        <v>0</v>
      </c>
      <c r="S3" s="30" t="s">
        <v>153</v>
      </c>
      <c r="T3" s="30" t="s">
        <v>0</v>
      </c>
      <c r="U3" s="17" t="s">
        <v>1</v>
      </c>
      <c r="V3" s="12" t="s">
        <v>146</v>
      </c>
      <c r="X3" s="13" t="s">
        <v>157</v>
      </c>
    </row>
    <row r="4" spans="1:39" ht="14" customHeight="1" thickBot="1" x14ac:dyDescent="0.4">
      <c r="A4" s="2" t="s">
        <v>2</v>
      </c>
      <c r="B4" s="2" t="s">
        <v>3</v>
      </c>
      <c r="C4" s="2">
        <v>5160060100</v>
      </c>
      <c r="D4" s="2" t="s">
        <v>4</v>
      </c>
      <c r="E4" s="3"/>
      <c r="F4" s="4">
        <v>0</v>
      </c>
      <c r="G4" s="3"/>
      <c r="H4" s="4">
        <v>0</v>
      </c>
      <c r="I4" s="3"/>
      <c r="J4" s="1">
        <v>0</v>
      </c>
      <c r="K4" s="3"/>
      <c r="L4" s="1">
        <v>0</v>
      </c>
      <c r="M4" s="18">
        <f>E4+G4+I4+K4</f>
        <v>0</v>
      </c>
      <c r="N4" s="8">
        <f>M4/4</f>
        <v>0</v>
      </c>
      <c r="O4" s="3"/>
      <c r="P4" s="1">
        <v>0</v>
      </c>
      <c r="Q4" s="3">
        <v>2825.76</v>
      </c>
      <c r="R4" s="1">
        <v>0</v>
      </c>
      <c r="S4" s="6">
        <v>-2826</v>
      </c>
      <c r="T4" s="1">
        <v>0</v>
      </c>
      <c r="U4" s="18">
        <v>0</v>
      </c>
      <c r="V4" s="8">
        <f>U4/3</f>
        <v>0</v>
      </c>
      <c r="X4" s="14" t="s">
        <v>158</v>
      </c>
    </row>
    <row r="5" spans="1:39" ht="15" customHeight="1" thickBot="1" x14ac:dyDescent="0.4">
      <c r="A5" s="2" t="s">
        <v>2</v>
      </c>
      <c r="C5" s="2">
        <v>5163050100</v>
      </c>
      <c r="D5" s="2" t="s">
        <v>5</v>
      </c>
      <c r="E5" s="3"/>
      <c r="F5" s="4">
        <v>0</v>
      </c>
      <c r="G5" s="3"/>
      <c r="H5" s="4">
        <v>0</v>
      </c>
      <c r="I5" s="3"/>
      <c r="J5" s="1">
        <v>0</v>
      </c>
      <c r="K5" s="3"/>
      <c r="L5" s="1">
        <v>0</v>
      </c>
      <c r="M5" s="18">
        <f t="shared" ref="M5:M68" si="0">E5+G5+I5+K5</f>
        <v>0</v>
      </c>
      <c r="N5" s="8">
        <f t="shared" ref="N5:N68" si="1">M5/4</f>
        <v>0</v>
      </c>
      <c r="O5" s="3"/>
      <c r="P5" s="1">
        <v>0</v>
      </c>
      <c r="Q5" s="3">
        <v>3100</v>
      </c>
      <c r="R5" s="1">
        <v>0</v>
      </c>
      <c r="S5" s="6">
        <v>-3100</v>
      </c>
      <c r="T5" s="1">
        <v>0</v>
      </c>
      <c r="U5" s="18">
        <v>0</v>
      </c>
      <c r="V5" s="8">
        <f t="shared" ref="V5:V68" si="2">U5/3</f>
        <v>0</v>
      </c>
      <c r="X5" s="15" t="s">
        <v>159</v>
      </c>
    </row>
    <row r="6" spans="1:39" x14ac:dyDescent="0.35">
      <c r="A6" s="2" t="s">
        <v>2</v>
      </c>
      <c r="B6" s="2" t="s">
        <v>6</v>
      </c>
      <c r="C6" s="2">
        <v>5120100100</v>
      </c>
      <c r="D6" s="2" t="s">
        <v>7</v>
      </c>
      <c r="E6" s="3">
        <v>8898.7199999999993</v>
      </c>
      <c r="F6" s="4">
        <f t="shared" ref="F6:F69" si="3">(E6-N6)/N6</f>
        <v>-6.9356751964371188E-2</v>
      </c>
      <c r="G6" s="3">
        <v>9321.99</v>
      </c>
      <c r="H6" s="4">
        <f t="shared" ref="H6:H69" si="4">(G6-N6)/N6</f>
        <v>-2.5090456632453673E-2</v>
      </c>
      <c r="I6" s="3">
        <v>10181.56</v>
      </c>
      <c r="J6" s="1">
        <f t="shared" ref="J6:J69" si="5">(I6-N6)/N6</f>
        <v>6.4804833556920224E-2</v>
      </c>
      <c r="K6" s="3">
        <v>9845.34</v>
      </c>
      <c r="L6" s="1">
        <f t="shared" ref="L6:L69" si="6">(K6-N6)/N6</f>
        <v>2.9642375039904453E-2</v>
      </c>
      <c r="M6" s="18">
        <f t="shared" si="0"/>
        <v>38247.61</v>
      </c>
      <c r="N6" s="8">
        <f t="shared" si="1"/>
        <v>9561.9025000000001</v>
      </c>
      <c r="O6" s="3">
        <v>9939.86</v>
      </c>
      <c r="P6" s="1">
        <f t="shared" ref="P6:P68" si="7">(O6-V6)/V6</f>
        <v>-0.57530435525678636</v>
      </c>
      <c r="Q6" s="3">
        <v>11092.99</v>
      </c>
      <c r="R6" s="1">
        <f t="shared" ref="R6:R68" si="8">(Q6-V6)/V6</f>
        <v>-0.52603512120090012</v>
      </c>
      <c r="S6" s="6">
        <v>10933</v>
      </c>
      <c r="T6" s="1">
        <f t="shared" ref="T6:T68" si="9">(S6-V6)/V6</f>
        <v>-0.53287093741988778</v>
      </c>
      <c r="U6" s="18">
        <v>70214</v>
      </c>
      <c r="V6" s="8">
        <f t="shared" si="2"/>
        <v>23404.666666666668</v>
      </c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 x14ac:dyDescent="0.35">
      <c r="A7" s="2" t="s">
        <v>2</v>
      </c>
      <c r="C7" s="2">
        <v>5120100150</v>
      </c>
      <c r="D7" s="2" t="s">
        <v>8</v>
      </c>
      <c r="E7" s="3">
        <v>221604.32</v>
      </c>
      <c r="F7" s="4">
        <f t="shared" si="3"/>
        <v>6.2826390532836124E-3</v>
      </c>
      <c r="G7" s="3">
        <v>220410.43</v>
      </c>
      <c r="H7" s="4">
        <f t="shared" si="4"/>
        <v>8.6130620228441312E-4</v>
      </c>
      <c r="I7" s="3">
        <v>216021.01</v>
      </c>
      <c r="J7" s="1">
        <f t="shared" si="5"/>
        <v>-1.907060280343013E-2</v>
      </c>
      <c r="K7" s="3">
        <v>222847.25</v>
      </c>
      <c r="L7" s="1">
        <f t="shared" si="6"/>
        <v>1.1926657547862105E-2</v>
      </c>
      <c r="M7" s="18">
        <f t="shared" si="0"/>
        <v>880883.01</v>
      </c>
      <c r="N7" s="8">
        <f t="shared" si="1"/>
        <v>220220.7525</v>
      </c>
      <c r="O7" s="3">
        <v>224241.94</v>
      </c>
      <c r="P7" s="1">
        <f t="shared" si="7"/>
        <v>-0.57508850982874082</v>
      </c>
      <c r="Q7" s="3">
        <v>231172.94</v>
      </c>
      <c r="R7" s="1">
        <f t="shared" si="8"/>
        <v>-0.56195509893166684</v>
      </c>
      <c r="S7" s="6">
        <v>246917</v>
      </c>
      <c r="T7" s="1">
        <f t="shared" si="9"/>
        <v>-0.53212199993178433</v>
      </c>
      <c r="U7" s="18">
        <v>1583214</v>
      </c>
      <c r="V7" s="8">
        <f t="shared" si="2"/>
        <v>527738</v>
      </c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 x14ac:dyDescent="0.35">
      <c r="A8" s="2" t="s">
        <v>2</v>
      </c>
      <c r="C8" s="2">
        <v>5120300200</v>
      </c>
      <c r="D8" s="2" t="s">
        <v>9</v>
      </c>
      <c r="F8" s="4">
        <v>0</v>
      </c>
      <c r="H8" s="4">
        <v>0</v>
      </c>
      <c r="J8" s="1">
        <v>0</v>
      </c>
      <c r="L8" s="1">
        <v>0</v>
      </c>
      <c r="M8" s="18">
        <f t="shared" si="0"/>
        <v>0</v>
      </c>
      <c r="N8" s="8">
        <f t="shared" si="1"/>
        <v>0</v>
      </c>
      <c r="P8" s="1">
        <v>0</v>
      </c>
      <c r="R8" s="1">
        <v>0</v>
      </c>
      <c r="S8" s="6">
        <v>0</v>
      </c>
      <c r="T8" s="1">
        <v>0</v>
      </c>
      <c r="U8" s="18">
        <v>0</v>
      </c>
      <c r="V8" s="8">
        <f t="shared" si="2"/>
        <v>0</v>
      </c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39" x14ac:dyDescent="0.35">
      <c r="A9" s="2" t="s">
        <v>2</v>
      </c>
      <c r="C9" s="2">
        <v>5121050100</v>
      </c>
      <c r="D9" s="2" t="s">
        <v>10</v>
      </c>
      <c r="E9" s="5">
        <v>21162.33</v>
      </c>
      <c r="F9" s="4">
        <f t="shared" si="3"/>
        <v>0.19079653885488487</v>
      </c>
      <c r="G9" s="5">
        <v>14429.87</v>
      </c>
      <c r="H9" s="4">
        <f t="shared" si="4"/>
        <v>-0.18803651336474114</v>
      </c>
      <c r="I9" s="5">
        <v>18278.16</v>
      </c>
      <c r="J9" s="1">
        <f t="shared" si="5"/>
        <v>2.8505351945452166E-2</v>
      </c>
      <c r="K9" s="5">
        <v>17215.939999999999</v>
      </c>
      <c r="L9" s="1">
        <f t="shared" si="6"/>
        <v>-3.1265377435596001E-2</v>
      </c>
      <c r="M9" s="18">
        <f t="shared" si="0"/>
        <v>71086.3</v>
      </c>
      <c r="N9" s="8">
        <f t="shared" si="1"/>
        <v>17771.575000000001</v>
      </c>
      <c r="O9" s="5">
        <v>17860.14</v>
      </c>
      <c r="P9" s="1">
        <f t="shared" si="7"/>
        <v>-0.5238811539189171</v>
      </c>
      <c r="Q9" s="5">
        <v>12509.37</v>
      </c>
      <c r="R9" s="1">
        <f t="shared" si="8"/>
        <v>-0.6665229494504904</v>
      </c>
      <c r="S9" s="6">
        <v>11080</v>
      </c>
      <c r="T9" s="1">
        <f t="shared" si="9"/>
        <v>-0.70462735372855989</v>
      </c>
      <c r="U9" s="18">
        <v>112535.81</v>
      </c>
      <c r="V9" s="8">
        <f t="shared" si="2"/>
        <v>37511.936666666668</v>
      </c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39" x14ac:dyDescent="0.35">
      <c r="A10" s="2" t="s">
        <v>2</v>
      </c>
      <c r="B10" s="2" t="s">
        <v>11</v>
      </c>
      <c r="C10" s="2">
        <v>5160050100</v>
      </c>
      <c r="D10" s="2" t="s">
        <v>12</v>
      </c>
      <c r="F10" s="4">
        <v>0</v>
      </c>
      <c r="H10" s="4">
        <v>0</v>
      </c>
      <c r="J10" s="1">
        <v>0</v>
      </c>
      <c r="L10" s="1">
        <v>0</v>
      </c>
      <c r="M10" s="18">
        <f t="shared" si="0"/>
        <v>0</v>
      </c>
      <c r="N10" s="8">
        <f t="shared" si="1"/>
        <v>0</v>
      </c>
      <c r="P10" s="1">
        <f t="shared" si="7"/>
        <v>-1</v>
      </c>
      <c r="Q10" s="5">
        <v>28333.32</v>
      </c>
      <c r="R10" s="1">
        <f t="shared" si="8"/>
        <v>1.571428571428571</v>
      </c>
      <c r="S10" s="6">
        <v>4722.22</v>
      </c>
      <c r="T10" s="1">
        <f t="shared" si="9"/>
        <v>-0.5714285714285714</v>
      </c>
      <c r="U10" s="18">
        <v>33055.54</v>
      </c>
      <c r="V10" s="8">
        <f t="shared" si="2"/>
        <v>11018.513333333334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 x14ac:dyDescent="0.35">
      <c r="A11" s="2" t="s">
        <v>2</v>
      </c>
      <c r="C11" s="2">
        <v>5160350300</v>
      </c>
      <c r="D11" s="2" t="s">
        <v>13</v>
      </c>
      <c r="F11" s="4">
        <f t="shared" si="3"/>
        <v>-1</v>
      </c>
      <c r="G11" s="5">
        <v>9800</v>
      </c>
      <c r="H11" s="4">
        <f t="shared" si="4"/>
        <v>1.3791547203157961</v>
      </c>
      <c r="I11" s="5">
        <v>3316.77</v>
      </c>
      <c r="J11" s="1">
        <f t="shared" si="5"/>
        <v>-0.19478479574471197</v>
      </c>
      <c r="K11" s="5">
        <v>3359.67</v>
      </c>
      <c r="L11" s="1">
        <f t="shared" si="6"/>
        <v>-0.18436992457108461</v>
      </c>
      <c r="M11" s="18">
        <f t="shared" si="0"/>
        <v>16476.440000000002</v>
      </c>
      <c r="N11" s="8">
        <f t="shared" si="1"/>
        <v>4119.1100000000006</v>
      </c>
      <c r="P11" s="1">
        <v>0</v>
      </c>
      <c r="R11" s="1">
        <v>0</v>
      </c>
      <c r="S11" s="16"/>
      <c r="T11" s="1">
        <v>0</v>
      </c>
      <c r="U11" s="18">
        <v>16476.439999999999</v>
      </c>
      <c r="V11" s="8">
        <f t="shared" si="2"/>
        <v>5492.1466666666665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:39" x14ac:dyDescent="0.35">
      <c r="A12" s="2" t="s">
        <v>2</v>
      </c>
      <c r="D12" s="2" t="s">
        <v>14</v>
      </c>
      <c r="F12" s="4">
        <v>0</v>
      </c>
      <c r="H12" s="4">
        <v>0</v>
      </c>
      <c r="J12" s="1">
        <v>0</v>
      </c>
      <c r="L12" s="1">
        <v>0</v>
      </c>
      <c r="M12" s="18">
        <f t="shared" si="0"/>
        <v>0</v>
      </c>
      <c r="N12" s="8">
        <f t="shared" si="1"/>
        <v>0</v>
      </c>
      <c r="O12" s="5">
        <v>3359.67</v>
      </c>
      <c r="P12" s="1">
        <f t="shared" si="7"/>
        <v>9.6150710900473939</v>
      </c>
      <c r="Q12" s="5">
        <v>-6612.55</v>
      </c>
      <c r="R12" s="1">
        <f t="shared" si="8"/>
        <v>-21.892733017377569</v>
      </c>
      <c r="S12" s="6">
        <v>4202.38</v>
      </c>
      <c r="T12" s="1">
        <f t="shared" si="9"/>
        <v>12.277661927330174</v>
      </c>
      <c r="U12" s="18">
        <v>949.5</v>
      </c>
      <c r="V12" s="8">
        <f t="shared" si="2"/>
        <v>316.5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39" x14ac:dyDescent="0.35">
      <c r="A13" s="2" t="s">
        <v>2</v>
      </c>
      <c r="C13" s="2">
        <v>5160350500</v>
      </c>
      <c r="D13" s="2" t="s">
        <v>15</v>
      </c>
      <c r="F13" s="4">
        <f t="shared" si="3"/>
        <v>-1</v>
      </c>
      <c r="H13" s="4">
        <f t="shared" si="4"/>
        <v>-1</v>
      </c>
      <c r="J13" s="1">
        <f t="shared" si="5"/>
        <v>-1</v>
      </c>
      <c r="K13" s="5">
        <v>1792.08</v>
      </c>
      <c r="L13" s="1">
        <f t="shared" si="6"/>
        <v>3</v>
      </c>
      <c r="M13" s="18">
        <f t="shared" si="0"/>
        <v>1792.08</v>
      </c>
      <c r="N13" s="8">
        <f t="shared" si="1"/>
        <v>448.02</v>
      </c>
      <c r="P13" s="1">
        <v>0</v>
      </c>
      <c r="R13" s="1">
        <v>0</v>
      </c>
      <c r="S13" s="16"/>
      <c r="T13" s="1">
        <v>0</v>
      </c>
      <c r="U13" s="18">
        <v>1792.08</v>
      </c>
      <c r="V13" s="8">
        <f t="shared" si="2"/>
        <v>597.36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 x14ac:dyDescent="0.35">
      <c r="A14" s="2" t="s">
        <v>2</v>
      </c>
      <c r="D14" s="2" t="s">
        <v>16</v>
      </c>
      <c r="F14" s="4">
        <v>0</v>
      </c>
      <c r="H14" s="4">
        <v>0</v>
      </c>
      <c r="J14" s="1">
        <v>0</v>
      </c>
      <c r="L14" s="1">
        <v>0</v>
      </c>
      <c r="M14" s="18">
        <f t="shared" si="0"/>
        <v>0</v>
      </c>
      <c r="N14" s="8">
        <f t="shared" si="1"/>
        <v>0</v>
      </c>
      <c r="O14" s="5">
        <v>5843.1</v>
      </c>
      <c r="P14" s="1">
        <f t="shared" si="7"/>
        <v>2.0000000000000004</v>
      </c>
      <c r="R14" s="1">
        <f t="shared" si="8"/>
        <v>-1</v>
      </c>
      <c r="S14" s="16"/>
      <c r="T14" s="1">
        <f t="shared" si="9"/>
        <v>-1</v>
      </c>
      <c r="U14" s="18">
        <v>5843.1</v>
      </c>
      <c r="V14" s="8">
        <f t="shared" si="2"/>
        <v>1947.7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39" x14ac:dyDescent="0.35">
      <c r="A15" s="2" t="s">
        <v>2</v>
      </c>
      <c r="B15" s="2" t="s">
        <v>17</v>
      </c>
      <c r="C15" s="2">
        <v>5135500300</v>
      </c>
      <c r="D15" s="6" t="s">
        <v>18</v>
      </c>
      <c r="E15" s="6">
        <v>29948.83</v>
      </c>
      <c r="F15" s="4">
        <f t="shared" si="3"/>
        <v>-0.2318219234660831</v>
      </c>
      <c r="G15" s="6">
        <v>31272.080000000002</v>
      </c>
      <c r="H15" s="4">
        <f t="shared" si="4"/>
        <v>-0.1978809768657149</v>
      </c>
      <c r="I15" s="6">
        <v>47717.16</v>
      </c>
      <c r="J15" s="1">
        <f t="shared" si="5"/>
        <v>0.22393015641883701</v>
      </c>
      <c r="K15" s="6">
        <v>47009.26</v>
      </c>
      <c r="L15" s="1">
        <f t="shared" si="6"/>
        <v>0.2057727439129608</v>
      </c>
      <c r="M15" s="18">
        <f t="shared" si="0"/>
        <v>155947.33000000002</v>
      </c>
      <c r="N15" s="8">
        <f t="shared" si="1"/>
        <v>38986.832500000004</v>
      </c>
      <c r="O15" s="6">
        <v>48775.87</v>
      </c>
      <c r="P15" s="1">
        <f t="shared" si="7"/>
        <v>-0.52970753874769538</v>
      </c>
      <c r="Q15" s="5">
        <v>51768.22</v>
      </c>
      <c r="R15" s="1">
        <f t="shared" si="8"/>
        <v>-0.50085557472474029</v>
      </c>
      <c r="S15" s="6">
        <v>54650.31</v>
      </c>
      <c r="T15" s="1">
        <f t="shared" si="9"/>
        <v>-0.47306672750067946</v>
      </c>
      <c r="U15" s="18">
        <v>311141.73</v>
      </c>
      <c r="V15" s="8">
        <f t="shared" si="2"/>
        <v>103713.90999999999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39" x14ac:dyDescent="0.35">
      <c r="A16" s="2" t="s">
        <v>2</v>
      </c>
      <c r="C16" s="2">
        <v>5135550100</v>
      </c>
      <c r="D16" s="6" t="s">
        <v>19</v>
      </c>
      <c r="E16" s="6">
        <v>2053.02</v>
      </c>
      <c r="F16" s="4">
        <f t="shared" si="3"/>
        <v>-0.43052579460017221</v>
      </c>
      <c r="G16" s="6">
        <v>2728.54</v>
      </c>
      <c r="H16" s="4">
        <f t="shared" si="4"/>
        <v>-0.24314758336419223</v>
      </c>
      <c r="I16" s="6">
        <v>3262.5</v>
      </c>
      <c r="J16" s="1">
        <f t="shared" si="5"/>
        <v>-9.5035803296149995E-2</v>
      </c>
      <c r="K16" s="6">
        <v>6376.4</v>
      </c>
      <c r="L16" s="1">
        <f t="shared" si="6"/>
        <v>0.76870918126051457</v>
      </c>
      <c r="M16" s="18">
        <f t="shared" si="0"/>
        <v>14420.46</v>
      </c>
      <c r="N16" s="8">
        <f t="shared" si="1"/>
        <v>3605.1149999999998</v>
      </c>
      <c r="O16" s="6">
        <v>8955.48</v>
      </c>
      <c r="P16" s="1">
        <f t="shared" si="7"/>
        <v>-0.25544522626434513</v>
      </c>
      <c r="Q16" s="5">
        <v>5885.7</v>
      </c>
      <c r="R16" s="1">
        <f t="shared" si="8"/>
        <v>-0.51066542142063365</v>
      </c>
      <c r="S16" s="6">
        <v>6822.26</v>
      </c>
      <c r="T16" s="1">
        <f t="shared" si="9"/>
        <v>-0.43280022392258044</v>
      </c>
      <c r="U16" s="18">
        <v>36083.9</v>
      </c>
      <c r="V16" s="8">
        <f t="shared" si="2"/>
        <v>12027.966666666667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 x14ac:dyDescent="0.35">
      <c r="A17" s="2" t="s">
        <v>2</v>
      </c>
      <c r="C17" s="2">
        <v>5135560100</v>
      </c>
      <c r="D17" s="6" t="s">
        <v>20</v>
      </c>
      <c r="E17" s="6">
        <v>7665.06</v>
      </c>
      <c r="F17" s="4">
        <f t="shared" si="3"/>
        <v>-0.3718213044337883</v>
      </c>
      <c r="G17" s="6">
        <v>11774.95</v>
      </c>
      <c r="H17" s="4">
        <f t="shared" si="4"/>
        <v>-3.5001326622705539E-2</v>
      </c>
      <c r="I17" s="6">
        <v>17117.84</v>
      </c>
      <c r="J17" s="1">
        <f t="shared" si="5"/>
        <v>0.4028673489980667</v>
      </c>
      <c r="K17" s="6">
        <v>12250.3</v>
      </c>
      <c r="L17" s="1">
        <f t="shared" si="6"/>
        <v>3.9552820584264781E-3</v>
      </c>
      <c r="M17" s="18">
        <f t="shared" si="0"/>
        <v>48808.150000000009</v>
      </c>
      <c r="N17" s="8">
        <f t="shared" si="1"/>
        <v>12202.037500000002</v>
      </c>
      <c r="O17" s="6">
        <v>26574.38</v>
      </c>
      <c r="P17" s="1">
        <f t="shared" si="7"/>
        <v>-0.27176620340873425</v>
      </c>
      <c r="Q17" s="5">
        <v>20404.21</v>
      </c>
      <c r="R17" s="1">
        <f t="shared" si="8"/>
        <v>-0.4408511011453336</v>
      </c>
      <c r="S17" s="6">
        <v>13687.91</v>
      </c>
      <c r="T17" s="1">
        <f t="shared" si="9"/>
        <v>-0.62490192935076749</v>
      </c>
      <c r="U17" s="18">
        <v>109474.65</v>
      </c>
      <c r="V17" s="8">
        <f t="shared" si="2"/>
        <v>36491.549999999996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 x14ac:dyDescent="0.35">
      <c r="A18" s="2" t="s">
        <v>2</v>
      </c>
      <c r="B18" s="2" t="s">
        <v>21</v>
      </c>
      <c r="C18" s="2">
        <v>5138050100</v>
      </c>
      <c r="D18" s="6" t="s">
        <v>22</v>
      </c>
      <c r="E18" s="6">
        <v>1789.46</v>
      </c>
      <c r="F18" s="4">
        <f t="shared" si="3"/>
        <v>-0.91920492619411598</v>
      </c>
      <c r="G18" s="6">
        <v>20340.48</v>
      </c>
      <c r="H18" s="4">
        <f t="shared" si="4"/>
        <v>-8.1616474887894058E-2</v>
      </c>
      <c r="I18" s="6">
        <v>42726.73</v>
      </c>
      <c r="J18" s="1">
        <f t="shared" si="5"/>
        <v>0.92913465728995448</v>
      </c>
      <c r="K18" s="6">
        <v>23735.86</v>
      </c>
      <c r="L18" s="1">
        <f t="shared" si="6"/>
        <v>7.1686743792055641E-2</v>
      </c>
      <c r="M18" s="18">
        <f t="shared" si="0"/>
        <v>88592.53</v>
      </c>
      <c r="N18" s="8">
        <f t="shared" si="1"/>
        <v>22148.1325</v>
      </c>
      <c r="O18" s="6">
        <v>18759.939999999999</v>
      </c>
      <c r="P18" s="1">
        <f t="shared" si="7"/>
        <v>-0.66142118491052626</v>
      </c>
      <c r="Q18" s="5">
        <v>27474.74</v>
      </c>
      <c r="R18" s="1">
        <f t="shared" si="8"/>
        <v>-0.50413674488877003</v>
      </c>
      <c r="S18" s="6">
        <v>31396.48</v>
      </c>
      <c r="T18" s="1">
        <f t="shared" si="9"/>
        <v>-0.43335730304146181</v>
      </c>
      <c r="U18" s="18">
        <v>166223.69</v>
      </c>
      <c r="V18" s="8">
        <f t="shared" si="2"/>
        <v>55407.896666666667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 x14ac:dyDescent="0.35">
      <c r="A19" s="2" t="s">
        <v>2</v>
      </c>
      <c r="C19" s="2">
        <v>5138050150</v>
      </c>
      <c r="D19" s="6" t="s">
        <v>23</v>
      </c>
      <c r="E19" s="6">
        <v>20318.28</v>
      </c>
      <c r="F19" s="4">
        <f t="shared" si="3"/>
        <v>0.53380989640245058</v>
      </c>
      <c r="G19" s="6">
        <v>13755.08</v>
      </c>
      <c r="H19" s="4">
        <f t="shared" si="4"/>
        <v>3.8359439372201841E-2</v>
      </c>
      <c r="I19" s="6">
        <v>11472.91</v>
      </c>
      <c r="J19" s="1">
        <f t="shared" si="5"/>
        <v>-0.13391965764156019</v>
      </c>
      <c r="K19" s="6">
        <v>7441.47</v>
      </c>
      <c r="L19" s="1">
        <f t="shared" si="6"/>
        <v>-0.43824967813309273</v>
      </c>
      <c r="M19" s="18">
        <f t="shared" si="0"/>
        <v>52987.740000000005</v>
      </c>
      <c r="N19" s="8">
        <f t="shared" si="1"/>
        <v>13246.935000000001</v>
      </c>
      <c r="O19" s="6">
        <v>9088.68</v>
      </c>
      <c r="P19" s="1">
        <f t="shared" si="7"/>
        <v>-0.64056966710889029</v>
      </c>
      <c r="Q19" s="5">
        <v>6989.92</v>
      </c>
      <c r="R19" s="1">
        <f t="shared" si="8"/>
        <v>-0.72356939924364982</v>
      </c>
      <c r="S19" s="6">
        <v>6792.7</v>
      </c>
      <c r="T19" s="1">
        <f t="shared" si="9"/>
        <v>-0.7313688652005087</v>
      </c>
      <c r="U19" s="18">
        <v>75859.039999999994</v>
      </c>
      <c r="V19" s="8">
        <f t="shared" si="2"/>
        <v>25286.346666666665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x14ac:dyDescent="0.35">
      <c r="A20" s="2" t="s">
        <v>2</v>
      </c>
      <c r="C20" s="2">
        <v>5138200200</v>
      </c>
      <c r="D20" s="6" t="s">
        <v>24</v>
      </c>
      <c r="E20" s="6">
        <v>10535.11</v>
      </c>
      <c r="F20" s="4">
        <f t="shared" si="3"/>
        <v>0.13056857561919727</v>
      </c>
      <c r="G20" s="6">
        <v>4601.26</v>
      </c>
      <c r="H20" s="4">
        <f t="shared" si="4"/>
        <v>-0.50621873295546149</v>
      </c>
      <c r="I20" s="6">
        <v>7005.52</v>
      </c>
      <c r="J20" s="1">
        <f t="shared" si="5"/>
        <v>-0.24820711242010773</v>
      </c>
      <c r="K20" s="6">
        <v>15131.78</v>
      </c>
      <c r="L20" s="1">
        <f t="shared" si="6"/>
        <v>0.62385726975637246</v>
      </c>
      <c r="M20" s="18">
        <f t="shared" si="0"/>
        <v>37273.67</v>
      </c>
      <c r="N20" s="8">
        <f t="shared" si="1"/>
        <v>9318.4174999999996</v>
      </c>
      <c r="O20" s="6">
        <v>6184.63</v>
      </c>
      <c r="P20" s="1">
        <f t="shared" si="7"/>
        <v>-0.67488056337080438</v>
      </c>
      <c r="Q20" s="5">
        <v>6106.93</v>
      </c>
      <c r="R20" s="1">
        <f t="shared" si="8"/>
        <v>-0.67896516992383804</v>
      </c>
      <c r="S20" s="6">
        <v>7502.69</v>
      </c>
      <c r="T20" s="1">
        <f t="shared" si="9"/>
        <v>-0.60559154775572688</v>
      </c>
      <c r="U20" s="18">
        <v>57067.92</v>
      </c>
      <c r="V20" s="8">
        <f t="shared" si="2"/>
        <v>19022.64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 x14ac:dyDescent="0.35">
      <c r="A21" s="2" t="s">
        <v>2</v>
      </c>
      <c r="C21" s="2">
        <v>5138350300</v>
      </c>
      <c r="D21" s="6" t="s">
        <v>25</v>
      </c>
      <c r="E21" s="6">
        <v>39235.71</v>
      </c>
      <c r="F21" s="4">
        <f t="shared" si="3"/>
        <v>0.5101974008023511</v>
      </c>
      <c r="G21" s="6">
        <v>22333.89</v>
      </c>
      <c r="H21" s="4">
        <f t="shared" si="4"/>
        <v>-0.14036007943259798</v>
      </c>
      <c r="I21" s="6">
        <v>21837.31</v>
      </c>
      <c r="J21" s="1">
        <f t="shared" si="5"/>
        <v>-0.15947363250173904</v>
      </c>
      <c r="K21" s="6">
        <v>20515.16</v>
      </c>
      <c r="L21" s="1">
        <f t="shared" si="6"/>
        <v>-0.21036368886801432</v>
      </c>
      <c r="M21" s="18">
        <f t="shared" si="0"/>
        <v>103922.07</v>
      </c>
      <c r="N21" s="8">
        <f t="shared" si="1"/>
        <v>25980.517500000002</v>
      </c>
      <c r="O21" s="6">
        <v>21456.02</v>
      </c>
      <c r="P21" s="1">
        <f t="shared" si="7"/>
        <v>-0.60880002217089535</v>
      </c>
      <c r="Q21" s="5">
        <v>19901.669999999998</v>
      </c>
      <c r="R21" s="1">
        <f t="shared" si="8"/>
        <v>-0.6371399326267333</v>
      </c>
      <c r="S21" s="6">
        <v>19260.28</v>
      </c>
      <c r="T21" s="1">
        <f t="shared" si="9"/>
        <v>-0.64883416826688511</v>
      </c>
      <c r="U21" s="18">
        <v>164540.04</v>
      </c>
      <c r="V21" s="8">
        <f t="shared" si="2"/>
        <v>54846.68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 x14ac:dyDescent="0.35">
      <c r="A22" s="2" t="s">
        <v>2</v>
      </c>
      <c r="C22" s="2">
        <v>5138350350</v>
      </c>
      <c r="D22" s="6" t="s">
        <v>26</v>
      </c>
      <c r="E22" s="6"/>
      <c r="F22" s="4">
        <f t="shared" si="3"/>
        <v>-1</v>
      </c>
      <c r="G22" s="6">
        <v>84.81</v>
      </c>
      <c r="H22" s="4">
        <f t="shared" si="4"/>
        <v>-0.40009549240481707</v>
      </c>
      <c r="I22" s="6">
        <v>42.81</v>
      </c>
      <c r="J22" s="1">
        <f t="shared" si="5"/>
        <v>-0.69718297405789664</v>
      </c>
      <c r="K22" s="6">
        <v>437.87</v>
      </c>
      <c r="L22" s="1">
        <f t="shared" si="6"/>
        <v>2.0972784664627135</v>
      </c>
      <c r="M22" s="18">
        <f t="shared" si="0"/>
        <v>565.49</v>
      </c>
      <c r="N22" s="8">
        <f t="shared" si="1"/>
        <v>141.3725</v>
      </c>
      <c r="O22" s="6"/>
      <c r="P22" s="1">
        <v>0</v>
      </c>
      <c r="R22" s="1">
        <v>0</v>
      </c>
      <c r="S22" s="16"/>
      <c r="T22" s="1">
        <v>0</v>
      </c>
      <c r="U22" s="18">
        <v>565.49</v>
      </c>
      <c r="V22" s="8">
        <f t="shared" si="2"/>
        <v>188.49666666666667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39" x14ac:dyDescent="0.35">
      <c r="A23" s="2" t="s">
        <v>2</v>
      </c>
      <c r="C23" s="2">
        <v>5138350400</v>
      </c>
      <c r="D23" s="6" t="s">
        <v>27</v>
      </c>
      <c r="E23" s="6"/>
      <c r="F23" s="4">
        <f t="shared" si="3"/>
        <v>-1</v>
      </c>
      <c r="G23" s="6"/>
      <c r="H23" s="4">
        <f t="shared" si="4"/>
        <v>-1</v>
      </c>
      <c r="I23" s="6"/>
      <c r="J23" s="1">
        <f t="shared" si="5"/>
        <v>-1</v>
      </c>
      <c r="K23" s="6">
        <v>761.25</v>
      </c>
      <c r="L23" s="1">
        <f t="shared" si="6"/>
        <v>3</v>
      </c>
      <c r="M23" s="18">
        <f t="shared" si="0"/>
        <v>761.25</v>
      </c>
      <c r="N23" s="8">
        <f t="shared" si="1"/>
        <v>190.3125</v>
      </c>
      <c r="O23" s="6"/>
      <c r="P23" s="1">
        <v>0</v>
      </c>
      <c r="R23" s="1">
        <v>0</v>
      </c>
      <c r="S23" s="16"/>
      <c r="T23" s="1">
        <v>0</v>
      </c>
      <c r="U23" s="18">
        <v>761.25</v>
      </c>
      <c r="V23" s="8">
        <f t="shared" si="2"/>
        <v>253.75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39" x14ac:dyDescent="0.35">
      <c r="A24" s="2" t="s">
        <v>2</v>
      </c>
      <c r="C24" s="2">
        <v>5138350450</v>
      </c>
      <c r="D24" s="6" t="s">
        <v>28</v>
      </c>
      <c r="E24" s="6">
        <v>-39.659999999999997</v>
      </c>
      <c r="F24" s="4">
        <f t="shared" si="3"/>
        <v>-1.0557368870400494</v>
      </c>
      <c r="G24" s="6">
        <v>1806.48</v>
      </c>
      <c r="H24" s="4">
        <f t="shared" si="4"/>
        <v>1.5387688275367772</v>
      </c>
      <c r="I24" s="6">
        <v>1082</v>
      </c>
      <c r="J24" s="1">
        <f t="shared" si="5"/>
        <v>0.52060796211128424</v>
      </c>
      <c r="K24" s="6">
        <v>-2.59</v>
      </c>
      <c r="L24" s="1">
        <f t="shared" si="6"/>
        <v>-1.0036399026080114</v>
      </c>
      <c r="M24" s="18">
        <f t="shared" si="0"/>
        <v>2846.2299999999996</v>
      </c>
      <c r="N24" s="8">
        <f t="shared" si="1"/>
        <v>711.55749999999989</v>
      </c>
      <c r="O24" s="6">
        <v>-37.07</v>
      </c>
      <c r="P24" s="1">
        <f t="shared" si="7"/>
        <v>-1.032770702326157</v>
      </c>
      <c r="Q24" s="5">
        <v>-0.86</v>
      </c>
      <c r="R24" s="1">
        <f t="shared" si="8"/>
        <v>-1.0007602590774343</v>
      </c>
      <c r="S24" s="6">
        <v>585.28</v>
      </c>
      <c r="T24" s="1">
        <f t="shared" si="9"/>
        <v>-0.48259949669670382</v>
      </c>
      <c r="U24" s="18">
        <v>3393.58</v>
      </c>
      <c r="V24" s="8">
        <f t="shared" si="2"/>
        <v>1131.1933333333334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 x14ac:dyDescent="0.35">
      <c r="A25" s="2" t="s">
        <v>2</v>
      </c>
      <c r="C25" s="2">
        <v>5138350500</v>
      </c>
      <c r="D25" s="6" t="s">
        <v>29</v>
      </c>
      <c r="E25" s="6">
        <v>800</v>
      </c>
      <c r="F25" s="4">
        <f t="shared" si="3"/>
        <v>-0.1111111111111111</v>
      </c>
      <c r="G25" s="6">
        <v>1000</v>
      </c>
      <c r="H25" s="4">
        <f t="shared" si="4"/>
        <v>0.1111111111111111</v>
      </c>
      <c r="I25" s="6">
        <v>1000</v>
      </c>
      <c r="J25" s="1">
        <f t="shared" si="5"/>
        <v>0.1111111111111111</v>
      </c>
      <c r="K25" s="6">
        <v>800</v>
      </c>
      <c r="L25" s="1">
        <f t="shared" si="6"/>
        <v>-0.1111111111111111</v>
      </c>
      <c r="M25" s="18">
        <f t="shared" si="0"/>
        <v>3600</v>
      </c>
      <c r="N25" s="8">
        <f t="shared" si="1"/>
        <v>900</v>
      </c>
      <c r="O25" s="6">
        <v>4146.8</v>
      </c>
      <c r="P25" s="1">
        <f t="shared" si="7"/>
        <v>5.5520815745420664E-2</v>
      </c>
      <c r="R25" s="1">
        <f t="shared" si="8"/>
        <v>-1</v>
      </c>
      <c r="S25" s="6">
        <v>4039.23</v>
      </c>
      <c r="T25" s="1">
        <f t="shared" si="9"/>
        <v>2.8140094671403337E-2</v>
      </c>
      <c r="U25" s="18">
        <v>11786.03</v>
      </c>
      <c r="V25" s="8">
        <f t="shared" si="2"/>
        <v>3928.6766666666667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 x14ac:dyDescent="0.35">
      <c r="A26" s="2" t="s">
        <v>2</v>
      </c>
      <c r="C26" s="2">
        <v>5195650450</v>
      </c>
      <c r="D26" s="6" t="s">
        <v>30</v>
      </c>
      <c r="E26" s="6"/>
      <c r="F26" s="4">
        <f t="shared" si="3"/>
        <v>-1</v>
      </c>
      <c r="G26" s="6">
        <v>3</v>
      </c>
      <c r="H26" s="4">
        <f t="shared" si="4"/>
        <v>-0.97224149895905621</v>
      </c>
      <c r="I26" s="6">
        <v>379.1</v>
      </c>
      <c r="J26" s="1">
        <f t="shared" si="5"/>
        <v>2.5077492482072636</v>
      </c>
      <c r="K26" s="6">
        <v>50.2</v>
      </c>
      <c r="L26" s="1">
        <f t="shared" si="6"/>
        <v>-0.53550774924820721</v>
      </c>
      <c r="M26" s="18">
        <f t="shared" si="0"/>
        <v>432.3</v>
      </c>
      <c r="N26" s="8">
        <f t="shared" si="1"/>
        <v>108.075</v>
      </c>
      <c r="O26" s="6">
        <v>1000.66</v>
      </c>
      <c r="P26" s="1">
        <f t="shared" si="7"/>
        <v>-5.0543047762351941E-3</v>
      </c>
      <c r="Q26" s="5">
        <v>1063.57</v>
      </c>
      <c r="R26" s="1">
        <f t="shared" si="8"/>
        <v>5.7496445415165499E-2</v>
      </c>
      <c r="S26" s="6">
        <v>520.70000000000005</v>
      </c>
      <c r="T26" s="1">
        <f t="shared" si="9"/>
        <v>-0.48227347600282372</v>
      </c>
      <c r="U26" s="18">
        <v>3017.23</v>
      </c>
      <c r="V26" s="8">
        <f t="shared" si="2"/>
        <v>1005.7433333333333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39" x14ac:dyDescent="0.35">
      <c r="A27" s="2" t="s">
        <v>2</v>
      </c>
      <c r="B27" s="2" t="s">
        <v>31</v>
      </c>
      <c r="C27" s="2">
        <v>5101060100</v>
      </c>
      <c r="D27" s="6" t="s">
        <v>32</v>
      </c>
      <c r="E27" s="6">
        <v>8247.61</v>
      </c>
      <c r="F27" s="4">
        <f t="shared" si="3"/>
        <v>0.19817621054497242</v>
      </c>
      <c r="G27" s="6">
        <v>6801.07</v>
      </c>
      <c r="H27" s="4">
        <f t="shared" si="4"/>
        <v>-1.1970706634880321E-2</v>
      </c>
      <c r="I27" s="6">
        <v>6486.49</v>
      </c>
      <c r="J27" s="1">
        <f t="shared" si="5"/>
        <v>-5.7671494173723373E-2</v>
      </c>
      <c r="K27" s="6">
        <v>5998.71</v>
      </c>
      <c r="L27" s="1">
        <f t="shared" si="6"/>
        <v>-0.12853400973636833</v>
      </c>
      <c r="M27" s="18">
        <f t="shared" si="0"/>
        <v>27533.879999999997</v>
      </c>
      <c r="N27" s="8">
        <f t="shared" si="1"/>
        <v>6883.4699999999993</v>
      </c>
      <c r="O27" s="6">
        <v>5035.42</v>
      </c>
      <c r="P27" s="1">
        <f t="shared" si="7"/>
        <v>-0.62347373770783554</v>
      </c>
      <c r="Q27" s="5">
        <v>4205.22</v>
      </c>
      <c r="R27" s="1">
        <f t="shared" si="8"/>
        <v>-0.68555239310399996</v>
      </c>
      <c r="S27" s="6">
        <v>3345.55</v>
      </c>
      <c r="T27" s="1">
        <f t="shared" si="9"/>
        <v>-0.74983468373808926</v>
      </c>
      <c r="U27" s="18">
        <v>40120.07</v>
      </c>
      <c r="V27" s="8">
        <f t="shared" si="2"/>
        <v>13373.356666666667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 x14ac:dyDescent="0.35">
      <c r="A28" s="2" t="s">
        <v>2</v>
      </c>
      <c r="C28" s="2">
        <v>5101300100</v>
      </c>
      <c r="D28" s="6" t="s">
        <v>33</v>
      </c>
      <c r="E28" s="6">
        <v>0</v>
      </c>
      <c r="F28" s="4">
        <v>0</v>
      </c>
      <c r="G28" s="6"/>
      <c r="H28" s="4">
        <v>0</v>
      </c>
      <c r="I28" s="6"/>
      <c r="J28" s="1">
        <v>0</v>
      </c>
      <c r="K28" s="6"/>
      <c r="L28" s="1">
        <v>0</v>
      </c>
      <c r="M28" s="18">
        <f t="shared" si="0"/>
        <v>0</v>
      </c>
      <c r="N28" s="8">
        <f t="shared" si="1"/>
        <v>0</v>
      </c>
      <c r="O28" s="6"/>
      <c r="P28" s="1">
        <v>0</v>
      </c>
      <c r="R28" s="1">
        <v>0</v>
      </c>
      <c r="S28" s="16"/>
      <c r="T28" s="1">
        <v>0</v>
      </c>
      <c r="U28" s="18">
        <v>0</v>
      </c>
      <c r="V28" s="8">
        <f t="shared" si="2"/>
        <v>0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 x14ac:dyDescent="0.35">
      <c r="A29" s="2" t="s">
        <v>2</v>
      </c>
      <c r="C29" s="2">
        <v>5101390100</v>
      </c>
      <c r="D29" s="6" t="s">
        <v>34</v>
      </c>
      <c r="E29" s="6">
        <v>617.44000000000005</v>
      </c>
      <c r="F29" s="4">
        <f t="shared" si="3"/>
        <v>1.1424196948273322</v>
      </c>
      <c r="G29" s="6">
        <v>206.2</v>
      </c>
      <c r="H29" s="4">
        <f t="shared" si="4"/>
        <v>-0.28451842920219644</v>
      </c>
      <c r="I29" s="6">
        <v>130.91</v>
      </c>
      <c r="J29" s="1">
        <f t="shared" si="5"/>
        <v>-0.54576288829708797</v>
      </c>
      <c r="K29" s="6">
        <v>198.24</v>
      </c>
      <c r="L29" s="1">
        <f t="shared" si="6"/>
        <v>-0.31213837732804756</v>
      </c>
      <c r="M29" s="18">
        <f t="shared" si="0"/>
        <v>1152.79</v>
      </c>
      <c r="N29" s="8">
        <f t="shared" si="1"/>
        <v>288.19749999999999</v>
      </c>
      <c r="O29" s="6">
        <v>202.34</v>
      </c>
      <c r="P29" s="1">
        <f t="shared" si="7"/>
        <v>-0.65415907019143116</v>
      </c>
      <c r="Q29" s="5">
        <v>196.76</v>
      </c>
      <c r="R29" s="1">
        <f t="shared" si="8"/>
        <v>-0.66369644484958978</v>
      </c>
      <c r="S29" s="6">
        <v>203.31</v>
      </c>
      <c r="T29" s="1">
        <f t="shared" si="9"/>
        <v>-0.6525011394712853</v>
      </c>
      <c r="U29" s="18">
        <v>1755.2</v>
      </c>
      <c r="V29" s="8">
        <f t="shared" si="2"/>
        <v>585.06666666666672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 x14ac:dyDescent="0.35">
      <c r="A30" s="2" t="s">
        <v>2</v>
      </c>
      <c r="C30" s="2">
        <v>5101480300</v>
      </c>
      <c r="D30" s="6" t="s">
        <v>35</v>
      </c>
      <c r="E30" s="6">
        <v>93249.98</v>
      </c>
      <c r="F30" s="4">
        <f t="shared" si="3"/>
        <v>-5.2249496466147585E-2</v>
      </c>
      <c r="G30" s="6">
        <v>98041.58</v>
      </c>
      <c r="H30" s="4">
        <f t="shared" si="4"/>
        <v>-3.5498472787395745E-3</v>
      </c>
      <c r="I30" s="6">
        <v>99681.68</v>
      </c>
      <c r="J30" s="1">
        <f t="shared" si="5"/>
        <v>1.3119385259925453E-2</v>
      </c>
      <c r="K30" s="6">
        <v>102590.17</v>
      </c>
      <c r="L30" s="1">
        <f t="shared" si="6"/>
        <v>4.2679958484961852E-2</v>
      </c>
      <c r="M30" s="18">
        <f t="shared" si="0"/>
        <v>393563.41</v>
      </c>
      <c r="N30" s="8">
        <f t="shared" si="1"/>
        <v>98390.852499999994</v>
      </c>
      <c r="O30" s="6">
        <v>102482.59</v>
      </c>
      <c r="P30" s="1">
        <f t="shared" si="7"/>
        <v>-0.56193926626083046</v>
      </c>
      <c r="Q30" s="5">
        <v>104497.60000000001</v>
      </c>
      <c r="R30" s="1">
        <f t="shared" si="8"/>
        <v>-0.55332612758925936</v>
      </c>
      <c r="S30" s="6">
        <v>101294.63</v>
      </c>
      <c r="T30" s="1">
        <f t="shared" si="9"/>
        <v>-0.56701718856209926</v>
      </c>
      <c r="U30" s="18">
        <v>701838.23</v>
      </c>
      <c r="V30" s="8">
        <f t="shared" si="2"/>
        <v>233946.07666666666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 x14ac:dyDescent="0.35">
      <c r="A31" s="2" t="s">
        <v>2</v>
      </c>
      <c r="C31" s="2">
        <v>5101480301</v>
      </c>
      <c r="D31" s="6" t="s">
        <v>36</v>
      </c>
      <c r="E31" s="6">
        <v>50977.04</v>
      </c>
      <c r="F31" s="4">
        <f t="shared" si="3"/>
        <v>0.58775260238122218</v>
      </c>
      <c r="G31" s="6">
        <v>28860.1</v>
      </c>
      <c r="H31" s="4">
        <f t="shared" si="4"/>
        <v>-0.10111103194727845</v>
      </c>
      <c r="I31" s="6">
        <v>11544.19</v>
      </c>
      <c r="J31" s="1">
        <f t="shared" si="5"/>
        <v>-0.6404397408150162</v>
      </c>
      <c r="K31" s="6">
        <v>37044.32</v>
      </c>
      <c r="L31" s="1">
        <f t="shared" si="6"/>
        <v>0.15379817038107269</v>
      </c>
      <c r="M31" s="18">
        <f t="shared" si="0"/>
        <v>128425.65</v>
      </c>
      <c r="N31" s="8">
        <f t="shared" si="1"/>
        <v>32106.412499999999</v>
      </c>
      <c r="O31" s="6">
        <v>10649.94</v>
      </c>
      <c r="P31" s="1">
        <f t="shared" si="7"/>
        <v>-0.83030410737545524</v>
      </c>
      <c r="Q31" s="5">
        <v>25415.87</v>
      </c>
      <c r="R31" s="1">
        <f t="shared" si="8"/>
        <v>-0.59502412722706532</v>
      </c>
      <c r="S31" s="6">
        <v>23785.46</v>
      </c>
      <c r="T31" s="1">
        <f t="shared" si="9"/>
        <v>-0.62100304168986831</v>
      </c>
      <c r="U31" s="18">
        <v>188276.92</v>
      </c>
      <c r="V31" s="8">
        <f t="shared" si="2"/>
        <v>62758.973333333335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 x14ac:dyDescent="0.35">
      <c r="A32" s="2" t="s">
        <v>2</v>
      </c>
      <c r="C32" s="2">
        <v>5101480303</v>
      </c>
      <c r="D32" s="6" t="s">
        <v>37</v>
      </c>
      <c r="E32" s="6"/>
      <c r="F32" s="4">
        <v>0</v>
      </c>
      <c r="G32" s="6"/>
      <c r="H32" s="4">
        <v>0</v>
      </c>
      <c r="I32" s="6"/>
      <c r="J32" s="1">
        <v>0</v>
      </c>
      <c r="K32" s="6"/>
      <c r="L32" s="1">
        <v>0</v>
      </c>
      <c r="M32" s="18">
        <f t="shared" si="0"/>
        <v>0</v>
      </c>
      <c r="N32" s="8">
        <f t="shared" si="1"/>
        <v>0</v>
      </c>
      <c r="O32" s="6">
        <v>517.96</v>
      </c>
      <c r="P32" s="1">
        <f t="shared" si="7"/>
        <v>5.408746716119735E-4</v>
      </c>
      <c r="Q32" s="5">
        <v>645.70000000000005</v>
      </c>
      <c r="R32" s="1">
        <f t="shared" si="8"/>
        <v>0.24729562664194119</v>
      </c>
      <c r="S32" s="6">
        <v>389.38</v>
      </c>
      <c r="T32" s="1">
        <f t="shared" si="9"/>
        <v>-0.2478365013135527</v>
      </c>
      <c r="U32" s="18">
        <v>1553.04</v>
      </c>
      <c r="V32" s="8">
        <f t="shared" si="2"/>
        <v>517.67999999999995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 x14ac:dyDescent="0.35">
      <c r="A33" s="2" t="s">
        <v>2</v>
      </c>
      <c r="C33" s="2">
        <v>5101480305</v>
      </c>
      <c r="D33" s="6" t="s">
        <v>38</v>
      </c>
      <c r="E33" s="6">
        <v>79713.59</v>
      </c>
      <c r="F33" s="4">
        <f t="shared" si="3"/>
        <v>-8.6031610093510614E-3</v>
      </c>
      <c r="G33" s="6">
        <v>82051.179999999993</v>
      </c>
      <c r="H33" s="4">
        <f t="shared" si="4"/>
        <v>2.0469414154509299E-2</v>
      </c>
      <c r="I33" s="6">
        <v>75144.5</v>
      </c>
      <c r="J33" s="1">
        <f t="shared" si="5"/>
        <v>-6.5428871444218953E-2</v>
      </c>
      <c r="K33" s="6">
        <v>84712.05</v>
      </c>
      <c r="L33" s="1">
        <f t="shared" si="6"/>
        <v>5.3562618299060533E-2</v>
      </c>
      <c r="M33" s="18">
        <f t="shared" si="0"/>
        <v>321621.32</v>
      </c>
      <c r="N33" s="8">
        <f t="shared" si="1"/>
        <v>80405.33</v>
      </c>
      <c r="O33" s="6">
        <v>83133.33</v>
      </c>
      <c r="P33" s="1">
        <f t="shared" si="7"/>
        <v>-0.5672493721775449</v>
      </c>
      <c r="Q33" s="5">
        <v>88713.43</v>
      </c>
      <c r="R33" s="1">
        <f t="shared" si="8"/>
        <v>-0.53820215635794422</v>
      </c>
      <c r="S33" s="6">
        <v>82845.33</v>
      </c>
      <c r="T33" s="1">
        <f t="shared" si="9"/>
        <v>-0.56874855644951938</v>
      </c>
      <c r="U33" s="18">
        <v>576313.41</v>
      </c>
      <c r="V33" s="8">
        <f t="shared" si="2"/>
        <v>192104.47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 x14ac:dyDescent="0.35">
      <c r="A34" s="2" t="s">
        <v>2</v>
      </c>
      <c r="C34" s="2">
        <v>5101480306</v>
      </c>
      <c r="D34" s="6" t="s">
        <v>39</v>
      </c>
      <c r="E34" s="6"/>
      <c r="F34" s="4">
        <v>0</v>
      </c>
      <c r="G34" s="6"/>
      <c r="H34" s="4">
        <v>0</v>
      </c>
      <c r="I34" s="6"/>
      <c r="J34" s="1">
        <v>0</v>
      </c>
      <c r="K34" s="6"/>
      <c r="L34" s="1">
        <v>0</v>
      </c>
      <c r="M34" s="18">
        <f t="shared" si="0"/>
        <v>0</v>
      </c>
      <c r="N34" s="8">
        <f t="shared" si="1"/>
        <v>0</v>
      </c>
      <c r="O34" s="6">
        <v>6.97</v>
      </c>
      <c r="P34" s="1">
        <f t="shared" si="7"/>
        <v>-0.96170399809527296</v>
      </c>
      <c r="Q34" s="5">
        <v>376.98</v>
      </c>
      <c r="R34" s="1">
        <f t="shared" si="8"/>
        <v>1.0712807457738871</v>
      </c>
      <c r="S34" s="6">
        <v>162.06</v>
      </c>
      <c r="T34" s="1">
        <f t="shared" si="9"/>
        <v>-0.10957674767861392</v>
      </c>
      <c r="U34" s="18">
        <v>546.01</v>
      </c>
      <c r="V34" s="8">
        <f t="shared" si="2"/>
        <v>182.00333333333333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 x14ac:dyDescent="0.35">
      <c r="A35" s="2" t="s">
        <v>2</v>
      </c>
      <c r="C35" s="2">
        <v>5101950400</v>
      </c>
      <c r="D35" s="6" t="s">
        <v>40</v>
      </c>
      <c r="E35" s="6"/>
      <c r="F35" s="4">
        <v>0</v>
      </c>
      <c r="G35" s="6"/>
      <c r="H35" s="4">
        <v>0</v>
      </c>
      <c r="I35" s="6"/>
      <c r="J35" s="1">
        <v>0</v>
      </c>
      <c r="K35" s="6"/>
      <c r="L35" s="1">
        <v>0</v>
      </c>
      <c r="M35" s="18">
        <f t="shared" si="0"/>
        <v>0</v>
      </c>
      <c r="N35" s="8">
        <f t="shared" si="1"/>
        <v>0</v>
      </c>
      <c r="O35" s="6">
        <v>4870.09</v>
      </c>
      <c r="P35" s="1">
        <f t="shared" si="7"/>
        <v>1.9999999999999998</v>
      </c>
      <c r="R35" s="1">
        <f t="shared" si="8"/>
        <v>-1</v>
      </c>
      <c r="S35" s="16"/>
      <c r="T35" s="1">
        <f t="shared" si="9"/>
        <v>-1</v>
      </c>
      <c r="U35" s="18">
        <v>4870.09</v>
      </c>
      <c r="V35" s="8">
        <f t="shared" si="2"/>
        <v>1623.3633333333335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 x14ac:dyDescent="0.35">
      <c r="A36" s="2" t="s">
        <v>2</v>
      </c>
      <c r="C36" s="2">
        <v>5102690100</v>
      </c>
      <c r="D36" s="6" t="s">
        <v>41</v>
      </c>
      <c r="E36" s="6">
        <v>1061.9100000000001</v>
      </c>
      <c r="F36" s="4">
        <f t="shared" si="3"/>
        <v>0.49967165422718707</v>
      </c>
      <c r="G36" s="6">
        <v>555.91999999999996</v>
      </c>
      <c r="H36" s="4">
        <f t="shared" si="4"/>
        <v>-0.21490760420565047</v>
      </c>
      <c r="I36" s="6">
        <v>339.66</v>
      </c>
      <c r="J36" s="1">
        <f t="shared" si="5"/>
        <v>-0.52031860131761976</v>
      </c>
      <c r="K36" s="6">
        <v>874.89</v>
      </c>
      <c r="L36" s="1">
        <f t="shared" si="6"/>
        <v>0.23555455129608308</v>
      </c>
      <c r="M36" s="18">
        <f t="shared" si="0"/>
        <v>2832.38</v>
      </c>
      <c r="N36" s="8">
        <f t="shared" si="1"/>
        <v>708.09500000000003</v>
      </c>
      <c r="O36" s="6">
        <v>521.75</v>
      </c>
      <c r="P36" s="1">
        <f t="shared" si="7"/>
        <v>-0.63719322807050072</v>
      </c>
      <c r="Q36" s="5">
        <v>723.68</v>
      </c>
      <c r="R36" s="1">
        <f t="shared" si="8"/>
        <v>-0.49677814142800192</v>
      </c>
      <c r="S36" s="6">
        <v>236.47</v>
      </c>
      <c r="T36" s="1">
        <f t="shared" si="9"/>
        <v>-0.83556700075099433</v>
      </c>
      <c r="U36" s="18">
        <v>4314.28</v>
      </c>
      <c r="V36" s="8">
        <f t="shared" si="2"/>
        <v>1438.0933333333332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1:39" x14ac:dyDescent="0.35">
      <c r="A37" s="2" t="s">
        <v>2</v>
      </c>
      <c r="C37" s="2">
        <v>5102690200</v>
      </c>
      <c r="D37" s="6" t="s">
        <v>42</v>
      </c>
      <c r="E37" s="6">
        <v>362.55</v>
      </c>
      <c r="F37" s="4">
        <f t="shared" si="3"/>
        <v>0.87937380125447107</v>
      </c>
      <c r="G37" s="6">
        <v>186.3</v>
      </c>
      <c r="H37" s="4">
        <f t="shared" si="4"/>
        <v>-3.4264683012803825E-2</v>
      </c>
      <c r="I37" s="6">
        <v>123.54</v>
      </c>
      <c r="J37" s="1">
        <f t="shared" si="5"/>
        <v>-0.35959773987869986</v>
      </c>
      <c r="K37" s="6">
        <v>99.25</v>
      </c>
      <c r="L37" s="1">
        <f t="shared" si="6"/>
        <v>-0.48551137836296721</v>
      </c>
      <c r="M37" s="18">
        <f t="shared" si="0"/>
        <v>771.64</v>
      </c>
      <c r="N37" s="8">
        <f t="shared" si="1"/>
        <v>192.91</v>
      </c>
      <c r="O37" s="6">
        <v>183.16</v>
      </c>
      <c r="P37" s="1">
        <f t="shared" si="7"/>
        <v>-0.56940003761519653</v>
      </c>
      <c r="Q37" s="5">
        <v>239.5</v>
      </c>
      <c r="R37" s="1">
        <f t="shared" si="8"/>
        <v>-0.43694752680082749</v>
      </c>
      <c r="S37" s="6">
        <v>81.78</v>
      </c>
      <c r="T37" s="1">
        <f t="shared" si="9"/>
        <v>-0.80773932668798187</v>
      </c>
      <c r="U37" s="18">
        <v>1276.08</v>
      </c>
      <c r="V37" s="8">
        <f t="shared" si="2"/>
        <v>425.35999999999996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 x14ac:dyDescent="0.35">
      <c r="A38" s="2" t="s">
        <v>2</v>
      </c>
      <c r="C38" s="2">
        <v>5102690300</v>
      </c>
      <c r="D38" s="6" t="s">
        <v>43</v>
      </c>
      <c r="E38" s="6">
        <v>1290.32</v>
      </c>
      <c r="F38" s="4">
        <f t="shared" si="3"/>
        <v>0.55471011545980609</v>
      </c>
      <c r="G38" s="6">
        <v>0.02</v>
      </c>
      <c r="H38" s="4">
        <f t="shared" si="4"/>
        <v>-0.99997590194501429</v>
      </c>
      <c r="I38" s="6">
        <v>257.32</v>
      </c>
      <c r="J38" s="1">
        <f t="shared" si="5"/>
        <v>-0.68995442455350831</v>
      </c>
      <c r="K38" s="6">
        <v>1772.11</v>
      </c>
      <c r="L38" s="1">
        <f t="shared" si="6"/>
        <v>1.1352202110387166</v>
      </c>
      <c r="M38" s="18">
        <f t="shared" si="0"/>
        <v>3319.7699999999995</v>
      </c>
      <c r="N38" s="8">
        <f t="shared" si="1"/>
        <v>829.94249999999988</v>
      </c>
      <c r="O38" s="6">
        <v>4348.88</v>
      </c>
      <c r="P38" s="1">
        <f t="shared" si="7"/>
        <v>0.21316130831996655</v>
      </c>
      <c r="Q38" s="5">
        <v>2581.73</v>
      </c>
      <c r="R38" s="1">
        <f t="shared" si="8"/>
        <v>-0.27980193876839388</v>
      </c>
      <c r="S38" s="6">
        <v>503.87</v>
      </c>
      <c r="T38" s="1">
        <f t="shared" si="9"/>
        <v>-0.85944068624032366</v>
      </c>
      <c r="U38" s="18">
        <v>10754.25</v>
      </c>
      <c r="V38" s="8">
        <f t="shared" si="2"/>
        <v>3584.75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 x14ac:dyDescent="0.35">
      <c r="A39" s="2" t="s">
        <v>2</v>
      </c>
      <c r="C39" s="2">
        <v>5102690500</v>
      </c>
      <c r="D39" s="6" t="s">
        <v>44</v>
      </c>
      <c r="E39" s="6">
        <v>0</v>
      </c>
      <c r="F39" s="4">
        <v>0</v>
      </c>
      <c r="G39" s="6">
        <v>0</v>
      </c>
      <c r="H39" s="4">
        <v>0</v>
      </c>
      <c r="I39" s="6">
        <v>0</v>
      </c>
      <c r="J39" s="1">
        <v>0</v>
      </c>
      <c r="K39" s="6">
        <v>0</v>
      </c>
      <c r="L39" s="1">
        <v>0</v>
      </c>
      <c r="M39" s="18">
        <f t="shared" si="0"/>
        <v>0</v>
      </c>
      <c r="N39" s="8">
        <f t="shared" si="1"/>
        <v>0</v>
      </c>
      <c r="O39" s="6">
        <v>0</v>
      </c>
      <c r="P39" s="1">
        <v>0</v>
      </c>
      <c r="R39" s="1">
        <v>0</v>
      </c>
      <c r="S39" s="16"/>
      <c r="T39" s="1">
        <v>0</v>
      </c>
      <c r="U39" s="18">
        <v>0</v>
      </c>
      <c r="V39" s="8">
        <f t="shared" si="2"/>
        <v>0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pans="1:39" x14ac:dyDescent="0.35">
      <c r="A40" s="2" t="s">
        <v>2</v>
      </c>
      <c r="C40" s="2">
        <v>5103390100</v>
      </c>
      <c r="D40" s="6" t="s">
        <v>45</v>
      </c>
      <c r="E40" s="6">
        <v>363469.64</v>
      </c>
      <c r="F40" s="4">
        <f t="shared" si="3"/>
        <v>-0.16586744183446042</v>
      </c>
      <c r="G40" s="6">
        <v>441003.82</v>
      </c>
      <c r="H40" s="4">
        <f t="shared" si="4"/>
        <v>1.2067045097288285E-2</v>
      </c>
      <c r="I40" s="6">
        <v>473953.95</v>
      </c>
      <c r="J40" s="1">
        <f t="shared" si="5"/>
        <v>8.768484973370054E-2</v>
      </c>
      <c r="K40" s="6">
        <v>464555.22</v>
      </c>
      <c r="L40" s="1">
        <f t="shared" si="6"/>
        <v>6.6115547003471858E-2</v>
      </c>
      <c r="M40" s="18">
        <f t="shared" si="0"/>
        <v>1742982.63</v>
      </c>
      <c r="N40" s="8">
        <f t="shared" si="1"/>
        <v>435745.65749999997</v>
      </c>
      <c r="O40" s="6">
        <v>460273.9</v>
      </c>
      <c r="P40" s="1">
        <f t="shared" si="7"/>
        <v>-0.5515931411832109</v>
      </c>
      <c r="Q40" s="5">
        <v>422647.65</v>
      </c>
      <c r="R40" s="1">
        <f t="shared" si="8"/>
        <v>-0.58824928999276793</v>
      </c>
      <c r="S40" s="6">
        <v>453490.51</v>
      </c>
      <c r="T40" s="1">
        <f t="shared" si="9"/>
        <v>-0.55820163799788847</v>
      </c>
      <c r="U40" s="18">
        <v>3079394.69</v>
      </c>
      <c r="V40" s="8">
        <f t="shared" si="2"/>
        <v>1026464.8966666666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1:39" x14ac:dyDescent="0.35">
      <c r="A41" s="2" t="s">
        <v>2</v>
      </c>
      <c r="C41" s="2">
        <v>5103390103</v>
      </c>
      <c r="D41" s="6" t="s">
        <v>46</v>
      </c>
      <c r="E41" s="6">
        <v>104683.18</v>
      </c>
      <c r="F41" s="4">
        <f t="shared" si="3"/>
        <v>2.5209666783192367E-2</v>
      </c>
      <c r="G41" s="6">
        <v>100471.78</v>
      </c>
      <c r="H41" s="4">
        <f t="shared" si="4"/>
        <v>-1.6034475692138728E-2</v>
      </c>
      <c r="I41" s="6">
        <v>103637.71</v>
      </c>
      <c r="J41" s="1">
        <f t="shared" si="5"/>
        <v>1.4970906837881092E-2</v>
      </c>
      <c r="K41" s="6">
        <v>99643.51</v>
      </c>
      <c r="L41" s="1">
        <f t="shared" si="6"/>
        <v>-2.4146097928934733E-2</v>
      </c>
      <c r="M41" s="18">
        <f t="shared" si="0"/>
        <v>408436.18</v>
      </c>
      <c r="N41" s="8">
        <f t="shared" si="1"/>
        <v>102109.045</v>
      </c>
      <c r="O41" s="6">
        <v>101984.98</v>
      </c>
      <c r="P41" s="1">
        <f t="shared" si="7"/>
        <v>-0.58481213435780777</v>
      </c>
      <c r="Q41" s="5">
        <v>111122.79</v>
      </c>
      <c r="R41" s="1">
        <f t="shared" si="8"/>
        <v>-0.54761148157007489</v>
      </c>
      <c r="S41" s="6">
        <v>115363.28</v>
      </c>
      <c r="T41" s="1">
        <f t="shared" si="9"/>
        <v>-0.53034815522165524</v>
      </c>
      <c r="U41" s="18">
        <v>736907.23</v>
      </c>
      <c r="V41" s="8">
        <f t="shared" si="2"/>
        <v>245635.74333333332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1:39" x14ac:dyDescent="0.35">
      <c r="A42" s="2" t="s">
        <v>2</v>
      </c>
      <c r="C42" s="2">
        <v>5105060100</v>
      </c>
      <c r="D42" s="6" t="s">
        <v>47</v>
      </c>
      <c r="E42" s="6">
        <v>547897.30000000005</v>
      </c>
      <c r="F42" s="4">
        <f t="shared" si="3"/>
        <v>-1.9767152939427733E-2</v>
      </c>
      <c r="G42" s="6">
        <v>548538.34</v>
      </c>
      <c r="H42" s="4">
        <f t="shared" si="4"/>
        <v>-1.8620280223903069E-2</v>
      </c>
      <c r="I42" s="6">
        <v>554610.78</v>
      </c>
      <c r="J42" s="1">
        <f t="shared" si="5"/>
        <v>-7.7561910053495923E-3</v>
      </c>
      <c r="K42" s="6">
        <v>584737.87</v>
      </c>
      <c r="L42" s="1">
        <f t="shared" si="6"/>
        <v>4.6143624168680397E-2</v>
      </c>
      <c r="M42" s="18">
        <f t="shared" si="0"/>
        <v>2235784.29</v>
      </c>
      <c r="N42" s="8">
        <f t="shared" si="1"/>
        <v>558946.07250000001</v>
      </c>
      <c r="O42" s="6">
        <v>572388.32999999996</v>
      </c>
      <c r="P42" s="1">
        <f t="shared" si="7"/>
        <v>-0.56643622100196234</v>
      </c>
      <c r="Q42" s="5">
        <v>578694.86</v>
      </c>
      <c r="R42" s="1">
        <f t="shared" si="8"/>
        <v>-0.56165924908297771</v>
      </c>
      <c r="S42" s="6">
        <v>573714.73</v>
      </c>
      <c r="T42" s="1">
        <f t="shared" si="9"/>
        <v>-0.56543152023096122</v>
      </c>
      <c r="U42" s="18">
        <v>3960582.21</v>
      </c>
      <c r="V42" s="8">
        <f t="shared" si="2"/>
        <v>1320194.07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1:39" x14ac:dyDescent="0.35">
      <c r="A43" s="2" t="s">
        <v>2</v>
      </c>
      <c r="C43" s="2">
        <v>5105690400</v>
      </c>
      <c r="D43" s="6" t="s">
        <v>48</v>
      </c>
      <c r="E43" s="6"/>
      <c r="F43" s="4">
        <f t="shared" si="3"/>
        <v>-1</v>
      </c>
      <c r="G43" s="6">
        <v>3239.96</v>
      </c>
      <c r="H43" s="4">
        <f t="shared" si="4"/>
        <v>0.98163903143138487</v>
      </c>
      <c r="I43" s="6">
        <v>3300</v>
      </c>
      <c r="J43" s="1">
        <f t="shared" si="5"/>
        <v>1.018360968568615</v>
      </c>
      <c r="K43" s="6"/>
      <c r="L43" s="1">
        <f t="shared" si="6"/>
        <v>-1</v>
      </c>
      <c r="M43" s="18">
        <f t="shared" si="0"/>
        <v>6539.96</v>
      </c>
      <c r="N43" s="8">
        <f t="shared" si="1"/>
        <v>1634.99</v>
      </c>
      <c r="O43" s="6"/>
      <c r="P43" s="1">
        <v>0</v>
      </c>
      <c r="R43" s="1">
        <v>0</v>
      </c>
      <c r="S43" s="16"/>
      <c r="T43" s="1">
        <v>0</v>
      </c>
      <c r="U43" s="18">
        <v>6539.96</v>
      </c>
      <c r="V43" s="8">
        <f t="shared" si="2"/>
        <v>2179.9866666666667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1:39" x14ac:dyDescent="0.35">
      <c r="A44" s="2" t="s">
        <v>2</v>
      </c>
      <c r="C44" s="2">
        <v>5105840100</v>
      </c>
      <c r="D44" s="6" t="s">
        <v>49</v>
      </c>
      <c r="E44" s="6"/>
      <c r="F44" s="4">
        <f t="shared" si="3"/>
        <v>-1</v>
      </c>
      <c r="G44" s="6"/>
      <c r="H44" s="4">
        <f t="shared" si="4"/>
        <v>-1</v>
      </c>
      <c r="I44" s="6">
        <v>13430</v>
      </c>
      <c r="J44" s="1">
        <f t="shared" si="5"/>
        <v>3</v>
      </c>
      <c r="K44" s="6"/>
      <c r="L44" s="1">
        <f t="shared" si="6"/>
        <v>-1</v>
      </c>
      <c r="M44" s="18">
        <f t="shared" si="0"/>
        <v>13430</v>
      </c>
      <c r="N44" s="8">
        <f t="shared" si="1"/>
        <v>3357.5</v>
      </c>
      <c r="O44" s="6">
        <v>14705</v>
      </c>
      <c r="P44" s="1">
        <f t="shared" si="7"/>
        <v>0.5679758308157099</v>
      </c>
      <c r="R44" s="1">
        <f t="shared" si="8"/>
        <v>-1</v>
      </c>
      <c r="S44" s="16"/>
      <c r="T44" s="1">
        <f t="shared" si="9"/>
        <v>-1</v>
      </c>
      <c r="U44" s="18">
        <v>28135</v>
      </c>
      <c r="V44" s="8">
        <f t="shared" si="2"/>
        <v>9378.3333333333339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39" x14ac:dyDescent="0.35">
      <c r="A45" s="2" t="s">
        <v>2</v>
      </c>
      <c r="C45" s="2">
        <v>5105950100</v>
      </c>
      <c r="D45" s="6" t="s">
        <v>50</v>
      </c>
      <c r="E45" s="6"/>
      <c r="F45" s="4">
        <v>0</v>
      </c>
      <c r="G45" s="6"/>
      <c r="H45" s="4">
        <v>0</v>
      </c>
      <c r="I45" s="6"/>
      <c r="J45" s="1">
        <v>0</v>
      </c>
      <c r="K45" s="6"/>
      <c r="L45" s="1">
        <v>0</v>
      </c>
      <c r="M45" s="18">
        <f t="shared" si="0"/>
        <v>0</v>
      </c>
      <c r="N45" s="8">
        <f t="shared" si="1"/>
        <v>0</v>
      </c>
      <c r="O45" s="6">
        <v>0</v>
      </c>
      <c r="P45" s="1">
        <v>0</v>
      </c>
      <c r="R45" s="1">
        <v>0</v>
      </c>
      <c r="S45" s="16"/>
      <c r="T45" s="1">
        <v>0</v>
      </c>
      <c r="U45" s="18">
        <v>0</v>
      </c>
      <c r="V45" s="8">
        <f t="shared" si="2"/>
        <v>0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 x14ac:dyDescent="0.35">
      <c r="A46" s="2" t="s">
        <v>2</v>
      </c>
      <c r="C46" s="2">
        <v>5105950401</v>
      </c>
      <c r="D46" s="6" t="s">
        <v>51</v>
      </c>
      <c r="E46" s="6">
        <v>26005.99</v>
      </c>
      <c r="F46" s="4">
        <f t="shared" si="3"/>
        <v>0.35402730339886701</v>
      </c>
      <c r="G46" s="6">
        <v>15297.66</v>
      </c>
      <c r="H46" s="4">
        <f t="shared" si="4"/>
        <v>-0.20351237087637461</v>
      </c>
      <c r="I46" s="6">
        <v>16435.09</v>
      </c>
      <c r="J46" s="1">
        <f t="shared" si="5"/>
        <v>-0.14429096551149623</v>
      </c>
      <c r="K46" s="6">
        <v>19086.86</v>
      </c>
      <c r="L46" s="1">
        <f t="shared" si="6"/>
        <v>-6.2239670109963795E-3</v>
      </c>
      <c r="M46" s="18">
        <f t="shared" si="0"/>
        <v>76825.600000000006</v>
      </c>
      <c r="N46" s="8">
        <f t="shared" si="1"/>
        <v>19206.400000000001</v>
      </c>
      <c r="O46" s="6">
        <v>26348.57</v>
      </c>
      <c r="P46" s="1">
        <f t="shared" si="7"/>
        <v>-0.2812338570047857</v>
      </c>
      <c r="R46" s="1">
        <f t="shared" si="8"/>
        <v>-1</v>
      </c>
      <c r="S46" s="6">
        <v>6800</v>
      </c>
      <c r="T46" s="1">
        <f t="shared" si="9"/>
        <v>-0.81450189621799374</v>
      </c>
      <c r="U46" s="18">
        <v>109974.17</v>
      </c>
      <c r="V46" s="8">
        <f t="shared" si="2"/>
        <v>36658.056666666664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1:39" x14ac:dyDescent="0.35">
      <c r="A47" s="2" t="s">
        <v>2</v>
      </c>
      <c r="C47" s="2">
        <v>5106950500</v>
      </c>
      <c r="D47" s="6" t="s">
        <v>52</v>
      </c>
      <c r="E47" s="6">
        <v>3299</v>
      </c>
      <c r="F47" s="4">
        <f t="shared" si="3"/>
        <v>0.83495934054931964</v>
      </c>
      <c r="G47" s="6">
        <v>2541.85</v>
      </c>
      <c r="H47" s="4">
        <f t="shared" si="4"/>
        <v>0.41381976349660138</v>
      </c>
      <c r="I47" s="6">
        <v>1350.59</v>
      </c>
      <c r="J47" s="1">
        <f t="shared" si="5"/>
        <v>-0.24877910404592135</v>
      </c>
      <c r="K47" s="6"/>
      <c r="L47" s="1">
        <f t="shared" si="6"/>
        <v>-1</v>
      </c>
      <c r="M47" s="18">
        <f t="shared" si="0"/>
        <v>7191.4400000000005</v>
      </c>
      <c r="N47" s="8">
        <f t="shared" si="1"/>
        <v>1797.8600000000001</v>
      </c>
      <c r="O47" s="6">
        <v>3349.61</v>
      </c>
      <c r="P47" s="1">
        <f t="shared" si="7"/>
        <v>-0.45878300865509414</v>
      </c>
      <c r="Q47" s="5">
        <v>6646.05</v>
      </c>
      <c r="R47" s="1">
        <f t="shared" si="8"/>
        <v>7.384298032541442E-2</v>
      </c>
      <c r="S47" s="6">
        <v>1380</v>
      </c>
      <c r="T47" s="1">
        <f t="shared" si="9"/>
        <v>-0.77702495273898453</v>
      </c>
      <c r="U47" s="18">
        <v>18567.099999999999</v>
      </c>
      <c r="V47" s="8">
        <f t="shared" si="2"/>
        <v>6189.0333333333328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 x14ac:dyDescent="0.35">
      <c r="A48" s="2" t="s">
        <v>2</v>
      </c>
      <c r="C48" s="2">
        <v>5106950501</v>
      </c>
      <c r="D48" s="6" t="s">
        <v>53</v>
      </c>
      <c r="E48" s="6">
        <v>646.04</v>
      </c>
      <c r="F48" s="4">
        <f t="shared" si="3"/>
        <v>-0.82579092025102352</v>
      </c>
      <c r="G48" s="6">
        <v>3068.12</v>
      </c>
      <c r="H48" s="4">
        <f t="shared" si="4"/>
        <v>-0.17266057556895892</v>
      </c>
      <c r="I48" s="6">
        <v>5321.32</v>
      </c>
      <c r="J48" s="1">
        <f t="shared" si="5"/>
        <v>0.43493012855213858</v>
      </c>
      <c r="K48" s="6">
        <v>5798.19</v>
      </c>
      <c r="L48" s="1">
        <f t="shared" si="6"/>
        <v>0.56352136726784408</v>
      </c>
      <c r="M48" s="18">
        <f t="shared" si="0"/>
        <v>14833.669999999998</v>
      </c>
      <c r="N48" s="8">
        <f t="shared" si="1"/>
        <v>3708.4174999999996</v>
      </c>
      <c r="O48" s="6">
        <v>3712.58</v>
      </c>
      <c r="P48" s="1">
        <f t="shared" si="7"/>
        <v>-0.41761319368552052</v>
      </c>
      <c r="Q48" s="5">
        <v>111.44</v>
      </c>
      <c r="R48" s="1">
        <f t="shared" si="8"/>
        <v>-0.98251857584329894</v>
      </c>
      <c r="S48" s="6">
        <v>466.61</v>
      </c>
      <c r="T48" s="1">
        <f t="shared" si="9"/>
        <v>-0.926803595425715</v>
      </c>
      <c r="U48" s="18">
        <v>19124.3</v>
      </c>
      <c r="V48" s="8">
        <f t="shared" si="2"/>
        <v>6374.7666666666664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 x14ac:dyDescent="0.35">
      <c r="A49" s="2" t="s">
        <v>2</v>
      </c>
      <c r="C49" s="2">
        <v>5106950502</v>
      </c>
      <c r="D49" s="6" t="s">
        <v>54</v>
      </c>
      <c r="E49" s="6">
        <v>3234.88</v>
      </c>
      <c r="F49" s="4">
        <f t="shared" si="3"/>
        <v>1.2688612664362653</v>
      </c>
      <c r="G49" s="6">
        <v>1341.86</v>
      </c>
      <c r="H49" s="4">
        <f t="shared" si="4"/>
        <v>-5.8854059816695954E-2</v>
      </c>
      <c r="I49" s="6">
        <v>1126.3499999999999</v>
      </c>
      <c r="J49" s="1">
        <f t="shared" si="5"/>
        <v>-0.21000720661956948</v>
      </c>
      <c r="K49" s="6"/>
      <c r="L49" s="1">
        <f t="shared" si="6"/>
        <v>-1</v>
      </c>
      <c r="M49" s="18">
        <f t="shared" si="0"/>
        <v>5703.09</v>
      </c>
      <c r="N49" s="8">
        <f t="shared" si="1"/>
        <v>1425.7725</v>
      </c>
      <c r="O49" s="6">
        <v>1414.1</v>
      </c>
      <c r="P49" s="1">
        <f t="shared" si="7"/>
        <v>-0.40393610399609958</v>
      </c>
      <c r="R49" s="1">
        <f t="shared" si="8"/>
        <v>-1</v>
      </c>
      <c r="S49" s="16"/>
      <c r="T49" s="1">
        <f t="shared" si="9"/>
        <v>-1</v>
      </c>
      <c r="U49" s="18">
        <v>7117.19</v>
      </c>
      <c r="V49" s="8">
        <f t="shared" si="2"/>
        <v>2372.3966666666665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 x14ac:dyDescent="0.35">
      <c r="A50" s="2" t="s">
        <v>2</v>
      </c>
      <c r="C50" s="2">
        <v>5106950505</v>
      </c>
      <c r="D50" s="6" t="s">
        <v>55</v>
      </c>
      <c r="E50" s="6"/>
      <c r="F50" s="4">
        <v>0</v>
      </c>
      <c r="G50" s="6"/>
      <c r="H50" s="4">
        <v>0</v>
      </c>
      <c r="I50" s="6"/>
      <c r="J50" s="1">
        <v>0</v>
      </c>
      <c r="K50" s="6"/>
      <c r="L50" s="1">
        <v>0</v>
      </c>
      <c r="M50" s="18">
        <f t="shared" si="0"/>
        <v>0</v>
      </c>
      <c r="N50" s="8">
        <f t="shared" si="1"/>
        <v>0</v>
      </c>
      <c r="O50" s="6">
        <v>8240</v>
      </c>
      <c r="P50" s="1">
        <f t="shared" si="7"/>
        <v>3.345604927143854E-2</v>
      </c>
      <c r="Q50" s="5">
        <v>7698.41</v>
      </c>
      <c r="R50" s="1">
        <f t="shared" si="8"/>
        <v>-3.4469856277702063E-2</v>
      </c>
      <c r="S50" s="6">
        <v>7981.33</v>
      </c>
      <c r="T50" s="1">
        <f t="shared" si="9"/>
        <v>1.013807006263408E-3</v>
      </c>
      <c r="U50" s="18">
        <v>23919.74</v>
      </c>
      <c r="V50" s="8">
        <f t="shared" si="2"/>
        <v>7973.2466666666669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 x14ac:dyDescent="0.35">
      <c r="A51" s="2" t="s">
        <v>2</v>
      </c>
      <c r="C51" s="2">
        <v>5106950506</v>
      </c>
      <c r="D51" s="6" t="s">
        <v>56</v>
      </c>
      <c r="E51" s="6"/>
      <c r="F51" s="4">
        <v>0</v>
      </c>
      <c r="G51" s="6"/>
      <c r="H51" s="4">
        <v>0</v>
      </c>
      <c r="I51" s="6"/>
      <c r="J51" s="1">
        <v>0</v>
      </c>
      <c r="K51" s="6"/>
      <c r="L51" s="1">
        <v>0</v>
      </c>
      <c r="M51" s="18">
        <f t="shared" si="0"/>
        <v>0</v>
      </c>
      <c r="N51" s="8">
        <f t="shared" si="1"/>
        <v>0</v>
      </c>
      <c r="O51" s="6">
        <v>15346.66</v>
      </c>
      <c r="P51" s="1">
        <f t="shared" si="7"/>
        <v>1.8522524059479016E-3</v>
      </c>
      <c r="Q51" s="5">
        <v>14490</v>
      </c>
      <c r="R51" s="1">
        <f t="shared" si="8"/>
        <v>-5.4071756501923855E-2</v>
      </c>
      <c r="S51" s="6">
        <v>16118.2</v>
      </c>
      <c r="T51" s="1">
        <f t="shared" si="9"/>
        <v>5.2219504095975956E-2</v>
      </c>
      <c r="U51" s="18">
        <v>45954.86</v>
      </c>
      <c r="V51" s="8">
        <f t="shared" si="2"/>
        <v>15318.286666666667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 x14ac:dyDescent="0.35">
      <c r="A52" s="2" t="s">
        <v>2</v>
      </c>
      <c r="C52" s="2">
        <v>5106950550</v>
      </c>
      <c r="D52" s="6" t="s">
        <v>57</v>
      </c>
      <c r="E52" s="6"/>
      <c r="F52" s="4">
        <f t="shared" si="3"/>
        <v>-1</v>
      </c>
      <c r="G52" s="6">
        <v>3585</v>
      </c>
      <c r="H52" s="4">
        <f t="shared" si="4"/>
        <v>3</v>
      </c>
      <c r="I52" s="6"/>
      <c r="J52" s="1">
        <f t="shared" si="5"/>
        <v>-1</v>
      </c>
      <c r="K52" s="6"/>
      <c r="L52" s="1">
        <f t="shared" si="6"/>
        <v>-1</v>
      </c>
      <c r="M52" s="18">
        <f t="shared" si="0"/>
        <v>3585</v>
      </c>
      <c r="N52" s="8">
        <f t="shared" si="1"/>
        <v>896.25</v>
      </c>
      <c r="O52" s="6"/>
      <c r="P52" s="1">
        <v>0</v>
      </c>
      <c r="R52" s="1">
        <v>0</v>
      </c>
      <c r="S52" s="16"/>
      <c r="T52" s="1">
        <v>0</v>
      </c>
      <c r="U52" s="18">
        <v>3585</v>
      </c>
      <c r="V52" s="8">
        <f t="shared" si="2"/>
        <v>1195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 x14ac:dyDescent="0.35">
      <c r="A53" s="2" t="s">
        <v>2</v>
      </c>
      <c r="D53" s="6" t="s">
        <v>58</v>
      </c>
      <c r="E53" s="6">
        <v>1875.46</v>
      </c>
      <c r="F53" s="4">
        <f t="shared" si="3"/>
        <v>-0.3601400182016839</v>
      </c>
      <c r="G53" s="6"/>
      <c r="H53" s="4">
        <f t="shared" si="4"/>
        <v>-1</v>
      </c>
      <c r="I53" s="6">
        <v>2171.06</v>
      </c>
      <c r="J53" s="1">
        <f t="shared" si="5"/>
        <v>-0.25928870139429677</v>
      </c>
      <c r="K53" s="6">
        <v>7677.67</v>
      </c>
      <c r="L53" s="1">
        <f t="shared" si="6"/>
        <v>1.6194287195959804</v>
      </c>
      <c r="M53" s="18">
        <f t="shared" si="0"/>
        <v>11724.19</v>
      </c>
      <c r="N53" s="8">
        <f t="shared" si="1"/>
        <v>2931.0475000000001</v>
      </c>
      <c r="O53" s="6">
        <v>5950.84</v>
      </c>
      <c r="P53" s="1">
        <f t="shared" si="7"/>
        <v>-0.35844657458829587</v>
      </c>
      <c r="Q53" s="5">
        <v>6773</v>
      </c>
      <c r="R53" s="1">
        <f t="shared" si="8"/>
        <v>-0.26981042166929847</v>
      </c>
      <c r="S53" s="6">
        <v>3378.99</v>
      </c>
      <c r="T53" s="1">
        <f t="shared" si="9"/>
        <v>-0.63571485556124951</v>
      </c>
      <c r="U53" s="18">
        <v>27827.02</v>
      </c>
      <c r="V53" s="8">
        <f t="shared" si="2"/>
        <v>9275.6733333333341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 x14ac:dyDescent="0.35">
      <c r="A54" s="2" t="s">
        <v>2</v>
      </c>
      <c r="C54" s="2">
        <v>5135500200</v>
      </c>
      <c r="D54" s="6" t="s">
        <v>59</v>
      </c>
      <c r="E54" s="6">
        <v>1945.46</v>
      </c>
      <c r="F54" s="4">
        <f t="shared" si="3"/>
        <v>-0.46723153243573717</v>
      </c>
      <c r="G54" s="6">
        <v>4781.46</v>
      </c>
      <c r="H54" s="4">
        <f t="shared" si="4"/>
        <v>0.30941325800572628</v>
      </c>
      <c r="I54" s="6">
        <v>4378.42</v>
      </c>
      <c r="J54" s="1">
        <f t="shared" si="5"/>
        <v>0.19903987424707767</v>
      </c>
      <c r="K54" s="6">
        <v>3501.08</v>
      </c>
      <c r="L54" s="1">
        <f t="shared" si="6"/>
        <v>-4.1221599817066766E-2</v>
      </c>
      <c r="M54" s="18">
        <f t="shared" si="0"/>
        <v>14606.42</v>
      </c>
      <c r="N54" s="8">
        <f t="shared" si="1"/>
        <v>3651.605</v>
      </c>
      <c r="O54" s="6">
        <v>3576.58</v>
      </c>
      <c r="P54" s="1">
        <f t="shared" si="7"/>
        <v>-0.53777917543493103</v>
      </c>
      <c r="Q54" s="5">
        <v>2843.07</v>
      </c>
      <c r="R54" s="1">
        <f t="shared" si="8"/>
        <v>-0.63257464961046284</v>
      </c>
      <c r="S54" s="6">
        <v>2187.38</v>
      </c>
      <c r="T54" s="1">
        <f t="shared" si="9"/>
        <v>-0.71731302326883761</v>
      </c>
      <c r="U54" s="18">
        <v>23213.45</v>
      </c>
      <c r="V54" s="8">
        <f t="shared" si="2"/>
        <v>7737.8166666666666</v>
      </c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 x14ac:dyDescent="0.35">
      <c r="A55" s="2" t="s">
        <v>2</v>
      </c>
      <c r="B55" s="2" t="s">
        <v>60</v>
      </c>
      <c r="C55" s="2">
        <v>5106950300</v>
      </c>
      <c r="D55" s="6" t="s">
        <v>61</v>
      </c>
      <c r="E55" s="6">
        <v>57353.440000000002</v>
      </c>
      <c r="F55" s="4">
        <f t="shared" si="3"/>
        <v>-0.12467110363882999</v>
      </c>
      <c r="G55" s="6">
        <v>59763.46</v>
      </c>
      <c r="H55" s="4">
        <f t="shared" si="4"/>
        <v>-8.7889349191174471E-2</v>
      </c>
      <c r="I55" s="6">
        <v>61430.1</v>
      </c>
      <c r="J55" s="1">
        <f t="shared" si="5"/>
        <v>-6.2453069312733353E-2</v>
      </c>
      <c r="K55" s="6">
        <v>83541.64</v>
      </c>
      <c r="L55" s="1">
        <f t="shared" si="6"/>
        <v>0.27501352214273761</v>
      </c>
      <c r="M55" s="18">
        <f t="shared" si="0"/>
        <v>262088.64</v>
      </c>
      <c r="N55" s="8">
        <f t="shared" si="1"/>
        <v>65522.16</v>
      </c>
      <c r="O55" s="6">
        <v>68374.25</v>
      </c>
      <c r="P55" s="1">
        <f t="shared" si="7"/>
        <v>-0.56940756947917304</v>
      </c>
      <c r="Q55" s="5">
        <v>65217.94</v>
      </c>
      <c r="R55" s="1">
        <f t="shared" si="8"/>
        <v>-0.58928468980410809</v>
      </c>
      <c r="S55" s="6">
        <v>80692.5</v>
      </c>
      <c r="T55" s="1">
        <f t="shared" si="9"/>
        <v>-0.49183238280782854</v>
      </c>
      <c r="U55" s="18">
        <v>476373.33</v>
      </c>
      <c r="V55" s="8">
        <f t="shared" si="2"/>
        <v>158791.11000000002</v>
      </c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x14ac:dyDescent="0.35">
      <c r="A56" s="2" t="s">
        <v>2</v>
      </c>
      <c r="C56" s="2">
        <v>5155150100</v>
      </c>
      <c r="D56" s="6" t="s">
        <v>62</v>
      </c>
      <c r="E56" s="6">
        <v>125.31</v>
      </c>
      <c r="F56" s="4">
        <f t="shared" si="3"/>
        <v>-0.96323535344274325</v>
      </c>
      <c r="G56" s="6">
        <v>5567.33</v>
      </c>
      <c r="H56" s="4">
        <f t="shared" si="4"/>
        <v>0.6333965343357475</v>
      </c>
      <c r="I56" s="6">
        <v>3489.76</v>
      </c>
      <c r="J56" s="1">
        <f t="shared" si="5"/>
        <v>2.3859173008159824E-2</v>
      </c>
      <c r="K56" s="6">
        <v>4451.3500000000004</v>
      </c>
      <c r="L56" s="1">
        <f t="shared" si="6"/>
        <v>0.30597964609883554</v>
      </c>
      <c r="M56" s="18">
        <f t="shared" si="0"/>
        <v>13633.750000000002</v>
      </c>
      <c r="N56" s="8">
        <f t="shared" si="1"/>
        <v>3408.4375000000005</v>
      </c>
      <c r="O56" s="6">
        <v>2575.48</v>
      </c>
      <c r="P56" s="1">
        <f t="shared" si="7"/>
        <v>-0.64223299464861783</v>
      </c>
      <c r="Q56" s="5">
        <v>4954.8500000000004</v>
      </c>
      <c r="R56" s="1">
        <f t="shared" si="8"/>
        <v>-0.31170816839373794</v>
      </c>
      <c r="S56" s="6">
        <v>432.21</v>
      </c>
      <c r="T56" s="1">
        <f t="shared" si="9"/>
        <v>-0.93996052099689342</v>
      </c>
      <c r="U56" s="18">
        <v>21596.29</v>
      </c>
      <c r="V56" s="8">
        <f t="shared" si="2"/>
        <v>7198.7633333333333</v>
      </c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 x14ac:dyDescent="0.35">
      <c r="A57" s="2" t="s">
        <v>2</v>
      </c>
      <c r="C57" s="2">
        <v>5155950100</v>
      </c>
      <c r="D57" s="6" t="s">
        <v>63</v>
      </c>
      <c r="E57" s="6">
        <v>103.72</v>
      </c>
      <c r="F57" s="4">
        <f t="shared" si="3"/>
        <v>5.460091509913579E-2</v>
      </c>
      <c r="G57" s="6">
        <v>0</v>
      </c>
      <c r="H57" s="4">
        <f t="shared" si="4"/>
        <v>-1</v>
      </c>
      <c r="I57" s="6">
        <v>289.68</v>
      </c>
      <c r="J57" s="1">
        <f t="shared" si="5"/>
        <v>1.9453990849008644</v>
      </c>
      <c r="K57" s="6">
        <v>0</v>
      </c>
      <c r="L57" s="1">
        <f t="shared" si="6"/>
        <v>-1</v>
      </c>
      <c r="M57" s="18">
        <f t="shared" si="0"/>
        <v>393.4</v>
      </c>
      <c r="N57" s="8">
        <f t="shared" si="1"/>
        <v>98.35</v>
      </c>
      <c r="O57" s="6"/>
      <c r="P57" s="1">
        <v>0</v>
      </c>
      <c r="Q57" s="5">
        <v>0</v>
      </c>
      <c r="R57" s="1">
        <v>0</v>
      </c>
      <c r="S57" s="6">
        <v>0</v>
      </c>
      <c r="T57" s="1">
        <v>0</v>
      </c>
      <c r="U57" s="18">
        <v>393.4</v>
      </c>
      <c r="V57" s="8">
        <f t="shared" si="2"/>
        <v>131.13333333333333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 x14ac:dyDescent="0.35">
      <c r="A58" s="2" t="s">
        <v>2</v>
      </c>
      <c r="C58" s="2">
        <v>5165100100</v>
      </c>
      <c r="D58" s="6" t="s">
        <v>64</v>
      </c>
      <c r="E58" s="6">
        <v>18368</v>
      </c>
      <c r="F58" s="4">
        <f t="shared" si="3"/>
        <v>0.51459179903952734</v>
      </c>
      <c r="G58" s="6">
        <v>12294.32</v>
      </c>
      <c r="H58" s="4">
        <f t="shared" si="4"/>
        <v>1.3767217267402054E-2</v>
      </c>
      <c r="I58" s="6">
        <v>5446.41</v>
      </c>
      <c r="J58" s="1">
        <f t="shared" si="5"/>
        <v>-0.55089895904797082</v>
      </c>
      <c r="K58" s="6">
        <v>12400.71</v>
      </c>
      <c r="L58" s="1">
        <f t="shared" si="6"/>
        <v>2.2539942741041777E-2</v>
      </c>
      <c r="M58" s="18">
        <f t="shared" si="0"/>
        <v>48509.439999999995</v>
      </c>
      <c r="N58" s="8">
        <f t="shared" si="1"/>
        <v>12127.359999999999</v>
      </c>
      <c r="O58" s="6">
        <v>6578.03</v>
      </c>
      <c r="P58" s="1">
        <f t="shared" si="7"/>
        <v>-0.70654100956927135</v>
      </c>
      <c r="Q58" s="5">
        <v>12229.06</v>
      </c>
      <c r="R58" s="1">
        <f t="shared" si="8"/>
        <v>-0.45443733131092329</v>
      </c>
      <c r="S58" s="6">
        <v>-70.03</v>
      </c>
      <c r="T58" s="1">
        <f t="shared" si="9"/>
        <v>-1.0031241774664852</v>
      </c>
      <c r="U58" s="18">
        <v>67246.5</v>
      </c>
      <c r="V58" s="8">
        <f t="shared" si="2"/>
        <v>22415.5</v>
      </c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 x14ac:dyDescent="0.35">
      <c r="A59" s="2" t="s">
        <v>2</v>
      </c>
      <c r="B59" s="2" t="s">
        <v>65</v>
      </c>
      <c r="C59" s="2">
        <v>5195150100</v>
      </c>
      <c r="D59" s="6" t="s">
        <v>66</v>
      </c>
      <c r="E59" s="6">
        <v>45783.32</v>
      </c>
      <c r="F59" s="4">
        <f t="shared" si="3"/>
        <v>-0.14418638037184828</v>
      </c>
      <c r="G59" s="6">
        <v>52547.56</v>
      </c>
      <c r="H59" s="4">
        <f t="shared" si="4"/>
        <v>-1.7744507689099898E-2</v>
      </c>
      <c r="I59" s="6">
        <v>60110.1</v>
      </c>
      <c r="J59" s="1">
        <f t="shared" si="5"/>
        <v>0.12361974311190543</v>
      </c>
      <c r="K59" s="6">
        <v>55546.36</v>
      </c>
      <c r="L59" s="1">
        <f t="shared" si="6"/>
        <v>3.8311144949042197E-2</v>
      </c>
      <c r="M59" s="18">
        <f t="shared" si="0"/>
        <v>213987.34000000003</v>
      </c>
      <c r="N59" s="8">
        <f t="shared" si="1"/>
        <v>53496.835000000006</v>
      </c>
      <c r="O59" s="6">
        <v>70131.91</v>
      </c>
      <c r="P59" s="1">
        <f t="shared" si="7"/>
        <v>-0.47561240380289405</v>
      </c>
      <c r="Q59" s="5">
        <v>60354</v>
      </c>
      <c r="R59" s="1">
        <f t="shared" si="8"/>
        <v>-0.54872341305291517</v>
      </c>
      <c r="S59" s="6">
        <v>56748.54</v>
      </c>
      <c r="T59" s="1">
        <f t="shared" si="9"/>
        <v>-0.57568201866603497</v>
      </c>
      <c r="U59" s="18">
        <v>401221.79</v>
      </c>
      <c r="V59" s="8">
        <f t="shared" si="2"/>
        <v>133740.59666666665</v>
      </c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 x14ac:dyDescent="0.35">
      <c r="A60" s="2" t="s">
        <v>2</v>
      </c>
      <c r="C60" s="2">
        <v>5195200100</v>
      </c>
      <c r="D60" s="6" t="s">
        <v>67</v>
      </c>
      <c r="E60" s="6">
        <v>20730.3</v>
      </c>
      <c r="F60" s="4">
        <f t="shared" si="3"/>
        <v>6.8805759609316522E-2</v>
      </c>
      <c r="G60" s="6">
        <v>12879.55</v>
      </c>
      <c r="H60" s="4">
        <f t="shared" si="4"/>
        <v>-0.33596053982932361</v>
      </c>
      <c r="I60" s="6">
        <v>21819.61</v>
      </c>
      <c r="J60" s="1">
        <f t="shared" si="5"/>
        <v>0.12496803425078462</v>
      </c>
      <c r="K60" s="6">
        <v>22153.58</v>
      </c>
      <c r="L60" s="1">
        <f t="shared" si="6"/>
        <v>0.14218674596922212</v>
      </c>
      <c r="M60" s="18">
        <f t="shared" si="0"/>
        <v>77583.040000000008</v>
      </c>
      <c r="N60" s="8">
        <f t="shared" si="1"/>
        <v>19395.760000000002</v>
      </c>
      <c r="O60" s="6">
        <v>22447.14</v>
      </c>
      <c r="P60" s="1">
        <f t="shared" si="7"/>
        <v>-0.65944415924913014</v>
      </c>
      <c r="Q60" s="5">
        <v>49018.95</v>
      </c>
      <c r="R60" s="1">
        <f t="shared" si="8"/>
        <v>-0.25631106100933793</v>
      </c>
      <c r="S60" s="6">
        <v>48690.6</v>
      </c>
      <c r="T60" s="1">
        <f t="shared" si="9"/>
        <v>-0.26129260922931369</v>
      </c>
      <c r="U60" s="18">
        <v>197739.73</v>
      </c>
      <c r="V60" s="8">
        <f t="shared" si="2"/>
        <v>65913.243333333332</v>
      </c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 x14ac:dyDescent="0.35">
      <c r="A61" s="2" t="s">
        <v>2</v>
      </c>
      <c r="C61" s="2">
        <v>5195200200</v>
      </c>
      <c r="D61" s="6" t="s">
        <v>68</v>
      </c>
      <c r="E61" s="6">
        <v>69465.289999999994</v>
      </c>
      <c r="F61" s="4">
        <f t="shared" si="3"/>
        <v>-0.30298858763340458</v>
      </c>
      <c r="G61" s="6">
        <v>85728.960000000006</v>
      </c>
      <c r="H61" s="4">
        <f t="shared" si="4"/>
        <v>-0.13979969722548669</v>
      </c>
      <c r="I61" s="6">
        <v>138044.10999999999</v>
      </c>
      <c r="J61" s="1">
        <f t="shared" si="5"/>
        <v>0.38512802696122994</v>
      </c>
      <c r="K61" s="6">
        <v>105408.14</v>
      </c>
      <c r="L61" s="1">
        <f t="shared" si="6"/>
        <v>5.7660257897661209E-2</v>
      </c>
      <c r="M61" s="18">
        <f t="shared" si="0"/>
        <v>398646.5</v>
      </c>
      <c r="N61" s="8">
        <f t="shared" si="1"/>
        <v>99661.625</v>
      </c>
      <c r="O61" s="6">
        <v>382288.52</v>
      </c>
      <c r="P61" s="1">
        <f t="shared" si="7"/>
        <v>-0.31862915571387124</v>
      </c>
      <c r="Q61" s="5">
        <v>401667.6</v>
      </c>
      <c r="R61" s="1">
        <f t="shared" si="8"/>
        <v>-0.28408890820372262</v>
      </c>
      <c r="S61" s="6">
        <v>500571.19</v>
      </c>
      <c r="T61" s="1">
        <f t="shared" si="9"/>
        <v>-0.10780837898137206</v>
      </c>
      <c r="U61" s="18">
        <v>1683173.81</v>
      </c>
      <c r="V61" s="8">
        <f t="shared" si="2"/>
        <v>561057.93666666665</v>
      </c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 x14ac:dyDescent="0.35">
      <c r="A62" s="2" t="s">
        <v>2</v>
      </c>
      <c r="C62" s="2">
        <v>5195650200</v>
      </c>
      <c r="D62" s="6" t="s">
        <v>69</v>
      </c>
      <c r="E62" s="6">
        <v>2313.88</v>
      </c>
      <c r="F62" s="4">
        <f t="shared" si="3"/>
        <v>-0.36889118604288024</v>
      </c>
      <c r="G62" s="6">
        <v>4096.24</v>
      </c>
      <c r="H62" s="4">
        <f t="shared" si="4"/>
        <v>0.11724599723568728</v>
      </c>
      <c r="I62" s="6">
        <v>1575.5</v>
      </c>
      <c r="J62" s="1">
        <f t="shared" si="5"/>
        <v>-0.57028370685193608</v>
      </c>
      <c r="K62" s="6">
        <v>6679.87</v>
      </c>
      <c r="L62" s="1">
        <f t="shared" si="6"/>
        <v>0.82192889565912897</v>
      </c>
      <c r="M62" s="18">
        <f t="shared" si="0"/>
        <v>14665.49</v>
      </c>
      <c r="N62" s="8">
        <f t="shared" si="1"/>
        <v>3666.3724999999999</v>
      </c>
      <c r="O62" s="6">
        <v>5322.26</v>
      </c>
      <c r="P62" s="1">
        <f t="shared" si="7"/>
        <v>-0.46889357234948725</v>
      </c>
      <c r="Q62" s="5">
        <v>1982.72</v>
      </c>
      <c r="R62" s="1">
        <f t="shared" si="8"/>
        <v>-0.80214507817520664</v>
      </c>
      <c r="S62" s="6">
        <v>8092.77</v>
      </c>
      <c r="T62" s="1">
        <f t="shared" si="9"/>
        <v>-0.19242536732567742</v>
      </c>
      <c r="U62" s="18">
        <v>30063.24</v>
      </c>
      <c r="V62" s="8">
        <f t="shared" si="2"/>
        <v>10021.08</v>
      </c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 x14ac:dyDescent="0.35">
      <c r="A63" s="2" t="s">
        <v>2</v>
      </c>
      <c r="B63" s="2" t="s">
        <v>70</v>
      </c>
      <c r="C63" s="2">
        <v>5110300100</v>
      </c>
      <c r="D63" s="6" t="s">
        <v>71</v>
      </c>
      <c r="E63" s="6"/>
      <c r="F63" s="4">
        <v>0</v>
      </c>
      <c r="G63" s="6"/>
      <c r="H63" s="4">
        <v>0</v>
      </c>
      <c r="I63" s="6"/>
      <c r="J63" s="1">
        <v>0</v>
      </c>
      <c r="K63" s="6"/>
      <c r="L63" s="1">
        <v>0</v>
      </c>
      <c r="M63" s="18">
        <f t="shared" si="0"/>
        <v>0</v>
      </c>
      <c r="N63" s="8">
        <f t="shared" si="1"/>
        <v>0</v>
      </c>
      <c r="O63" s="6">
        <v>1859.7</v>
      </c>
      <c r="P63" s="1">
        <f t="shared" si="7"/>
        <v>2.0000000000000004</v>
      </c>
      <c r="R63" s="1">
        <f t="shared" si="8"/>
        <v>-1</v>
      </c>
      <c r="S63" s="16"/>
      <c r="T63" s="1">
        <f t="shared" si="9"/>
        <v>-1</v>
      </c>
      <c r="U63" s="18">
        <v>1859.7</v>
      </c>
      <c r="V63" s="8">
        <f t="shared" si="2"/>
        <v>619.9</v>
      </c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 x14ac:dyDescent="0.35">
      <c r="A64" s="2" t="s">
        <v>2</v>
      </c>
      <c r="C64" s="2">
        <v>5110350100</v>
      </c>
      <c r="D64" s="6" t="s">
        <v>72</v>
      </c>
      <c r="E64" s="6">
        <v>640.77</v>
      </c>
      <c r="F64" s="4">
        <f t="shared" si="3"/>
        <v>-0.86481809556107714</v>
      </c>
      <c r="G64" s="6">
        <v>9474</v>
      </c>
      <c r="H64" s="4">
        <f t="shared" si="4"/>
        <v>0.99870993126138241</v>
      </c>
      <c r="I64" s="6">
        <v>6293.46</v>
      </c>
      <c r="J64" s="1">
        <f t="shared" si="5"/>
        <v>0.3277180709305742</v>
      </c>
      <c r="K64" s="6">
        <v>2552</v>
      </c>
      <c r="L64" s="1">
        <f t="shared" si="6"/>
        <v>-0.46160990663087947</v>
      </c>
      <c r="M64" s="18">
        <f t="shared" si="0"/>
        <v>18960.23</v>
      </c>
      <c r="N64" s="8">
        <f t="shared" si="1"/>
        <v>4740.0574999999999</v>
      </c>
      <c r="O64" s="6">
        <v>13729.02</v>
      </c>
      <c r="P64" s="1">
        <f t="shared" si="7"/>
        <v>-0.2733039681776519</v>
      </c>
      <c r="Q64" s="5">
        <v>14829.9</v>
      </c>
      <c r="R64" s="1">
        <f t="shared" si="8"/>
        <v>-0.21503286597861757</v>
      </c>
      <c r="S64" s="6">
        <v>9158</v>
      </c>
      <c r="T64" s="1">
        <f t="shared" si="9"/>
        <v>-0.51525438382134603</v>
      </c>
      <c r="U64" s="18">
        <v>56677.15</v>
      </c>
      <c r="V64" s="8">
        <f t="shared" si="2"/>
        <v>18892.383333333335</v>
      </c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 x14ac:dyDescent="0.35">
      <c r="A65" s="2" t="s">
        <v>2</v>
      </c>
      <c r="C65" s="2">
        <v>5110350200</v>
      </c>
      <c r="D65" s="6" t="s">
        <v>73</v>
      </c>
      <c r="E65" s="6">
        <v>7112.85</v>
      </c>
      <c r="F65" s="4">
        <f t="shared" si="3"/>
        <v>-0.56395914199351138</v>
      </c>
      <c r="G65" s="6">
        <v>26080.42</v>
      </c>
      <c r="H65" s="4">
        <f t="shared" si="4"/>
        <v>0.59881464025947206</v>
      </c>
      <c r="I65" s="6">
        <v>17125.34</v>
      </c>
      <c r="J65" s="1">
        <f t="shared" si="5"/>
        <v>4.9839086618281049E-2</v>
      </c>
      <c r="K65" s="6">
        <v>14930.78</v>
      </c>
      <c r="L65" s="1">
        <f t="shared" si="6"/>
        <v>-8.469458488424178E-2</v>
      </c>
      <c r="M65" s="18">
        <f t="shared" si="0"/>
        <v>65249.39</v>
      </c>
      <c r="N65" s="8">
        <f t="shared" si="1"/>
        <v>16312.3475</v>
      </c>
      <c r="O65" s="6">
        <v>13785.49</v>
      </c>
      <c r="P65" s="1">
        <f t="shared" si="7"/>
        <v>-0.71851964633085663</v>
      </c>
      <c r="Q65" s="5">
        <v>25157.22</v>
      </c>
      <c r="R65" s="1">
        <f t="shared" si="8"/>
        <v>-0.48632488341492042</v>
      </c>
      <c r="S65" s="6">
        <v>42732.79</v>
      </c>
      <c r="T65" s="1">
        <f t="shared" si="9"/>
        <v>-0.12745641667657548</v>
      </c>
      <c r="U65" s="18">
        <v>146924.89000000001</v>
      </c>
      <c r="V65" s="8">
        <f t="shared" si="2"/>
        <v>48974.96333333334</v>
      </c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 x14ac:dyDescent="0.35">
      <c r="A66" s="2" t="s">
        <v>2</v>
      </c>
      <c r="C66" s="2">
        <v>5135600100</v>
      </c>
      <c r="D66" s="6" t="s">
        <v>74</v>
      </c>
      <c r="E66" s="6">
        <v>1005.37</v>
      </c>
      <c r="F66" s="4">
        <f t="shared" si="3"/>
        <v>0.28350977757493179</v>
      </c>
      <c r="G66" s="6">
        <v>760.21</v>
      </c>
      <c r="H66" s="4">
        <f t="shared" si="4"/>
        <v>-2.9474752568468387E-2</v>
      </c>
      <c r="I66" s="6">
        <v>646.35</v>
      </c>
      <c r="J66" s="1">
        <f t="shared" si="5"/>
        <v>-0.17483459349736197</v>
      </c>
      <c r="K66" s="6">
        <v>721.26</v>
      </c>
      <c r="L66" s="1">
        <f t="shared" si="6"/>
        <v>-7.9200431509100847E-2</v>
      </c>
      <c r="M66" s="18">
        <f t="shared" si="0"/>
        <v>3133.1899999999996</v>
      </c>
      <c r="N66" s="8">
        <f t="shared" si="1"/>
        <v>783.2974999999999</v>
      </c>
      <c r="O66" s="6">
        <v>389.9</v>
      </c>
      <c r="P66" s="1">
        <f t="shared" si="7"/>
        <v>-0.75799493934873607</v>
      </c>
      <c r="Q66" s="5">
        <v>635.28</v>
      </c>
      <c r="R66" s="1">
        <f t="shared" si="8"/>
        <v>-0.60569126716969734</v>
      </c>
      <c r="S66" s="6">
        <v>675</v>
      </c>
      <c r="T66" s="1">
        <f t="shared" si="9"/>
        <v>-0.58103766109360544</v>
      </c>
      <c r="U66" s="18">
        <v>4833.37</v>
      </c>
      <c r="V66" s="8">
        <f t="shared" si="2"/>
        <v>1611.1233333333332</v>
      </c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 x14ac:dyDescent="0.35">
      <c r="A67" s="2" t="s">
        <v>2</v>
      </c>
      <c r="C67" s="2">
        <v>5140100100</v>
      </c>
      <c r="D67" s="6" t="s">
        <v>75</v>
      </c>
      <c r="E67" s="6"/>
      <c r="F67" s="4">
        <v>0</v>
      </c>
      <c r="G67" s="6"/>
      <c r="H67" s="4">
        <v>0</v>
      </c>
      <c r="I67" s="6"/>
      <c r="J67" s="1">
        <v>0</v>
      </c>
      <c r="K67" s="6"/>
      <c r="L67" s="1">
        <v>0</v>
      </c>
      <c r="M67" s="18">
        <f t="shared" si="0"/>
        <v>0</v>
      </c>
      <c r="N67" s="8">
        <f t="shared" si="1"/>
        <v>0</v>
      </c>
      <c r="O67" s="6">
        <v>1700</v>
      </c>
      <c r="P67" s="1">
        <f t="shared" si="7"/>
        <v>2.0000000000000004</v>
      </c>
      <c r="R67" s="1">
        <f t="shared" si="8"/>
        <v>-1</v>
      </c>
      <c r="S67" s="16"/>
      <c r="T67" s="1">
        <f t="shared" si="9"/>
        <v>-1</v>
      </c>
      <c r="U67" s="18">
        <v>1700</v>
      </c>
      <c r="V67" s="8">
        <f t="shared" si="2"/>
        <v>566.66666666666663</v>
      </c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 x14ac:dyDescent="0.35">
      <c r="A68" s="2" t="s">
        <v>2</v>
      </c>
      <c r="C68" s="2">
        <v>5140150100</v>
      </c>
      <c r="D68" s="6" t="s">
        <v>76</v>
      </c>
      <c r="E68" s="6">
        <v>2119.13</v>
      </c>
      <c r="F68" s="4">
        <f t="shared" si="3"/>
        <v>1.5938261178227398</v>
      </c>
      <c r="G68" s="6">
        <v>444.5</v>
      </c>
      <c r="H68" s="4">
        <f t="shared" si="4"/>
        <v>-0.45592969314189891</v>
      </c>
      <c r="I68" s="6">
        <v>365.41</v>
      </c>
      <c r="J68" s="1">
        <f t="shared" si="5"/>
        <v>-0.55273626360175765</v>
      </c>
      <c r="K68" s="6">
        <v>338.92</v>
      </c>
      <c r="L68" s="1">
        <f t="shared" si="6"/>
        <v>-0.58516016107908297</v>
      </c>
      <c r="M68" s="18">
        <f t="shared" si="0"/>
        <v>3267.96</v>
      </c>
      <c r="N68" s="8">
        <f t="shared" si="1"/>
        <v>816.99</v>
      </c>
      <c r="O68" s="6">
        <v>236.26</v>
      </c>
      <c r="P68" s="1">
        <f t="shared" si="7"/>
        <v>-0.91626716819574761</v>
      </c>
      <c r="Q68" s="5">
        <v>3945.21</v>
      </c>
      <c r="R68" s="1">
        <f t="shared" si="8"/>
        <v>0.398220627116121</v>
      </c>
      <c r="S68" s="6">
        <v>1015.35</v>
      </c>
      <c r="T68" s="1">
        <f t="shared" si="9"/>
        <v>-0.64015012794189574</v>
      </c>
      <c r="U68" s="18">
        <v>8464.7800000000007</v>
      </c>
      <c r="V68" s="8">
        <f t="shared" si="2"/>
        <v>2821.5933333333337</v>
      </c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 x14ac:dyDescent="0.35">
      <c r="A69" s="2" t="s">
        <v>2</v>
      </c>
      <c r="C69" s="2">
        <v>5140160100</v>
      </c>
      <c r="D69" s="6" t="s">
        <v>77</v>
      </c>
      <c r="E69" s="6"/>
      <c r="F69" s="4">
        <f t="shared" si="3"/>
        <v>-1</v>
      </c>
      <c r="G69" s="6"/>
      <c r="H69" s="4">
        <f t="shared" si="4"/>
        <v>-1</v>
      </c>
      <c r="I69" s="6"/>
      <c r="J69" s="1">
        <f t="shared" si="5"/>
        <v>-1</v>
      </c>
      <c r="K69" s="6">
        <v>420.01</v>
      </c>
      <c r="L69" s="1">
        <f t="shared" si="6"/>
        <v>3</v>
      </c>
      <c r="M69" s="18">
        <f t="shared" ref="M69:M130" si="10">E69+G69+I69+K69</f>
        <v>420.01</v>
      </c>
      <c r="N69" s="8">
        <f t="shared" ref="N69:N130" si="11">M69/4</f>
        <v>105.0025</v>
      </c>
      <c r="O69" s="6"/>
      <c r="P69" s="1">
        <v>0</v>
      </c>
      <c r="R69" s="1">
        <v>0</v>
      </c>
      <c r="S69" s="16"/>
      <c r="T69" s="1">
        <v>0</v>
      </c>
      <c r="U69" s="18">
        <v>420.01</v>
      </c>
      <c r="V69" s="8">
        <f t="shared" ref="V69:V130" si="12">U69/3</f>
        <v>140.00333333333333</v>
      </c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x14ac:dyDescent="0.35">
      <c r="A70" s="2" t="s">
        <v>2</v>
      </c>
      <c r="C70" s="2">
        <v>5140950100</v>
      </c>
      <c r="D70" s="6" t="s">
        <v>78</v>
      </c>
      <c r="E70" s="6">
        <v>7008.24</v>
      </c>
      <c r="F70" s="4">
        <f t="shared" ref="F70:F130" si="13">(E70-N70)/N70</f>
        <v>5.222864619910797E-2</v>
      </c>
      <c r="G70" s="6">
        <v>11831.59</v>
      </c>
      <c r="H70" s="4">
        <f t="shared" ref="H70:H130" si="14">(G70-N70)/N70</f>
        <v>0.7764143248637182</v>
      </c>
      <c r="I70" s="6">
        <v>3987.67</v>
      </c>
      <c r="J70" s="1">
        <f t="shared" ref="J70:J130" si="15">(I70-N70)/N70</f>
        <v>-0.40128468694154351</v>
      </c>
      <c r="K70" s="6">
        <v>3814.01</v>
      </c>
      <c r="L70" s="1">
        <f t="shared" ref="L70:L130" si="16">(K70-N70)/N70</f>
        <v>-0.42735828412128291</v>
      </c>
      <c r="M70" s="18">
        <f t="shared" si="10"/>
        <v>26641.510000000002</v>
      </c>
      <c r="N70" s="8">
        <f t="shared" si="11"/>
        <v>6660.3775000000005</v>
      </c>
      <c r="O70" s="6">
        <v>8863.6</v>
      </c>
      <c r="P70" s="1">
        <f t="shared" ref="P70:P130" si="17">(O70-V70)/V70</f>
        <v>-0.3962170583190453</v>
      </c>
      <c r="Q70" s="5">
        <v>4711.2299999999996</v>
      </c>
      <c r="R70" s="1">
        <f t="shared" ref="R70:R130" si="18">(Q70-V70)/V70</f>
        <v>-0.67907393064493393</v>
      </c>
      <c r="S70" s="6">
        <v>3823.99</v>
      </c>
      <c r="T70" s="1">
        <f t="shared" ref="T70:T130" si="19">(S70-V70)/V70</f>
        <v>-0.739512169867937</v>
      </c>
      <c r="U70" s="18">
        <v>44040.33</v>
      </c>
      <c r="V70" s="8">
        <f t="shared" si="12"/>
        <v>14680.11</v>
      </c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x14ac:dyDescent="0.35">
      <c r="A71" s="2" t="s">
        <v>2</v>
      </c>
      <c r="B71" s="2" t="s">
        <v>79</v>
      </c>
      <c r="C71" s="2">
        <v>5405050100</v>
      </c>
      <c r="D71" s="6" t="s">
        <v>80</v>
      </c>
      <c r="E71" s="6">
        <v>12736.23</v>
      </c>
      <c r="F71" s="4">
        <f t="shared" si="13"/>
        <v>1.5566429411301239</v>
      </c>
      <c r="G71" s="6">
        <v>3952.07</v>
      </c>
      <c r="H71" s="4">
        <f t="shared" si="14"/>
        <v>-0.20667011601139978</v>
      </c>
      <c r="I71" s="6">
        <v>3238.19</v>
      </c>
      <c r="J71" s="1">
        <f t="shared" si="15"/>
        <v>-0.3499728251187238</v>
      </c>
      <c r="K71" s="6"/>
      <c r="L71" s="1">
        <f t="shared" si="16"/>
        <v>-1</v>
      </c>
      <c r="M71" s="18">
        <f t="shared" si="10"/>
        <v>19926.489999999998</v>
      </c>
      <c r="N71" s="8">
        <f t="shared" si="11"/>
        <v>4981.6224999999995</v>
      </c>
      <c r="O71" s="6">
        <v>22.22</v>
      </c>
      <c r="P71" s="1">
        <f t="shared" si="17"/>
        <v>-0.99701201112360216</v>
      </c>
      <c r="Q71" s="5">
        <v>2360.61</v>
      </c>
      <c r="R71" s="1">
        <f t="shared" si="18"/>
        <v>-0.68256181721361298</v>
      </c>
      <c r="S71" s="16"/>
      <c r="T71" s="1">
        <f t="shared" si="19"/>
        <v>-1</v>
      </c>
      <c r="U71" s="18">
        <v>22309.32</v>
      </c>
      <c r="V71" s="8">
        <f t="shared" si="12"/>
        <v>7436.44</v>
      </c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x14ac:dyDescent="0.35">
      <c r="A72" s="2" t="s">
        <v>2</v>
      </c>
      <c r="B72" s="2" t="s">
        <v>81</v>
      </c>
      <c r="C72" s="2">
        <v>5115050100</v>
      </c>
      <c r="D72" s="6" t="s">
        <v>82</v>
      </c>
      <c r="E72" s="6"/>
      <c r="F72" s="4">
        <f t="shared" si="13"/>
        <v>-1</v>
      </c>
      <c r="G72" s="6"/>
      <c r="H72" s="4">
        <f t="shared" si="14"/>
        <v>-1</v>
      </c>
      <c r="I72" s="6">
        <v>12015.06</v>
      </c>
      <c r="J72" s="1">
        <f t="shared" si="15"/>
        <v>1.2132216074926803</v>
      </c>
      <c r="K72" s="6">
        <v>9700</v>
      </c>
      <c r="L72" s="1">
        <f t="shared" si="16"/>
        <v>0.78677839250731996</v>
      </c>
      <c r="M72" s="18">
        <f t="shared" si="10"/>
        <v>21715.059999999998</v>
      </c>
      <c r="N72" s="8">
        <f t="shared" si="11"/>
        <v>5428.7649999999994</v>
      </c>
      <c r="O72" s="6">
        <v>1000</v>
      </c>
      <c r="P72" s="1">
        <f t="shared" si="17"/>
        <v>-0.86792903034374558</v>
      </c>
      <c r="R72" s="1">
        <f t="shared" si="18"/>
        <v>-1</v>
      </c>
      <c r="S72" s="16"/>
      <c r="T72" s="1">
        <f t="shared" si="19"/>
        <v>-1</v>
      </c>
      <c r="U72" s="18">
        <v>22715.06</v>
      </c>
      <c r="V72" s="8">
        <f t="shared" si="12"/>
        <v>7571.6866666666674</v>
      </c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x14ac:dyDescent="0.35">
      <c r="A73" s="2" t="s">
        <v>2</v>
      </c>
      <c r="C73" s="2">
        <v>5115350200</v>
      </c>
      <c r="D73" s="6" t="s">
        <v>83</v>
      </c>
      <c r="E73" s="6">
        <v>32943.54</v>
      </c>
      <c r="F73" s="4">
        <f t="shared" si="13"/>
        <v>0.22207681581926039</v>
      </c>
      <c r="G73" s="6">
        <v>23818.39</v>
      </c>
      <c r="H73" s="4">
        <f t="shared" si="14"/>
        <v>-0.11643065046618208</v>
      </c>
      <c r="I73" s="6">
        <v>26785.89</v>
      </c>
      <c r="J73" s="1">
        <f t="shared" si="15"/>
        <v>-6.34797717291563E-3</v>
      </c>
      <c r="K73" s="6">
        <v>24280.23</v>
      </c>
      <c r="L73" s="1">
        <f t="shared" si="16"/>
        <v>-9.9298188180162811E-2</v>
      </c>
      <c r="M73" s="18">
        <f t="shared" si="10"/>
        <v>107828.05</v>
      </c>
      <c r="N73" s="8">
        <f t="shared" si="11"/>
        <v>26957.012500000001</v>
      </c>
      <c r="O73" s="6">
        <v>26781.94</v>
      </c>
      <c r="P73" s="1">
        <f t="shared" si="17"/>
        <v>-0.59860052924538365</v>
      </c>
      <c r="Q73" s="5">
        <v>30987.16</v>
      </c>
      <c r="R73" s="1">
        <f t="shared" si="18"/>
        <v>-0.53557398664216938</v>
      </c>
      <c r="S73" s="6">
        <v>34567.089999999997</v>
      </c>
      <c r="T73" s="1">
        <f t="shared" si="19"/>
        <v>-0.48191909803669231</v>
      </c>
      <c r="U73" s="18">
        <v>200164.24</v>
      </c>
      <c r="V73" s="8">
        <f t="shared" si="12"/>
        <v>66721.41333333333</v>
      </c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x14ac:dyDescent="0.35">
      <c r="A74" s="2" t="s">
        <v>2</v>
      </c>
      <c r="C74" s="2">
        <v>5115350300</v>
      </c>
      <c r="D74" s="6" t="s">
        <v>84</v>
      </c>
      <c r="E74" s="6"/>
      <c r="F74" s="4">
        <v>0</v>
      </c>
      <c r="G74" s="6"/>
      <c r="H74" s="4">
        <v>0</v>
      </c>
      <c r="I74" s="6"/>
      <c r="J74" s="1">
        <v>0</v>
      </c>
      <c r="K74" s="6"/>
      <c r="L74" s="1">
        <v>0</v>
      </c>
      <c r="M74" s="18">
        <f t="shared" si="10"/>
        <v>0</v>
      </c>
      <c r="N74" s="8">
        <f t="shared" si="11"/>
        <v>0</v>
      </c>
      <c r="O74" s="6">
        <v>239.39</v>
      </c>
      <c r="P74" s="1">
        <f t="shared" si="17"/>
        <v>1.9999999999999996</v>
      </c>
      <c r="R74" s="1">
        <f t="shared" si="18"/>
        <v>-1</v>
      </c>
      <c r="S74" s="16"/>
      <c r="T74" s="1">
        <f t="shared" si="19"/>
        <v>-1</v>
      </c>
      <c r="U74" s="18">
        <v>239.39</v>
      </c>
      <c r="V74" s="8">
        <f t="shared" si="12"/>
        <v>79.796666666666667</v>
      </c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x14ac:dyDescent="0.35">
      <c r="A75" s="2" t="s">
        <v>2</v>
      </c>
      <c r="C75" s="2">
        <v>5125100400</v>
      </c>
      <c r="D75" s="6" t="s">
        <v>85</v>
      </c>
      <c r="E75" s="6">
        <v>26264.18</v>
      </c>
      <c r="F75" s="4">
        <f t="shared" si="13"/>
        <v>-7.3288856396041463E-2</v>
      </c>
      <c r="G75" s="6">
        <v>27976.9</v>
      </c>
      <c r="H75" s="4">
        <f t="shared" si="14"/>
        <v>-1.2856864615853659E-2</v>
      </c>
      <c r="I75" s="6">
        <v>27950.959999999999</v>
      </c>
      <c r="J75" s="1">
        <f t="shared" si="15"/>
        <v>-1.3772137320544567E-2</v>
      </c>
      <c r="K75" s="6">
        <v>31173.08</v>
      </c>
      <c r="L75" s="1">
        <f t="shared" si="16"/>
        <v>9.9917858332439435E-2</v>
      </c>
      <c r="M75" s="18">
        <f t="shared" si="10"/>
        <v>113365.12000000001</v>
      </c>
      <c r="N75" s="8">
        <f t="shared" si="11"/>
        <v>28341.280000000002</v>
      </c>
      <c r="O75" s="6">
        <v>44705.45</v>
      </c>
      <c r="P75" s="1">
        <f t="shared" si="17"/>
        <v>-0.44650783034037611</v>
      </c>
      <c r="Q75" s="5">
        <v>43850.02</v>
      </c>
      <c r="R75" s="1">
        <f t="shared" si="18"/>
        <v>-0.45709879423162275</v>
      </c>
      <c r="S75" s="6">
        <v>40388.800000000003</v>
      </c>
      <c r="T75" s="1">
        <f t="shared" si="19"/>
        <v>-0.49995169398924244</v>
      </c>
      <c r="U75" s="18">
        <v>242309.39</v>
      </c>
      <c r="V75" s="8">
        <f t="shared" si="12"/>
        <v>80769.796666666676</v>
      </c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x14ac:dyDescent="0.35">
      <c r="A76" s="2" t="s">
        <v>2</v>
      </c>
      <c r="C76" s="2">
        <v>5125100500</v>
      </c>
      <c r="D76" s="6" t="s">
        <v>86</v>
      </c>
      <c r="E76" s="6">
        <v>243.69</v>
      </c>
      <c r="F76" s="4">
        <f t="shared" si="13"/>
        <v>-0.49685132038073221</v>
      </c>
      <c r="G76" s="6">
        <v>1693.63</v>
      </c>
      <c r="H76" s="4">
        <f t="shared" si="14"/>
        <v>2.4968513203807321</v>
      </c>
      <c r="I76" s="6"/>
      <c r="J76" s="1">
        <f t="shared" si="15"/>
        <v>-1</v>
      </c>
      <c r="K76" s="6"/>
      <c r="L76" s="1">
        <f t="shared" si="16"/>
        <v>-1</v>
      </c>
      <c r="M76" s="18">
        <f t="shared" si="10"/>
        <v>1937.3200000000002</v>
      </c>
      <c r="N76" s="8">
        <f t="shared" si="11"/>
        <v>484.33000000000004</v>
      </c>
      <c r="O76" s="6"/>
      <c r="P76" s="1">
        <v>0</v>
      </c>
      <c r="R76" s="1">
        <v>0</v>
      </c>
      <c r="S76" s="16"/>
      <c r="T76" s="1">
        <v>0</v>
      </c>
      <c r="U76" s="18">
        <v>1937.32</v>
      </c>
      <c r="V76" s="8">
        <f t="shared" si="12"/>
        <v>645.77333333333331</v>
      </c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x14ac:dyDescent="0.35">
      <c r="A77" s="2" t="s">
        <v>2</v>
      </c>
      <c r="C77" s="2">
        <v>5125100600</v>
      </c>
      <c r="D77" s="6" t="s">
        <v>87</v>
      </c>
      <c r="E77" s="6">
        <v>1715.46</v>
      </c>
      <c r="F77" s="4">
        <f t="shared" si="13"/>
        <v>7.4649305658876175E-2</v>
      </c>
      <c r="G77" s="6">
        <v>422.73</v>
      </c>
      <c r="H77" s="4">
        <f t="shared" si="14"/>
        <v>-0.73518094214894159</v>
      </c>
      <c r="I77" s="6">
        <v>2214.0700000000002</v>
      </c>
      <c r="J77" s="1">
        <f t="shared" si="15"/>
        <v>0.38700336246846218</v>
      </c>
      <c r="K77" s="6">
        <v>2032.93</v>
      </c>
      <c r="L77" s="1">
        <f t="shared" si="16"/>
        <v>0.27352827402160307</v>
      </c>
      <c r="M77" s="18">
        <f t="shared" si="10"/>
        <v>6385.1900000000005</v>
      </c>
      <c r="N77" s="8">
        <f t="shared" si="11"/>
        <v>1596.2975000000001</v>
      </c>
      <c r="O77" s="6">
        <v>1185.82</v>
      </c>
      <c r="P77" s="1">
        <f t="shared" si="17"/>
        <v>-0.64501154536219718</v>
      </c>
      <c r="Q77" s="5">
        <v>1816.73</v>
      </c>
      <c r="R77" s="1">
        <f t="shared" si="18"/>
        <v>-0.45614159383874814</v>
      </c>
      <c r="S77" s="6">
        <v>633.6</v>
      </c>
      <c r="T77" s="1">
        <f t="shared" si="19"/>
        <v>-0.81032476694733446</v>
      </c>
      <c r="U77" s="18">
        <v>10021.34</v>
      </c>
      <c r="V77" s="8">
        <f t="shared" si="12"/>
        <v>3340.4466666666667</v>
      </c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x14ac:dyDescent="0.35">
      <c r="A78" s="2" t="s">
        <v>2</v>
      </c>
      <c r="C78" s="2">
        <v>5125100700</v>
      </c>
      <c r="D78" s="6" t="s">
        <v>88</v>
      </c>
      <c r="E78" s="6">
        <v>517.85</v>
      </c>
      <c r="F78" s="4">
        <f t="shared" si="13"/>
        <v>1.8271165158525433</v>
      </c>
      <c r="G78" s="6">
        <v>214.84</v>
      </c>
      <c r="H78" s="4">
        <f t="shared" si="14"/>
        <v>0.17288348414745655</v>
      </c>
      <c r="I78" s="6"/>
      <c r="J78" s="1">
        <f t="shared" si="15"/>
        <v>-1</v>
      </c>
      <c r="K78" s="6"/>
      <c r="L78" s="1">
        <f t="shared" si="16"/>
        <v>-1</v>
      </c>
      <c r="M78" s="18">
        <f t="shared" si="10"/>
        <v>732.69</v>
      </c>
      <c r="N78" s="8">
        <f t="shared" si="11"/>
        <v>183.17250000000001</v>
      </c>
      <c r="O78" s="6"/>
      <c r="P78" s="1">
        <v>0</v>
      </c>
      <c r="R78" s="1">
        <v>0</v>
      </c>
      <c r="S78" s="16"/>
      <c r="T78" s="1">
        <v>0</v>
      </c>
      <c r="U78" s="18">
        <v>732.69</v>
      </c>
      <c r="V78" s="8">
        <f t="shared" si="12"/>
        <v>244.23000000000002</v>
      </c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x14ac:dyDescent="0.35">
      <c r="A79" s="2" t="s">
        <v>2</v>
      </c>
      <c r="C79" s="2">
        <v>5395200100</v>
      </c>
      <c r="D79" s="6" t="s">
        <v>89</v>
      </c>
      <c r="E79" s="6">
        <v>3355.86</v>
      </c>
      <c r="F79" s="4">
        <f t="shared" si="13"/>
        <v>0.33555271444703683</v>
      </c>
      <c r="G79" s="6">
        <v>497.29</v>
      </c>
      <c r="H79" s="4">
        <f t="shared" si="14"/>
        <v>-0.80209037046617948</v>
      </c>
      <c r="I79" s="6">
        <v>4735.4399999999996</v>
      </c>
      <c r="J79" s="1">
        <f t="shared" si="15"/>
        <v>0.88459284538123617</v>
      </c>
      <c r="K79" s="6">
        <v>1462.26</v>
      </c>
      <c r="L79" s="1">
        <f t="shared" si="16"/>
        <v>-0.41805518936209379</v>
      </c>
      <c r="M79" s="18">
        <f t="shared" si="10"/>
        <v>10050.85</v>
      </c>
      <c r="N79" s="8">
        <f t="shared" si="11"/>
        <v>2512.7125000000001</v>
      </c>
      <c r="O79" s="6">
        <v>2133.83</v>
      </c>
      <c r="P79" s="1">
        <f t="shared" si="17"/>
        <v>-0.81896566351740241</v>
      </c>
      <c r="Q79" s="5">
        <v>15406.61</v>
      </c>
      <c r="R79" s="1">
        <f t="shared" si="18"/>
        <v>0.30709823125373309</v>
      </c>
      <c r="S79" s="6">
        <v>7769.35</v>
      </c>
      <c r="T79" s="1">
        <f t="shared" si="19"/>
        <v>-0.34084762040506045</v>
      </c>
      <c r="U79" s="18">
        <v>35360.639999999999</v>
      </c>
      <c r="V79" s="8">
        <f t="shared" si="12"/>
        <v>11786.88</v>
      </c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x14ac:dyDescent="0.35">
      <c r="A80" s="2" t="s">
        <v>2</v>
      </c>
      <c r="C80" s="2">
        <v>5395250200</v>
      </c>
      <c r="D80" s="6" t="s">
        <v>90</v>
      </c>
      <c r="E80" s="6">
        <v>5090.8599999999997</v>
      </c>
      <c r="F80" s="4">
        <f t="shared" si="13"/>
        <v>-0.15423260821169529</v>
      </c>
      <c r="G80" s="6">
        <v>7229.45</v>
      </c>
      <c r="H80" s="4">
        <f t="shared" si="14"/>
        <v>0.20106093480550627</v>
      </c>
      <c r="I80" s="6">
        <v>4891.21</v>
      </c>
      <c r="J80" s="1">
        <f t="shared" si="15"/>
        <v>-0.18740135765099136</v>
      </c>
      <c r="K80" s="6">
        <v>6865.36</v>
      </c>
      <c r="L80" s="1">
        <f t="shared" si="16"/>
        <v>0.14057303105718005</v>
      </c>
      <c r="M80" s="18">
        <f t="shared" si="10"/>
        <v>24076.880000000001</v>
      </c>
      <c r="N80" s="8">
        <f t="shared" si="11"/>
        <v>6019.22</v>
      </c>
      <c r="O80" s="6">
        <v>4871.46</v>
      </c>
      <c r="P80" s="1">
        <f t="shared" si="17"/>
        <v>-0.80454368610537541</v>
      </c>
      <c r="Q80" s="5">
        <v>19142.919999999998</v>
      </c>
      <c r="R80" s="1">
        <f t="shared" si="18"/>
        <v>-0.23193363378131274</v>
      </c>
      <c r="S80" s="6">
        <v>26679.31</v>
      </c>
      <c r="T80" s="1">
        <f t="shared" si="19"/>
        <v>7.0446968640201627E-2</v>
      </c>
      <c r="U80" s="18">
        <v>74770.570000000007</v>
      </c>
      <c r="V80" s="8">
        <f t="shared" si="12"/>
        <v>24923.523333333334</v>
      </c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x14ac:dyDescent="0.35">
      <c r="A81" s="2" t="s">
        <v>2</v>
      </c>
      <c r="B81" s="2" t="s">
        <v>91</v>
      </c>
      <c r="C81" s="2">
        <v>5121100100</v>
      </c>
      <c r="D81" s="6" t="s">
        <v>92</v>
      </c>
      <c r="E81" s="6">
        <v>2483.96</v>
      </c>
      <c r="F81" s="4">
        <f t="shared" si="13"/>
        <v>1.221788908765653</v>
      </c>
      <c r="G81" s="6">
        <v>1449.44</v>
      </c>
      <c r="H81" s="4">
        <f t="shared" si="14"/>
        <v>0.2964579606440072</v>
      </c>
      <c r="I81" s="6">
        <v>393.64</v>
      </c>
      <c r="J81" s="1">
        <f t="shared" si="15"/>
        <v>-0.64790697674418607</v>
      </c>
      <c r="K81" s="6">
        <v>144.96</v>
      </c>
      <c r="L81" s="1">
        <f t="shared" si="16"/>
        <v>-0.87033989266547407</v>
      </c>
      <c r="M81" s="18">
        <f t="shared" si="10"/>
        <v>4472</v>
      </c>
      <c r="N81" s="8">
        <f t="shared" si="11"/>
        <v>1118</v>
      </c>
      <c r="O81" s="6"/>
      <c r="P81" s="1">
        <f t="shared" si="17"/>
        <v>-1</v>
      </c>
      <c r="Q81" s="5">
        <v>1135.77</v>
      </c>
      <c r="R81" s="1">
        <f t="shared" si="18"/>
        <v>-0.57555958877745628</v>
      </c>
      <c r="S81" s="6">
        <v>2420</v>
      </c>
      <c r="T81" s="1">
        <f t="shared" si="19"/>
        <v>-9.563926221105E-2</v>
      </c>
      <c r="U81" s="18">
        <v>8027.77</v>
      </c>
      <c r="V81" s="8">
        <f t="shared" si="12"/>
        <v>2675.9233333333336</v>
      </c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x14ac:dyDescent="0.35">
      <c r="A82" s="2" t="s">
        <v>2</v>
      </c>
      <c r="C82" s="2">
        <v>5121200100</v>
      </c>
      <c r="D82" s="6" t="s">
        <v>93</v>
      </c>
      <c r="E82" s="6"/>
      <c r="F82" s="4">
        <f t="shared" si="13"/>
        <v>-1</v>
      </c>
      <c r="G82" s="6"/>
      <c r="H82" s="4">
        <f t="shared" si="14"/>
        <v>-1</v>
      </c>
      <c r="I82" s="6"/>
      <c r="J82" s="1">
        <f t="shared" si="15"/>
        <v>-1</v>
      </c>
      <c r="K82" s="6">
        <v>20</v>
      </c>
      <c r="L82" s="1">
        <f t="shared" si="16"/>
        <v>3</v>
      </c>
      <c r="M82" s="18">
        <f t="shared" si="10"/>
        <v>20</v>
      </c>
      <c r="N82" s="8">
        <f t="shared" si="11"/>
        <v>5</v>
      </c>
      <c r="O82" s="6"/>
      <c r="P82" s="1">
        <f t="shared" si="17"/>
        <v>-1</v>
      </c>
      <c r="Q82" s="5">
        <v>120</v>
      </c>
      <c r="R82" s="1">
        <f t="shared" si="18"/>
        <v>1.0571428571428572</v>
      </c>
      <c r="S82" s="6">
        <v>35</v>
      </c>
      <c r="T82" s="1">
        <f t="shared" si="19"/>
        <v>-0.4</v>
      </c>
      <c r="U82" s="18">
        <v>175</v>
      </c>
      <c r="V82" s="8">
        <f t="shared" si="12"/>
        <v>58.333333333333336</v>
      </c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x14ac:dyDescent="0.35">
      <c r="A83" s="2" t="s">
        <v>2</v>
      </c>
      <c r="C83" s="2">
        <v>5130100400</v>
      </c>
      <c r="D83" s="6" t="s">
        <v>94</v>
      </c>
      <c r="E83" s="6">
        <v>689</v>
      </c>
      <c r="F83" s="4">
        <f t="shared" si="13"/>
        <v>-0.13333333333333333</v>
      </c>
      <c r="G83" s="6">
        <v>852</v>
      </c>
      <c r="H83" s="4">
        <f t="shared" si="14"/>
        <v>7.1698113207547168E-2</v>
      </c>
      <c r="I83" s="6">
        <v>813</v>
      </c>
      <c r="J83" s="1">
        <f t="shared" si="15"/>
        <v>2.2641509433962263E-2</v>
      </c>
      <c r="K83" s="6">
        <v>826</v>
      </c>
      <c r="L83" s="1">
        <f t="shared" si="16"/>
        <v>3.8993710691823898E-2</v>
      </c>
      <c r="M83" s="18">
        <f t="shared" si="10"/>
        <v>3180</v>
      </c>
      <c r="N83" s="8">
        <f t="shared" si="11"/>
        <v>795</v>
      </c>
      <c r="O83" s="6">
        <v>1062.56</v>
      </c>
      <c r="P83" s="1">
        <f t="shared" si="17"/>
        <v>-0.47892950784299626</v>
      </c>
      <c r="Q83" s="5">
        <v>916</v>
      </c>
      <c r="R83" s="1">
        <f t="shared" si="18"/>
        <v>-0.55080129986465198</v>
      </c>
      <c r="S83" s="6">
        <v>959</v>
      </c>
      <c r="T83" s="1">
        <f t="shared" si="19"/>
        <v>-0.52971446132118039</v>
      </c>
      <c r="U83" s="18">
        <v>6117.56</v>
      </c>
      <c r="V83" s="8">
        <f t="shared" si="12"/>
        <v>2039.1866666666667</v>
      </c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x14ac:dyDescent="0.35">
      <c r="A84" s="2" t="s">
        <v>2</v>
      </c>
      <c r="C84" s="2">
        <v>5130400400</v>
      </c>
      <c r="D84" s="6" t="s">
        <v>95</v>
      </c>
      <c r="E84" s="6">
        <v>1729.85</v>
      </c>
      <c r="F84" s="4">
        <f t="shared" si="13"/>
        <v>2.5637802007632917</v>
      </c>
      <c r="G84" s="6">
        <v>190.09</v>
      </c>
      <c r="H84" s="4">
        <f t="shared" si="14"/>
        <v>-0.60838282026586465</v>
      </c>
      <c r="I84" s="6"/>
      <c r="J84" s="1">
        <f t="shared" si="15"/>
        <v>-1</v>
      </c>
      <c r="K84" s="6">
        <v>21.65</v>
      </c>
      <c r="L84" s="1">
        <f t="shared" si="16"/>
        <v>-0.9553973804974274</v>
      </c>
      <c r="M84" s="18">
        <f t="shared" si="10"/>
        <v>1941.59</v>
      </c>
      <c r="N84" s="8">
        <f t="shared" si="11"/>
        <v>485.39749999999998</v>
      </c>
      <c r="O84" s="6">
        <v>614.34</v>
      </c>
      <c r="P84" s="1">
        <f t="shared" si="17"/>
        <v>-0.28590856784182439</v>
      </c>
      <c r="R84" s="1">
        <f t="shared" si="18"/>
        <v>-1</v>
      </c>
      <c r="S84" s="6">
        <v>25</v>
      </c>
      <c r="T84" s="1">
        <f t="shared" si="19"/>
        <v>-0.97094070741941862</v>
      </c>
      <c r="U84" s="18">
        <v>2580.9299999999998</v>
      </c>
      <c r="V84" s="8">
        <f t="shared" si="12"/>
        <v>860.31</v>
      </c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x14ac:dyDescent="0.35">
      <c r="A85" s="2" t="s">
        <v>2</v>
      </c>
      <c r="C85" s="2">
        <v>5135700300</v>
      </c>
      <c r="D85" s="6" t="s">
        <v>96</v>
      </c>
      <c r="E85" s="6">
        <v>30442.01</v>
      </c>
      <c r="F85" s="4">
        <f t="shared" si="13"/>
        <v>-0.35011543015290914</v>
      </c>
      <c r="G85" s="6">
        <v>46263.83</v>
      </c>
      <c r="H85" s="4">
        <f t="shared" si="14"/>
        <v>-1.2346778053455056E-2</v>
      </c>
      <c r="I85" s="6">
        <v>42782.15</v>
      </c>
      <c r="J85" s="1">
        <f t="shared" si="15"/>
        <v>-8.6674659462902717E-2</v>
      </c>
      <c r="K85" s="6">
        <v>67880.73</v>
      </c>
      <c r="L85" s="1">
        <f t="shared" si="16"/>
        <v>0.44913686766926747</v>
      </c>
      <c r="M85" s="18">
        <f t="shared" si="10"/>
        <v>187368.71999999997</v>
      </c>
      <c r="N85" s="8">
        <f t="shared" si="11"/>
        <v>46842.179999999993</v>
      </c>
      <c r="O85" s="6">
        <v>112354.94</v>
      </c>
      <c r="P85" s="1">
        <f t="shared" si="17"/>
        <v>-4.284530708988573E-2</v>
      </c>
      <c r="Q85" s="5">
        <v>36535.78</v>
      </c>
      <c r="R85" s="1">
        <f t="shared" si="18"/>
        <v>-0.6887507279508005</v>
      </c>
      <c r="S85" s="6">
        <v>15893.48</v>
      </c>
      <c r="T85" s="1">
        <f t="shared" si="19"/>
        <v>-0.86460302529935007</v>
      </c>
      <c r="U85" s="18">
        <v>352152.92</v>
      </c>
      <c r="V85" s="8">
        <f t="shared" si="12"/>
        <v>117384.30666666666</v>
      </c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x14ac:dyDescent="0.35">
      <c r="A86" s="2" t="s">
        <v>2</v>
      </c>
      <c r="C86" s="2">
        <v>5145100100</v>
      </c>
      <c r="D86" s="6" t="s">
        <v>97</v>
      </c>
      <c r="E86" s="6">
        <v>21759.68</v>
      </c>
      <c r="F86" s="4">
        <f t="shared" si="13"/>
        <v>-0.51018778249451568</v>
      </c>
      <c r="G86" s="6">
        <v>39549.040000000001</v>
      </c>
      <c r="H86" s="4">
        <f t="shared" si="14"/>
        <v>-0.10974780039903616</v>
      </c>
      <c r="I86" s="6">
        <v>85042.58</v>
      </c>
      <c r="J86" s="1">
        <f t="shared" si="15"/>
        <v>0.91431559159820153</v>
      </c>
      <c r="K86" s="6">
        <v>31346.84</v>
      </c>
      <c r="L86" s="1">
        <f t="shared" si="16"/>
        <v>-0.29438000870464931</v>
      </c>
      <c r="M86" s="18">
        <f t="shared" si="10"/>
        <v>177698.13999999998</v>
      </c>
      <c r="N86" s="8">
        <f t="shared" si="11"/>
        <v>44424.534999999996</v>
      </c>
      <c r="O86" s="6">
        <v>63075.93</v>
      </c>
      <c r="P86" s="1">
        <f t="shared" si="17"/>
        <v>-0.50528293046175343</v>
      </c>
      <c r="Q86" s="5">
        <v>43243.35</v>
      </c>
      <c r="R86" s="1">
        <f t="shared" si="18"/>
        <v>-0.66083380159409888</v>
      </c>
      <c r="S86" s="6">
        <v>98479.57</v>
      </c>
      <c r="T86" s="1">
        <f t="shared" si="19"/>
        <v>-0.22760513749402306</v>
      </c>
      <c r="U86" s="18">
        <v>382496.99</v>
      </c>
      <c r="V86" s="8">
        <f t="shared" si="12"/>
        <v>127498.99666666666</v>
      </c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x14ac:dyDescent="0.35">
      <c r="A87" s="2" t="s">
        <v>2</v>
      </c>
      <c r="C87" s="2">
        <v>5145200100</v>
      </c>
      <c r="D87" s="6" t="s">
        <v>98</v>
      </c>
      <c r="E87" s="6"/>
      <c r="F87" s="4">
        <f t="shared" si="13"/>
        <v>-1</v>
      </c>
      <c r="G87" s="6">
        <v>59.74</v>
      </c>
      <c r="H87" s="4">
        <f t="shared" si="14"/>
        <v>3</v>
      </c>
      <c r="I87" s="6"/>
      <c r="J87" s="1">
        <f t="shared" si="15"/>
        <v>-1</v>
      </c>
      <c r="K87" s="6"/>
      <c r="L87" s="1">
        <f t="shared" si="16"/>
        <v>-1</v>
      </c>
      <c r="M87" s="18">
        <f t="shared" si="10"/>
        <v>59.74</v>
      </c>
      <c r="N87" s="8">
        <f t="shared" si="11"/>
        <v>14.935</v>
      </c>
      <c r="O87" s="6"/>
      <c r="P87" s="1">
        <v>0</v>
      </c>
      <c r="R87" s="1">
        <v>0</v>
      </c>
      <c r="S87" s="16"/>
      <c r="T87" s="1">
        <v>0</v>
      </c>
      <c r="U87" s="18">
        <v>59.74</v>
      </c>
      <c r="V87" s="8">
        <f t="shared" si="12"/>
        <v>19.913333333333334</v>
      </c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x14ac:dyDescent="0.35">
      <c r="A88" s="2" t="s">
        <v>2</v>
      </c>
      <c r="C88" s="2">
        <v>5145250100</v>
      </c>
      <c r="D88" s="6" t="s">
        <v>99</v>
      </c>
      <c r="E88" s="6">
        <v>8293.98</v>
      </c>
      <c r="F88" s="4">
        <f t="shared" si="13"/>
        <v>3</v>
      </c>
      <c r="G88" s="6"/>
      <c r="H88" s="4">
        <f t="shared" si="14"/>
        <v>-1</v>
      </c>
      <c r="I88" s="6"/>
      <c r="J88" s="1">
        <f t="shared" si="15"/>
        <v>-1</v>
      </c>
      <c r="K88" s="6"/>
      <c r="L88" s="1">
        <f t="shared" si="16"/>
        <v>-1</v>
      </c>
      <c r="M88" s="18">
        <f t="shared" si="10"/>
        <v>8293.98</v>
      </c>
      <c r="N88" s="8">
        <f t="shared" si="11"/>
        <v>2073.4949999999999</v>
      </c>
      <c r="O88" s="6"/>
      <c r="P88" s="1">
        <v>0</v>
      </c>
      <c r="R88" s="1">
        <v>0</v>
      </c>
      <c r="S88" s="16"/>
      <c r="T88" s="1">
        <v>0</v>
      </c>
      <c r="U88" s="18">
        <v>8293.98</v>
      </c>
      <c r="V88" s="8">
        <f t="shared" si="12"/>
        <v>2764.66</v>
      </c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x14ac:dyDescent="0.35">
      <c r="A89" s="2" t="s">
        <v>2</v>
      </c>
      <c r="C89" s="2">
        <v>5145400100</v>
      </c>
      <c r="D89" s="6" t="s">
        <v>100</v>
      </c>
      <c r="E89" s="6">
        <v>2252.96</v>
      </c>
      <c r="F89" s="4">
        <f t="shared" si="13"/>
        <v>0.12973788161611055</v>
      </c>
      <c r="G89" s="6">
        <v>2504.9299999999998</v>
      </c>
      <c r="H89" s="4">
        <f t="shared" si="14"/>
        <v>0.25608724158291474</v>
      </c>
      <c r="I89" s="6">
        <v>1467.87</v>
      </c>
      <c r="J89" s="1">
        <f t="shared" si="15"/>
        <v>-0.26394239387834667</v>
      </c>
      <c r="K89" s="6">
        <v>1751.17</v>
      </c>
      <c r="L89" s="1">
        <f t="shared" si="16"/>
        <v>-0.1218827293206784</v>
      </c>
      <c r="M89" s="18">
        <f t="shared" si="10"/>
        <v>7976.9299999999994</v>
      </c>
      <c r="N89" s="8">
        <f t="shared" si="11"/>
        <v>1994.2324999999998</v>
      </c>
      <c r="O89" s="6">
        <v>4786.67</v>
      </c>
      <c r="P89" s="1">
        <f t="shared" si="17"/>
        <v>-0.20550206038180138</v>
      </c>
      <c r="Q89" s="5">
        <v>2761.85</v>
      </c>
      <c r="R89" s="1">
        <f t="shared" si="18"/>
        <v>-0.54158441368748589</v>
      </c>
      <c r="S89" s="6">
        <v>2548.87</v>
      </c>
      <c r="T89" s="1">
        <f t="shared" si="19"/>
        <v>-0.57693512121064583</v>
      </c>
      <c r="U89" s="18">
        <v>18074.32</v>
      </c>
      <c r="V89" s="8">
        <f t="shared" si="12"/>
        <v>6024.7733333333335</v>
      </c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x14ac:dyDescent="0.35">
      <c r="A90" s="2" t="s">
        <v>2</v>
      </c>
      <c r="C90" s="2">
        <v>5145400500</v>
      </c>
      <c r="D90" s="6" t="s">
        <v>101</v>
      </c>
      <c r="E90" s="6">
        <v>-288.08999999999997</v>
      </c>
      <c r="F90" s="4">
        <f t="shared" si="13"/>
        <v>-1.0715561329037995</v>
      </c>
      <c r="G90" s="6">
        <v>789.92</v>
      </c>
      <c r="H90" s="4">
        <f t="shared" si="14"/>
        <v>-0.80379874170096399</v>
      </c>
      <c r="I90" s="6">
        <v>11071.28</v>
      </c>
      <c r="J90" s="1">
        <f t="shared" si="15"/>
        <v>1.7498975427650292</v>
      </c>
      <c r="K90" s="6">
        <v>4531.17</v>
      </c>
      <c r="L90" s="1">
        <f t="shared" si="16"/>
        <v>0.12545733183973451</v>
      </c>
      <c r="M90" s="18">
        <f t="shared" si="10"/>
        <v>16104.28</v>
      </c>
      <c r="N90" s="8">
        <f t="shared" si="11"/>
        <v>4026.07</v>
      </c>
      <c r="O90" s="6">
        <v>26.08</v>
      </c>
      <c r="P90" s="1">
        <f t="shared" si="17"/>
        <v>-0.99715336673324817</v>
      </c>
      <c r="Q90" s="5">
        <v>6707</v>
      </c>
      <c r="R90" s="1">
        <f t="shared" si="18"/>
        <v>-0.26793062422912767</v>
      </c>
      <c r="S90" s="6">
        <v>4647.74</v>
      </c>
      <c r="T90" s="1">
        <f t="shared" si="19"/>
        <v>-0.49269895325103413</v>
      </c>
      <c r="U90" s="18">
        <v>27485.1</v>
      </c>
      <c r="V90" s="8">
        <f t="shared" si="12"/>
        <v>9161.6999999999989</v>
      </c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x14ac:dyDescent="0.35">
      <c r="A91" s="2" t="s">
        <v>2</v>
      </c>
      <c r="C91" s="2">
        <v>5145400600</v>
      </c>
      <c r="D91" s="6" t="s">
        <v>102</v>
      </c>
      <c r="E91" s="6"/>
      <c r="F91" s="4">
        <v>0</v>
      </c>
      <c r="G91" s="6"/>
      <c r="H91" s="4">
        <v>0</v>
      </c>
      <c r="I91" s="6"/>
      <c r="J91" s="1">
        <v>0</v>
      </c>
      <c r="K91" s="6"/>
      <c r="L91" s="1">
        <v>0</v>
      </c>
      <c r="M91" s="18">
        <f t="shared" si="10"/>
        <v>0</v>
      </c>
      <c r="N91" s="8">
        <f t="shared" si="11"/>
        <v>0</v>
      </c>
      <c r="O91" s="6"/>
      <c r="P91" s="1">
        <f t="shared" si="17"/>
        <v>-1</v>
      </c>
      <c r="Q91" s="5">
        <v>55621.34</v>
      </c>
      <c r="R91" s="1">
        <f t="shared" si="18"/>
        <v>0.39759145330514534</v>
      </c>
      <c r="S91" s="6">
        <v>63772.65</v>
      </c>
      <c r="T91" s="1">
        <f t="shared" si="19"/>
        <v>0.60240854669485466</v>
      </c>
      <c r="U91" s="18">
        <v>119393.99</v>
      </c>
      <c r="V91" s="8">
        <f t="shared" si="12"/>
        <v>39797.996666666666</v>
      </c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x14ac:dyDescent="0.35">
      <c r="A92" s="2" t="s">
        <v>2</v>
      </c>
      <c r="C92" s="2">
        <v>5195500100</v>
      </c>
      <c r="D92" s="6" t="s">
        <v>103</v>
      </c>
      <c r="E92" s="6">
        <v>17521.73</v>
      </c>
      <c r="F92" s="4">
        <f t="shared" si="13"/>
        <v>-0.49081934320582288</v>
      </c>
      <c r="G92" s="6">
        <v>30550.91</v>
      </c>
      <c r="H92" s="4">
        <f t="shared" si="14"/>
        <v>-0.11219197993235862</v>
      </c>
      <c r="I92" s="6">
        <v>69933.61</v>
      </c>
      <c r="J92" s="1">
        <f t="shared" si="15"/>
        <v>1.0322674457252701</v>
      </c>
      <c r="K92" s="6">
        <v>19640.22</v>
      </c>
      <c r="L92" s="1">
        <f t="shared" si="16"/>
        <v>-0.42925612258708845</v>
      </c>
      <c r="M92" s="18">
        <f t="shared" si="10"/>
        <v>137646.47</v>
      </c>
      <c r="N92" s="8">
        <f t="shared" si="11"/>
        <v>34411.6175</v>
      </c>
      <c r="O92" s="6">
        <v>60608.6</v>
      </c>
      <c r="P92" s="1">
        <f t="shared" si="17"/>
        <v>-0.42661102828774811</v>
      </c>
      <c r="Q92" s="5">
        <v>61214.21</v>
      </c>
      <c r="R92" s="1">
        <f t="shared" si="18"/>
        <v>-0.42088164177892501</v>
      </c>
      <c r="S92" s="6">
        <v>57637.97</v>
      </c>
      <c r="T92" s="1">
        <f t="shared" si="19"/>
        <v>-0.45471473767944443</v>
      </c>
      <c r="U92" s="18">
        <v>317107.25</v>
      </c>
      <c r="V92" s="8">
        <f t="shared" si="12"/>
        <v>105702.41666666667</v>
      </c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x14ac:dyDescent="0.35">
      <c r="A93" s="2" t="s">
        <v>2</v>
      </c>
      <c r="C93" s="2">
        <v>5195500150</v>
      </c>
      <c r="D93" s="6" t="s">
        <v>104</v>
      </c>
      <c r="E93" s="6">
        <v>3451.79</v>
      </c>
      <c r="F93" s="4">
        <f t="shared" si="13"/>
        <v>-0.73505639029212722</v>
      </c>
      <c r="G93" s="6">
        <v>7725.86</v>
      </c>
      <c r="H93" s="4">
        <f t="shared" si="14"/>
        <v>-0.40699832941816705</v>
      </c>
      <c r="I93" s="6">
        <v>23245.14</v>
      </c>
      <c r="J93" s="1">
        <f t="shared" si="15"/>
        <v>0.7841906082829081</v>
      </c>
      <c r="K93" s="6">
        <v>17690.79</v>
      </c>
      <c r="L93" s="1">
        <f t="shared" si="16"/>
        <v>0.35786411142738611</v>
      </c>
      <c r="M93" s="18">
        <f t="shared" si="10"/>
        <v>52113.58</v>
      </c>
      <c r="N93" s="8">
        <f t="shared" si="11"/>
        <v>13028.395</v>
      </c>
      <c r="O93" s="6">
        <v>17166.34</v>
      </c>
      <c r="P93" s="1">
        <f t="shared" si="17"/>
        <v>-0.58400866570865673</v>
      </c>
      <c r="Q93" s="5">
        <v>27349.02</v>
      </c>
      <c r="R93" s="1">
        <f t="shared" si="18"/>
        <v>-0.33725212704859431</v>
      </c>
      <c r="S93" s="6">
        <v>27169.360000000001</v>
      </c>
      <c r="T93" s="1">
        <f t="shared" si="19"/>
        <v>-0.34160582172776199</v>
      </c>
      <c r="U93" s="18">
        <v>123798.3</v>
      </c>
      <c r="V93" s="8">
        <f t="shared" si="12"/>
        <v>41266.1</v>
      </c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x14ac:dyDescent="0.35">
      <c r="A94" s="2" t="s">
        <v>2</v>
      </c>
      <c r="C94" s="2">
        <v>5195500200</v>
      </c>
      <c r="D94" s="6" t="s">
        <v>105</v>
      </c>
      <c r="E94" s="6">
        <v>13542.32</v>
      </c>
      <c r="F94" s="4">
        <f t="shared" si="13"/>
        <v>-0.38263807488105905</v>
      </c>
      <c r="G94" s="6">
        <v>23940.27</v>
      </c>
      <c r="H94" s="4">
        <f t="shared" si="14"/>
        <v>9.1379554985204059E-2</v>
      </c>
      <c r="I94" s="6">
        <v>28947.08</v>
      </c>
      <c r="J94" s="1">
        <f t="shared" si="15"/>
        <v>0.31962802794292222</v>
      </c>
      <c r="K94" s="6">
        <v>21313.48</v>
      </c>
      <c r="L94" s="1">
        <f t="shared" si="16"/>
        <v>-2.8369508047066876E-2</v>
      </c>
      <c r="M94" s="18">
        <f t="shared" si="10"/>
        <v>87743.15</v>
      </c>
      <c r="N94" s="8">
        <f t="shared" si="11"/>
        <v>21935.787499999999</v>
      </c>
      <c r="O94" s="6">
        <v>45399.35</v>
      </c>
      <c r="P94" s="1">
        <f t="shared" si="17"/>
        <v>-0.38347281517540482</v>
      </c>
      <c r="Q94" s="5">
        <v>33518.78</v>
      </c>
      <c r="R94" s="1">
        <f t="shared" si="18"/>
        <v>-0.54481200563102894</v>
      </c>
      <c r="S94" s="6">
        <v>54250.39</v>
      </c>
      <c r="T94" s="1">
        <f t="shared" si="19"/>
        <v>-0.26327490983160834</v>
      </c>
      <c r="U94" s="18">
        <v>220911.67</v>
      </c>
      <c r="V94" s="8">
        <f t="shared" si="12"/>
        <v>73637.223333333342</v>
      </c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 x14ac:dyDescent="0.35">
      <c r="A95" s="2" t="s">
        <v>2</v>
      </c>
      <c r="C95" s="2">
        <v>5195500300</v>
      </c>
      <c r="D95" s="6" t="s">
        <v>106</v>
      </c>
      <c r="E95" s="6">
        <v>16.399999999999999</v>
      </c>
      <c r="F95" s="4">
        <f t="shared" si="13"/>
        <v>-0.70540686186455903</v>
      </c>
      <c r="G95" s="6">
        <v>26.29</v>
      </c>
      <c r="H95" s="4">
        <f t="shared" si="14"/>
        <v>-0.52775282917190591</v>
      </c>
      <c r="I95" s="6">
        <v>58.12</v>
      </c>
      <c r="J95" s="1">
        <f t="shared" si="15"/>
        <v>4.4009340758038362E-2</v>
      </c>
      <c r="K95" s="6">
        <v>121.87</v>
      </c>
      <c r="L95" s="1">
        <f t="shared" si="16"/>
        <v>1.1891503502784264</v>
      </c>
      <c r="M95" s="18">
        <f t="shared" si="10"/>
        <v>222.68</v>
      </c>
      <c r="N95" s="8">
        <f t="shared" si="11"/>
        <v>55.67</v>
      </c>
      <c r="O95" s="6">
        <v>70.03</v>
      </c>
      <c r="P95" s="1">
        <f t="shared" si="17"/>
        <v>-0.84069125542175971</v>
      </c>
      <c r="Q95" s="5">
        <v>540.42999999999995</v>
      </c>
      <c r="R95" s="1">
        <f t="shared" si="18"/>
        <v>0.2294048955079013</v>
      </c>
      <c r="S95" s="6">
        <v>485.62</v>
      </c>
      <c r="T95" s="1">
        <f t="shared" si="19"/>
        <v>0.10471958506475787</v>
      </c>
      <c r="U95" s="18">
        <v>1318.76</v>
      </c>
      <c r="V95" s="8">
        <f t="shared" si="12"/>
        <v>439.58666666666664</v>
      </c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 x14ac:dyDescent="0.35">
      <c r="A96" s="2" t="s">
        <v>2</v>
      </c>
      <c r="C96" s="2">
        <v>5195500350</v>
      </c>
      <c r="D96" s="6" t="s">
        <v>107</v>
      </c>
      <c r="E96" s="6"/>
      <c r="F96" s="4">
        <f t="shared" si="13"/>
        <v>-1</v>
      </c>
      <c r="G96" s="6"/>
      <c r="H96" s="4">
        <f t="shared" si="14"/>
        <v>-1</v>
      </c>
      <c r="I96" s="6"/>
      <c r="J96" s="1">
        <f t="shared" si="15"/>
        <v>-1</v>
      </c>
      <c r="K96" s="6">
        <v>3331.05</v>
      </c>
      <c r="L96" s="1">
        <f t="shared" si="16"/>
        <v>3.0000000000000004</v>
      </c>
      <c r="M96" s="18">
        <f t="shared" si="10"/>
        <v>3331.05</v>
      </c>
      <c r="N96" s="8">
        <f t="shared" si="11"/>
        <v>832.76250000000005</v>
      </c>
      <c r="O96" s="6"/>
      <c r="P96" s="1">
        <v>0</v>
      </c>
      <c r="R96" s="1">
        <v>0</v>
      </c>
      <c r="S96" s="16"/>
      <c r="T96" s="1">
        <v>0</v>
      </c>
      <c r="U96" s="18">
        <v>3331.05</v>
      </c>
      <c r="V96" s="8">
        <f t="shared" si="12"/>
        <v>1110.3500000000001</v>
      </c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 x14ac:dyDescent="0.35">
      <c r="A97" s="2" t="s">
        <v>2</v>
      </c>
      <c r="C97" s="2">
        <v>5195600100</v>
      </c>
      <c r="D97" s="6" t="s">
        <v>108</v>
      </c>
      <c r="E97" s="6"/>
      <c r="F97" s="4">
        <f t="shared" si="13"/>
        <v>-1</v>
      </c>
      <c r="G97" s="6"/>
      <c r="H97" s="4">
        <f t="shared" si="14"/>
        <v>-1</v>
      </c>
      <c r="I97" s="6"/>
      <c r="J97" s="1">
        <f t="shared" si="15"/>
        <v>-1</v>
      </c>
      <c r="K97" s="6">
        <v>13257.5</v>
      </c>
      <c r="L97" s="1">
        <f t="shared" si="16"/>
        <v>3</v>
      </c>
      <c r="M97" s="18">
        <f t="shared" si="10"/>
        <v>13257.5</v>
      </c>
      <c r="N97" s="8">
        <f t="shared" si="11"/>
        <v>3314.375</v>
      </c>
      <c r="O97" s="6"/>
      <c r="P97" s="1">
        <v>0</v>
      </c>
      <c r="R97" s="1">
        <v>0</v>
      </c>
      <c r="S97" s="16"/>
      <c r="T97" s="1">
        <v>0</v>
      </c>
      <c r="U97" s="18">
        <v>13257.5</v>
      </c>
      <c r="V97" s="8">
        <f t="shared" si="12"/>
        <v>4419.166666666667</v>
      </c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 x14ac:dyDescent="0.35">
      <c r="A98" s="2" t="s">
        <v>2</v>
      </c>
      <c r="C98" s="2">
        <v>5195600150</v>
      </c>
      <c r="D98" s="6" t="s">
        <v>109</v>
      </c>
      <c r="E98" s="6">
        <v>1358</v>
      </c>
      <c r="F98" s="4">
        <f t="shared" si="13"/>
        <v>-0.76049034223161094</v>
      </c>
      <c r="G98" s="6">
        <v>5767.77</v>
      </c>
      <c r="H98" s="4">
        <f t="shared" si="14"/>
        <v>1.7258187619132181E-2</v>
      </c>
      <c r="I98" s="6">
        <v>9180.08</v>
      </c>
      <c r="J98" s="1">
        <f t="shared" si="15"/>
        <v>0.61908528651431005</v>
      </c>
      <c r="K98" s="6">
        <v>6373.82</v>
      </c>
      <c r="L98" s="1">
        <f t="shared" si="16"/>
        <v>0.12414686809816901</v>
      </c>
      <c r="M98" s="18">
        <f t="shared" si="10"/>
        <v>22679.67</v>
      </c>
      <c r="N98" s="8">
        <f t="shared" si="11"/>
        <v>5669.9174999999996</v>
      </c>
      <c r="O98" s="6">
        <v>6212.91</v>
      </c>
      <c r="P98" s="1">
        <f t="shared" si="17"/>
        <v>-0.6569270756543909</v>
      </c>
      <c r="Q98" s="5">
        <v>9284.94</v>
      </c>
      <c r="R98" s="1">
        <f t="shared" si="18"/>
        <v>-0.48729154000725577</v>
      </c>
      <c r="S98" s="6">
        <v>16151.25</v>
      </c>
      <c r="T98" s="1">
        <f t="shared" si="19"/>
        <v>-0.10813828474305603</v>
      </c>
      <c r="U98" s="18">
        <v>54328.77</v>
      </c>
      <c r="V98" s="8">
        <f t="shared" si="12"/>
        <v>18109.59</v>
      </c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 x14ac:dyDescent="0.35">
      <c r="A99" s="2" t="s">
        <v>2</v>
      </c>
      <c r="C99" s="2">
        <v>5195600200</v>
      </c>
      <c r="D99" s="6" t="s">
        <v>110</v>
      </c>
      <c r="E99" s="6"/>
      <c r="F99" s="4">
        <v>0</v>
      </c>
      <c r="G99" s="6"/>
      <c r="H99" s="4">
        <v>0</v>
      </c>
      <c r="I99" s="6"/>
      <c r="J99" s="1">
        <v>0</v>
      </c>
      <c r="K99" s="6"/>
      <c r="L99" s="1">
        <v>0</v>
      </c>
      <c r="M99" s="18">
        <f t="shared" si="10"/>
        <v>0</v>
      </c>
      <c r="N99" s="8">
        <f t="shared" si="11"/>
        <v>0</v>
      </c>
      <c r="O99" s="6"/>
      <c r="P99" s="1">
        <f t="shared" si="17"/>
        <v>-1</v>
      </c>
      <c r="Q99" s="5">
        <v>301.95999999999998</v>
      </c>
      <c r="R99" s="1">
        <f t="shared" si="18"/>
        <v>2.0000000000000004</v>
      </c>
      <c r="S99" s="16"/>
      <c r="T99" s="1">
        <f t="shared" si="19"/>
        <v>-1</v>
      </c>
      <c r="U99" s="18">
        <v>301.95999999999998</v>
      </c>
      <c r="V99" s="8">
        <f t="shared" si="12"/>
        <v>100.65333333333332</v>
      </c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 x14ac:dyDescent="0.35">
      <c r="A100" s="2" t="s">
        <v>2</v>
      </c>
      <c r="B100" s="2" t="s">
        <v>111</v>
      </c>
      <c r="C100" s="2">
        <v>5135700150</v>
      </c>
      <c r="D100" s="6" t="s">
        <v>112</v>
      </c>
      <c r="E100" s="6">
        <v>26726.42</v>
      </c>
      <c r="F100" s="4">
        <f t="shared" si="13"/>
        <v>-1.2156391452104714E-2</v>
      </c>
      <c r="G100" s="6">
        <v>19014.7</v>
      </c>
      <c r="H100" s="4">
        <f t="shared" si="14"/>
        <v>-0.29719169782351446</v>
      </c>
      <c r="I100" s="6">
        <v>35134.120000000003</v>
      </c>
      <c r="J100" s="1">
        <f t="shared" si="15"/>
        <v>0.29860325041493713</v>
      </c>
      <c r="K100" s="6">
        <v>27346.02</v>
      </c>
      <c r="L100" s="1">
        <f t="shared" si="16"/>
        <v>1.0744838860682338E-2</v>
      </c>
      <c r="M100" s="18">
        <f t="shared" si="10"/>
        <v>108221.26</v>
      </c>
      <c r="N100" s="8">
        <f t="shared" si="11"/>
        <v>27055.314999999999</v>
      </c>
      <c r="O100" s="6">
        <v>28818.12</v>
      </c>
      <c r="P100" s="1">
        <f t="shared" si="17"/>
        <v>-0.53768856689560396</v>
      </c>
      <c r="Q100" s="5">
        <v>22550.09</v>
      </c>
      <c r="R100" s="1">
        <f t="shared" si="18"/>
        <v>-0.63824272976401264</v>
      </c>
      <c r="S100" s="6">
        <v>27415.119999999999</v>
      </c>
      <c r="T100" s="1">
        <f t="shared" si="19"/>
        <v>-0.56019603582992261</v>
      </c>
      <c r="U100" s="18">
        <v>187004.59</v>
      </c>
      <c r="V100" s="8">
        <f t="shared" si="12"/>
        <v>62334.863333333335</v>
      </c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 x14ac:dyDescent="0.35">
      <c r="A101" s="2" t="s">
        <v>2</v>
      </c>
      <c r="C101" s="2">
        <v>5135700200</v>
      </c>
      <c r="D101" s="6" t="s">
        <v>113</v>
      </c>
      <c r="E101" s="6">
        <v>9114.2199999999993</v>
      </c>
      <c r="F101" s="4">
        <f t="shared" si="13"/>
        <v>1.3267106392619752</v>
      </c>
      <c r="G101" s="6">
        <v>2303.9299999999998</v>
      </c>
      <c r="H101" s="4">
        <f t="shared" si="14"/>
        <v>-0.41184451954036194</v>
      </c>
      <c r="I101" s="6">
        <v>4120.7</v>
      </c>
      <c r="J101" s="1">
        <f t="shared" si="15"/>
        <v>5.1947015894593461E-2</v>
      </c>
      <c r="K101" s="6">
        <v>130</v>
      </c>
      <c r="L101" s="1">
        <f t="shared" si="16"/>
        <v>-0.96681313561620663</v>
      </c>
      <c r="M101" s="18">
        <f t="shared" si="10"/>
        <v>15668.849999999999</v>
      </c>
      <c r="N101" s="8">
        <f t="shared" si="11"/>
        <v>3917.2124999999996</v>
      </c>
      <c r="O101" s="6">
        <v>979.48</v>
      </c>
      <c r="P101" s="1">
        <f t="shared" si="17"/>
        <v>-0.83549256664268667</v>
      </c>
      <c r="Q101" s="5">
        <v>803.95</v>
      </c>
      <c r="R101" s="1">
        <f t="shared" si="18"/>
        <v>-0.8649735052807489</v>
      </c>
      <c r="S101" s="6">
        <v>409.77</v>
      </c>
      <c r="T101" s="1">
        <f t="shared" si="19"/>
        <v>-0.93117755240859801</v>
      </c>
      <c r="U101" s="18">
        <v>17862.05</v>
      </c>
      <c r="V101" s="8">
        <f t="shared" si="12"/>
        <v>5954.0166666666664</v>
      </c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 x14ac:dyDescent="0.35">
      <c r="A102" s="2" t="s">
        <v>2</v>
      </c>
      <c r="C102" s="2">
        <v>5135700250</v>
      </c>
      <c r="D102" s="6" t="s">
        <v>114</v>
      </c>
      <c r="E102" s="6">
        <v>2101.4299999999998</v>
      </c>
      <c r="F102" s="4">
        <f t="shared" si="13"/>
        <v>0.22461847769870114</v>
      </c>
      <c r="G102" s="6">
        <v>1393.08</v>
      </c>
      <c r="H102" s="4">
        <f t="shared" si="14"/>
        <v>-0.18817590454475924</v>
      </c>
      <c r="I102" s="6">
        <v>2018.86</v>
      </c>
      <c r="J102" s="1">
        <f t="shared" si="15"/>
        <v>0.17650041157059707</v>
      </c>
      <c r="K102" s="6">
        <v>1350.58</v>
      </c>
      <c r="L102" s="1">
        <f t="shared" si="16"/>
        <v>-0.2129429847245391</v>
      </c>
      <c r="M102" s="18">
        <f t="shared" si="10"/>
        <v>6863.95</v>
      </c>
      <c r="N102" s="8">
        <f t="shared" si="11"/>
        <v>1715.9875</v>
      </c>
      <c r="O102" s="6">
        <v>6474.24</v>
      </c>
      <c r="P102" s="1">
        <f t="shared" si="17"/>
        <v>0.26232626759258953</v>
      </c>
      <c r="Q102" s="5">
        <v>1943.49</v>
      </c>
      <c r="R102" s="1">
        <f t="shared" si="18"/>
        <v>-0.62106463804191359</v>
      </c>
      <c r="S102" s="6">
        <v>104.77</v>
      </c>
      <c r="T102" s="1">
        <f t="shared" si="19"/>
        <v>-0.97957228600489388</v>
      </c>
      <c r="U102" s="18">
        <v>15386.45</v>
      </c>
      <c r="V102" s="8">
        <f t="shared" si="12"/>
        <v>5128.8166666666666</v>
      </c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x14ac:dyDescent="0.35">
      <c r="A103" s="2" t="s">
        <v>2</v>
      </c>
      <c r="C103" s="2">
        <v>5195450100</v>
      </c>
      <c r="D103" s="6" t="s">
        <v>115</v>
      </c>
      <c r="E103" s="6"/>
      <c r="F103" s="4">
        <f t="shared" si="13"/>
        <v>-1</v>
      </c>
      <c r="G103" s="6"/>
      <c r="H103" s="4">
        <f t="shared" si="14"/>
        <v>-1</v>
      </c>
      <c r="I103" s="6"/>
      <c r="J103" s="1">
        <f t="shared" si="15"/>
        <v>-1</v>
      </c>
      <c r="K103" s="6">
        <v>0.13</v>
      </c>
      <c r="L103" s="1">
        <f t="shared" si="16"/>
        <v>3</v>
      </c>
      <c r="M103" s="18">
        <f t="shared" si="10"/>
        <v>0.13</v>
      </c>
      <c r="N103" s="8">
        <f t="shared" si="11"/>
        <v>3.2500000000000001E-2</v>
      </c>
      <c r="O103" s="6">
        <v>20.69</v>
      </c>
      <c r="P103" s="1">
        <f t="shared" si="17"/>
        <v>1.9727011494252875</v>
      </c>
      <c r="R103" s="1">
        <f t="shared" si="18"/>
        <v>-1</v>
      </c>
      <c r="S103" s="6">
        <v>0.06</v>
      </c>
      <c r="T103" s="1">
        <f t="shared" si="19"/>
        <v>-0.99137931034482762</v>
      </c>
      <c r="U103" s="18">
        <v>20.88</v>
      </c>
      <c r="V103" s="8">
        <f t="shared" si="12"/>
        <v>6.96</v>
      </c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 x14ac:dyDescent="0.35">
      <c r="A104" s="2" t="s">
        <v>2</v>
      </c>
      <c r="B104" s="2" t="s">
        <v>116</v>
      </c>
      <c r="C104" s="2">
        <v>5305250100</v>
      </c>
      <c r="D104" s="6" t="s">
        <v>117</v>
      </c>
      <c r="E104" s="6">
        <v>819472.85</v>
      </c>
      <c r="F104" s="4">
        <f t="shared" si="13"/>
        <v>-0.25852762984748034</v>
      </c>
      <c r="G104" s="6">
        <v>926789.6</v>
      </c>
      <c r="H104" s="4">
        <f t="shared" si="14"/>
        <v>-0.1614256880570166</v>
      </c>
      <c r="I104" s="6">
        <v>1568186.41</v>
      </c>
      <c r="J104" s="1">
        <f t="shared" si="15"/>
        <v>0.41892058323063536</v>
      </c>
      <c r="K104" s="6">
        <v>1106338.1200000001</v>
      </c>
      <c r="L104" s="1">
        <f t="shared" si="16"/>
        <v>1.0327346738611685E-3</v>
      </c>
      <c r="M104" s="18">
        <f t="shared" si="10"/>
        <v>4420786.9800000004</v>
      </c>
      <c r="N104" s="8">
        <f t="shared" si="11"/>
        <v>1105196.7450000001</v>
      </c>
      <c r="O104" s="6">
        <v>1943021.01</v>
      </c>
      <c r="P104" s="1">
        <f t="shared" si="17"/>
        <v>-0.39417720921342214</v>
      </c>
      <c r="Q104" s="5">
        <v>1898336.54</v>
      </c>
      <c r="R104" s="1">
        <f t="shared" si="18"/>
        <v>-0.40810957030519396</v>
      </c>
      <c r="S104" s="6">
        <v>1359584.99</v>
      </c>
      <c r="T104" s="1">
        <f t="shared" si="19"/>
        <v>-0.57608920916745954</v>
      </c>
      <c r="U104" s="18">
        <v>9621729.5199999996</v>
      </c>
      <c r="V104" s="8">
        <f t="shared" si="12"/>
        <v>3207243.1733333333</v>
      </c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 x14ac:dyDescent="0.35">
      <c r="A105" s="2" t="s">
        <v>2</v>
      </c>
      <c r="B105" s="2" t="s">
        <v>118</v>
      </c>
      <c r="C105" s="2">
        <v>5130750400</v>
      </c>
      <c r="D105" s="6" t="s">
        <v>119</v>
      </c>
      <c r="E105" s="6"/>
      <c r="F105" s="4">
        <f t="shared" si="13"/>
        <v>-1</v>
      </c>
      <c r="G105" s="6"/>
      <c r="H105" s="4">
        <f t="shared" si="14"/>
        <v>-1</v>
      </c>
      <c r="I105" s="6"/>
      <c r="J105" s="1">
        <f t="shared" si="15"/>
        <v>-1</v>
      </c>
      <c r="K105" s="6">
        <v>733</v>
      </c>
      <c r="L105" s="1">
        <f t="shared" si="16"/>
        <v>3</v>
      </c>
      <c r="M105" s="18">
        <f t="shared" si="10"/>
        <v>733</v>
      </c>
      <c r="N105" s="8">
        <f t="shared" si="11"/>
        <v>183.25</v>
      </c>
      <c r="O105" s="6"/>
      <c r="P105" s="1">
        <v>0</v>
      </c>
      <c r="R105" s="1">
        <v>0</v>
      </c>
      <c r="S105" s="16"/>
      <c r="T105" s="1">
        <v>0</v>
      </c>
      <c r="U105" s="18">
        <v>733</v>
      </c>
      <c r="V105" s="8">
        <f t="shared" si="12"/>
        <v>244.33333333333334</v>
      </c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 x14ac:dyDescent="0.35">
      <c r="A106" s="2" t="s">
        <v>2</v>
      </c>
      <c r="C106" s="2">
        <v>5130950600</v>
      </c>
      <c r="D106" s="6" t="s">
        <v>120</v>
      </c>
      <c r="E106" s="6">
        <v>1986.8</v>
      </c>
      <c r="F106" s="4">
        <f t="shared" si="13"/>
        <v>0.27299404765718599</v>
      </c>
      <c r="G106" s="6"/>
      <c r="H106" s="4">
        <f t="shared" si="14"/>
        <v>-1</v>
      </c>
      <c r="I106" s="6">
        <v>742</v>
      </c>
      <c r="J106" s="1">
        <f t="shared" si="15"/>
        <v>-0.52458144586187239</v>
      </c>
      <c r="K106" s="6">
        <v>3514.12</v>
      </c>
      <c r="L106" s="1">
        <f t="shared" si="16"/>
        <v>1.2515873982046861</v>
      </c>
      <c r="M106" s="18">
        <f t="shared" si="10"/>
        <v>6242.92</v>
      </c>
      <c r="N106" s="8">
        <f t="shared" si="11"/>
        <v>1560.73</v>
      </c>
      <c r="O106" s="6"/>
      <c r="P106" s="1">
        <f t="shared" si="17"/>
        <v>-1</v>
      </c>
      <c r="Q106" s="5">
        <v>323</v>
      </c>
      <c r="R106" s="1">
        <f t="shared" si="18"/>
        <v>-0.86139163371916716</v>
      </c>
      <c r="S106" s="6">
        <v>425</v>
      </c>
      <c r="T106" s="1">
        <f t="shared" si="19"/>
        <v>-0.81762057068311467</v>
      </c>
      <c r="U106" s="18">
        <v>6990.92</v>
      </c>
      <c r="V106" s="8">
        <f t="shared" si="12"/>
        <v>2330.3066666666668</v>
      </c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 x14ac:dyDescent="0.35">
      <c r="A107" s="2" t="s">
        <v>2</v>
      </c>
      <c r="C107" s="2">
        <v>5130950700</v>
      </c>
      <c r="D107" s="6" t="s">
        <v>121</v>
      </c>
      <c r="E107" s="6"/>
      <c r="F107" s="4">
        <f t="shared" si="13"/>
        <v>-1</v>
      </c>
      <c r="G107" s="6">
        <v>4599.8999999999996</v>
      </c>
      <c r="H107" s="4">
        <f t="shared" si="14"/>
        <v>-3.1093108710556955E-2</v>
      </c>
      <c r="I107" s="6"/>
      <c r="J107" s="1">
        <f t="shared" si="15"/>
        <v>-1</v>
      </c>
      <c r="K107" s="6">
        <v>14390.16</v>
      </c>
      <c r="L107" s="1">
        <f t="shared" si="16"/>
        <v>2.0310931087105573</v>
      </c>
      <c r="M107" s="18">
        <f t="shared" si="10"/>
        <v>18990.059999999998</v>
      </c>
      <c r="N107" s="8">
        <f t="shared" si="11"/>
        <v>4747.5149999999994</v>
      </c>
      <c r="O107" s="6">
        <v>5670.66</v>
      </c>
      <c r="P107" s="1">
        <f t="shared" si="17"/>
        <v>-0.5857772310641145</v>
      </c>
      <c r="Q107" s="5">
        <v>8722.32</v>
      </c>
      <c r="R107" s="1">
        <f t="shared" si="18"/>
        <v>-0.36286366279324578</v>
      </c>
      <c r="S107" s="6">
        <v>7686.6</v>
      </c>
      <c r="T107" s="1">
        <f t="shared" si="19"/>
        <v>-0.43851954874695753</v>
      </c>
      <c r="U107" s="18">
        <v>41069.64</v>
      </c>
      <c r="V107" s="8">
        <f t="shared" si="12"/>
        <v>13689.88</v>
      </c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 x14ac:dyDescent="0.35">
      <c r="A108" s="2" t="s">
        <v>2</v>
      </c>
      <c r="B108" s="2" t="s">
        <v>122</v>
      </c>
      <c r="C108" s="2">
        <v>5135050100</v>
      </c>
      <c r="D108" s="6" t="s">
        <v>123</v>
      </c>
      <c r="E108" s="6">
        <v>7665.91</v>
      </c>
      <c r="F108" s="4">
        <f t="shared" si="13"/>
        <v>0.12959432632264917</v>
      </c>
      <c r="G108" s="6">
        <v>5749.3</v>
      </c>
      <c r="H108" s="4">
        <f t="shared" si="14"/>
        <v>-0.1528237795216997</v>
      </c>
      <c r="I108" s="6">
        <v>7551.92</v>
      </c>
      <c r="J108" s="1">
        <f t="shared" si="15"/>
        <v>0.11279756543483303</v>
      </c>
      <c r="K108" s="6">
        <v>6178.58</v>
      </c>
      <c r="L108" s="1">
        <f t="shared" si="16"/>
        <v>-8.9568112235782357E-2</v>
      </c>
      <c r="M108" s="18">
        <f t="shared" si="10"/>
        <v>27145.71</v>
      </c>
      <c r="N108" s="8">
        <f t="shared" si="11"/>
        <v>6786.4274999999998</v>
      </c>
      <c r="O108" s="6">
        <v>6856.82</v>
      </c>
      <c r="P108" s="1">
        <f t="shared" si="17"/>
        <v>-0.57939451339875581</v>
      </c>
      <c r="Q108" s="5">
        <v>8457.74</v>
      </c>
      <c r="R108" s="1">
        <f t="shared" si="18"/>
        <v>-0.48119217826240046</v>
      </c>
      <c r="S108" s="6">
        <v>6446.51</v>
      </c>
      <c r="T108" s="1">
        <f t="shared" si="19"/>
        <v>-0.60456341636067634</v>
      </c>
      <c r="U108" s="18">
        <v>48906.78</v>
      </c>
      <c r="V108" s="8">
        <f t="shared" si="12"/>
        <v>16302.26</v>
      </c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 x14ac:dyDescent="0.35">
      <c r="A109" s="2" t="s">
        <v>2</v>
      </c>
      <c r="C109" s="2">
        <v>5135050200</v>
      </c>
      <c r="D109" s="6" t="s">
        <v>124</v>
      </c>
      <c r="E109" s="6">
        <v>103.07</v>
      </c>
      <c r="F109" s="4">
        <f t="shared" si="13"/>
        <v>0.13083548192440614</v>
      </c>
      <c r="G109" s="6">
        <v>98.88</v>
      </c>
      <c r="H109" s="4">
        <f t="shared" si="14"/>
        <v>8.4864775906522569E-2</v>
      </c>
      <c r="I109" s="6">
        <v>119.3</v>
      </c>
      <c r="J109" s="1">
        <f t="shared" si="15"/>
        <v>0.3089033956881892</v>
      </c>
      <c r="K109" s="6">
        <v>43.33</v>
      </c>
      <c r="L109" s="1">
        <f t="shared" si="16"/>
        <v>-0.52460365351911786</v>
      </c>
      <c r="M109" s="18">
        <f t="shared" si="10"/>
        <v>364.58</v>
      </c>
      <c r="N109" s="8">
        <f t="shared" si="11"/>
        <v>91.144999999999996</v>
      </c>
      <c r="O109" s="6">
        <v>10.92</v>
      </c>
      <c r="P109" s="1">
        <f t="shared" si="17"/>
        <v>-0.91716814159292037</v>
      </c>
      <c r="Q109" s="5">
        <v>10</v>
      </c>
      <c r="R109" s="1">
        <f t="shared" si="18"/>
        <v>-0.92414664981036665</v>
      </c>
      <c r="S109" s="6">
        <v>10</v>
      </c>
      <c r="T109" s="1">
        <f t="shared" si="19"/>
        <v>-0.92414664981036665</v>
      </c>
      <c r="U109" s="18">
        <v>395.5</v>
      </c>
      <c r="V109" s="8">
        <f t="shared" si="12"/>
        <v>131.83333333333334</v>
      </c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 x14ac:dyDescent="0.35">
      <c r="A110" s="2" t="s">
        <v>2</v>
      </c>
      <c r="C110" s="2">
        <v>5135250100</v>
      </c>
      <c r="D110" s="6" t="s">
        <v>125</v>
      </c>
      <c r="E110" s="6">
        <v>2567.42</v>
      </c>
      <c r="F110" s="4">
        <f t="shared" si="13"/>
        <v>-0.18731893146914674</v>
      </c>
      <c r="G110" s="6">
        <v>3041.43</v>
      </c>
      <c r="H110" s="4">
        <f t="shared" si="14"/>
        <v>-3.7277663077411254E-2</v>
      </c>
      <c r="I110" s="6">
        <v>3535.2</v>
      </c>
      <c r="J110" s="1">
        <f t="shared" si="15"/>
        <v>0.11901835830143576</v>
      </c>
      <c r="K110" s="6">
        <v>3492.74</v>
      </c>
      <c r="L110" s="1">
        <f t="shared" si="16"/>
        <v>0.10557823624512239</v>
      </c>
      <c r="M110" s="18">
        <f t="shared" si="10"/>
        <v>12636.789999999999</v>
      </c>
      <c r="N110" s="8">
        <f t="shared" si="11"/>
        <v>3159.1974999999998</v>
      </c>
      <c r="O110" s="6">
        <v>3419.66</v>
      </c>
      <c r="P110" s="1">
        <f t="shared" si="17"/>
        <v>-0.55048715211870425</v>
      </c>
      <c r="Q110" s="5">
        <v>3156.08</v>
      </c>
      <c r="R110" s="1">
        <f t="shared" si="18"/>
        <v>-0.58513463065298887</v>
      </c>
      <c r="S110" s="6">
        <v>3609.91</v>
      </c>
      <c r="T110" s="1">
        <f t="shared" si="19"/>
        <v>-0.52547887079558542</v>
      </c>
      <c r="U110" s="18">
        <v>22822.44</v>
      </c>
      <c r="V110" s="8">
        <f t="shared" si="12"/>
        <v>7607.48</v>
      </c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 x14ac:dyDescent="0.35">
      <c r="A111" s="2" t="s">
        <v>2</v>
      </c>
      <c r="C111" s="2">
        <v>5135350100</v>
      </c>
      <c r="D111" s="6" t="s">
        <v>126</v>
      </c>
      <c r="E111" s="6">
        <v>5369.35</v>
      </c>
      <c r="F111" s="4">
        <f t="shared" si="13"/>
        <v>-0.20243043073970535</v>
      </c>
      <c r="G111" s="6">
        <v>6364.77</v>
      </c>
      <c r="H111" s="4">
        <f t="shared" si="14"/>
        <v>-5.456957223111817E-2</v>
      </c>
      <c r="I111" s="6">
        <v>7229.37</v>
      </c>
      <c r="J111" s="1">
        <f t="shared" si="15"/>
        <v>7.3859129489285663E-2</v>
      </c>
      <c r="K111" s="6">
        <v>7965.07</v>
      </c>
      <c r="L111" s="1">
        <f t="shared" si="16"/>
        <v>0.18314087348153771</v>
      </c>
      <c r="M111" s="18">
        <f t="shared" si="10"/>
        <v>26928.560000000001</v>
      </c>
      <c r="N111" s="8">
        <f t="shared" si="11"/>
        <v>6732.14</v>
      </c>
      <c r="O111" s="6">
        <v>8114.72</v>
      </c>
      <c r="P111" s="1">
        <f t="shared" si="17"/>
        <v>-0.52446636135357416</v>
      </c>
      <c r="Q111" s="5">
        <v>8083.2</v>
      </c>
      <c r="R111" s="1">
        <f t="shared" si="18"/>
        <v>-0.52631347626205349</v>
      </c>
      <c r="S111" s="6">
        <v>8066.87</v>
      </c>
      <c r="T111" s="1">
        <f t="shared" si="19"/>
        <v>-0.52727043649223981</v>
      </c>
      <c r="U111" s="18">
        <v>51193.35</v>
      </c>
      <c r="V111" s="8">
        <f t="shared" si="12"/>
        <v>17064.45</v>
      </c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 x14ac:dyDescent="0.35">
      <c r="A112" s="2" t="s">
        <v>2</v>
      </c>
      <c r="C112" s="2">
        <v>5135350200</v>
      </c>
      <c r="D112" s="6" t="s">
        <v>127</v>
      </c>
      <c r="E112" s="6">
        <v>13964.57</v>
      </c>
      <c r="F112" s="4">
        <f t="shared" si="13"/>
        <v>-0.13189414377276493</v>
      </c>
      <c r="G112" s="6">
        <v>15195.81</v>
      </c>
      <c r="H112" s="4">
        <f t="shared" si="14"/>
        <v>-5.5354253577705514E-2</v>
      </c>
      <c r="I112" s="6">
        <v>16661.36</v>
      </c>
      <c r="J112" s="1">
        <f t="shared" si="15"/>
        <v>3.5751490286504081E-2</v>
      </c>
      <c r="K112" s="6">
        <v>18523.27</v>
      </c>
      <c r="L112" s="1">
        <f t="shared" si="16"/>
        <v>0.15149690706396671</v>
      </c>
      <c r="M112" s="18">
        <f t="shared" si="10"/>
        <v>64345.009999999995</v>
      </c>
      <c r="N112" s="8">
        <f t="shared" si="11"/>
        <v>16086.252499999999</v>
      </c>
      <c r="O112" s="6">
        <v>17043.169999999998</v>
      </c>
      <c r="P112" s="1">
        <f t="shared" si="17"/>
        <v>-0.56705320359990297</v>
      </c>
      <c r="Q112" s="5">
        <v>18608.650000000001</v>
      </c>
      <c r="R112" s="1">
        <f t="shared" si="18"/>
        <v>-0.52728539333758517</v>
      </c>
      <c r="S112" s="6">
        <v>18099.689999999999</v>
      </c>
      <c r="T112" s="1">
        <f t="shared" si="19"/>
        <v>-0.54021447880089957</v>
      </c>
      <c r="U112" s="18">
        <v>118096.52</v>
      </c>
      <c r="V112" s="8">
        <f t="shared" si="12"/>
        <v>39365.506666666668</v>
      </c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 x14ac:dyDescent="0.35">
      <c r="A113" s="2" t="s">
        <v>2</v>
      </c>
      <c r="C113" s="2">
        <v>5135350400</v>
      </c>
      <c r="D113" s="6" t="s">
        <v>128</v>
      </c>
      <c r="E113" s="6">
        <v>11243.02</v>
      </c>
      <c r="F113" s="4">
        <f t="shared" si="13"/>
        <v>-0.12879350552087288</v>
      </c>
      <c r="G113" s="6">
        <v>12303.13</v>
      </c>
      <c r="H113" s="4">
        <f t="shared" si="14"/>
        <v>-4.6647007794971267E-2</v>
      </c>
      <c r="I113" s="6">
        <v>13378.64</v>
      </c>
      <c r="J113" s="1">
        <f t="shared" si="15"/>
        <v>3.6692815213192571E-2</v>
      </c>
      <c r="K113" s="6">
        <v>14695.67</v>
      </c>
      <c r="L113" s="1">
        <f t="shared" si="16"/>
        <v>0.13874769810265156</v>
      </c>
      <c r="M113" s="18">
        <f t="shared" si="10"/>
        <v>51620.46</v>
      </c>
      <c r="N113" s="8">
        <f t="shared" si="11"/>
        <v>12905.115</v>
      </c>
      <c r="O113" s="6">
        <v>12215.2</v>
      </c>
      <c r="P113" s="1">
        <f t="shared" si="17"/>
        <v>-0.55865126903296525</v>
      </c>
      <c r="Q113" s="5">
        <v>9226.86</v>
      </c>
      <c r="R113" s="1">
        <f t="shared" si="18"/>
        <v>-0.66662330933505021</v>
      </c>
      <c r="S113" s="6">
        <v>9968.42</v>
      </c>
      <c r="T113" s="1">
        <f t="shared" si="19"/>
        <v>-0.63982992364051272</v>
      </c>
      <c r="U113" s="18">
        <v>83030.94</v>
      </c>
      <c r="V113" s="8">
        <f t="shared" si="12"/>
        <v>27676.98</v>
      </c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 x14ac:dyDescent="0.35">
      <c r="A114" s="2" t="s">
        <v>2</v>
      </c>
      <c r="C114" s="2">
        <v>5135400100</v>
      </c>
      <c r="D114" s="6" t="s">
        <v>129</v>
      </c>
      <c r="E114" s="6"/>
      <c r="F114" s="4">
        <f t="shared" si="13"/>
        <v>-1</v>
      </c>
      <c r="G114" s="6"/>
      <c r="H114" s="4">
        <f t="shared" si="14"/>
        <v>-1</v>
      </c>
      <c r="I114" s="6">
        <v>21.53</v>
      </c>
      <c r="J114" s="1">
        <f t="shared" si="15"/>
        <v>0.92317999106744086</v>
      </c>
      <c r="K114" s="6">
        <v>23.25</v>
      </c>
      <c r="L114" s="1">
        <f t="shared" si="16"/>
        <v>1.076820008932559</v>
      </c>
      <c r="M114" s="18">
        <f t="shared" si="10"/>
        <v>44.78</v>
      </c>
      <c r="N114" s="8">
        <f t="shared" si="11"/>
        <v>11.195</v>
      </c>
      <c r="O114" s="6">
        <v>106.37</v>
      </c>
      <c r="P114" s="1">
        <f t="shared" si="17"/>
        <v>0.47415346237353911</v>
      </c>
      <c r="Q114" s="5">
        <v>57.98</v>
      </c>
      <c r="R114" s="1">
        <f t="shared" si="18"/>
        <v>-0.19647064258326793</v>
      </c>
      <c r="S114" s="6">
        <v>7.34</v>
      </c>
      <c r="T114" s="1">
        <f t="shared" si="19"/>
        <v>-0.89827689749156925</v>
      </c>
      <c r="U114" s="18">
        <v>216.47</v>
      </c>
      <c r="V114" s="8">
        <f t="shared" si="12"/>
        <v>72.156666666666666</v>
      </c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x14ac:dyDescent="0.35">
      <c r="A115" s="2" t="s">
        <v>2</v>
      </c>
      <c r="C115" s="2">
        <v>5135700100</v>
      </c>
      <c r="D115" s="6" t="s">
        <v>130</v>
      </c>
      <c r="E115" s="6">
        <v>14655.16</v>
      </c>
      <c r="F115" s="4">
        <f t="shared" si="13"/>
        <v>-8.2755028323658469E-2</v>
      </c>
      <c r="G115" s="6">
        <v>12814.76</v>
      </c>
      <c r="H115" s="4">
        <f t="shared" si="14"/>
        <v>-0.19794296526007804</v>
      </c>
      <c r="I115" s="6">
        <v>18636.5</v>
      </c>
      <c r="J115" s="1">
        <f t="shared" si="15"/>
        <v>0.16643120338816764</v>
      </c>
      <c r="K115" s="6">
        <v>17803.05</v>
      </c>
      <c r="L115" s="1">
        <f t="shared" si="16"/>
        <v>0.11426679019556876</v>
      </c>
      <c r="M115" s="18">
        <f t="shared" si="10"/>
        <v>63909.47</v>
      </c>
      <c r="N115" s="8">
        <f t="shared" si="11"/>
        <v>15977.3675</v>
      </c>
      <c r="O115" s="6">
        <v>18902.240000000002</v>
      </c>
      <c r="P115" s="1">
        <f t="shared" si="17"/>
        <v>-0.45323025968484915</v>
      </c>
      <c r="Q115" s="5">
        <v>11208.17</v>
      </c>
      <c r="R115" s="1">
        <f t="shared" si="18"/>
        <v>-0.67579037191845714</v>
      </c>
      <c r="S115" s="6">
        <v>9692.3700000000008</v>
      </c>
      <c r="T115" s="1">
        <f t="shared" si="19"/>
        <v>-0.71963668708373396</v>
      </c>
      <c r="U115" s="18">
        <v>103712.25</v>
      </c>
      <c r="V115" s="8">
        <f t="shared" si="12"/>
        <v>34570.75</v>
      </c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 x14ac:dyDescent="0.35">
      <c r="A116" s="2" t="s">
        <v>2</v>
      </c>
      <c r="C116" s="2">
        <v>5135700350</v>
      </c>
      <c r="D116" s="6" t="s">
        <v>131</v>
      </c>
      <c r="E116" s="6">
        <v>58.26</v>
      </c>
      <c r="F116" s="4">
        <f t="shared" si="13"/>
        <v>-0.24435797665369646</v>
      </c>
      <c r="G116" s="6">
        <v>62.96</v>
      </c>
      <c r="H116" s="4">
        <f t="shared" si="14"/>
        <v>-0.18339818417639422</v>
      </c>
      <c r="I116" s="6">
        <v>142.69</v>
      </c>
      <c r="J116" s="1">
        <f t="shared" si="15"/>
        <v>0.85071335927367064</v>
      </c>
      <c r="K116" s="6">
        <v>44.49</v>
      </c>
      <c r="L116" s="1">
        <f t="shared" si="16"/>
        <v>-0.42295719844357971</v>
      </c>
      <c r="M116" s="18">
        <f t="shared" si="10"/>
        <v>308.39999999999998</v>
      </c>
      <c r="N116" s="8">
        <f t="shared" si="11"/>
        <v>77.099999999999994</v>
      </c>
      <c r="O116" s="6">
        <v>60.03</v>
      </c>
      <c r="P116" s="1">
        <f t="shared" si="17"/>
        <v>-0.90192191439883673</v>
      </c>
      <c r="Q116" s="5">
        <v>1268.47</v>
      </c>
      <c r="R116" s="1">
        <f t="shared" si="18"/>
        <v>1.0724489295770043</v>
      </c>
      <c r="S116" s="6">
        <v>199.29</v>
      </c>
      <c r="T116" s="1">
        <f t="shared" si="19"/>
        <v>-0.67439644045550851</v>
      </c>
      <c r="U116" s="18">
        <v>1836.19</v>
      </c>
      <c r="V116" s="8">
        <f t="shared" si="12"/>
        <v>612.06333333333339</v>
      </c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x14ac:dyDescent="0.35">
      <c r="A117" s="2" t="s">
        <v>2</v>
      </c>
      <c r="C117" s="2">
        <v>5135800100</v>
      </c>
      <c r="D117" s="6" t="s">
        <v>132</v>
      </c>
      <c r="E117" s="6">
        <v>125.32</v>
      </c>
      <c r="F117" s="4">
        <f t="shared" si="13"/>
        <v>-0.73132088416268248</v>
      </c>
      <c r="G117" s="6">
        <v>1032.4100000000001</v>
      </c>
      <c r="H117" s="4">
        <f t="shared" si="14"/>
        <v>1.2134296679030079</v>
      </c>
      <c r="I117" s="6">
        <v>350.44</v>
      </c>
      <c r="J117" s="1">
        <f t="shared" si="15"/>
        <v>-0.24867611431511696</v>
      </c>
      <c r="K117" s="6">
        <v>357.55</v>
      </c>
      <c r="L117" s="1">
        <f t="shared" si="16"/>
        <v>-0.23343266942520849</v>
      </c>
      <c r="M117" s="18">
        <f t="shared" si="10"/>
        <v>1865.72</v>
      </c>
      <c r="N117" s="8">
        <f t="shared" si="11"/>
        <v>466.43</v>
      </c>
      <c r="O117" s="6">
        <v>909.53</v>
      </c>
      <c r="P117" s="1">
        <f t="shared" si="17"/>
        <v>-0.87270571100274363</v>
      </c>
      <c r="Q117" s="5">
        <v>10159.11</v>
      </c>
      <c r="R117" s="1">
        <f t="shared" si="18"/>
        <v>0.4218296090232509</v>
      </c>
      <c r="S117" s="6">
        <v>8500.93</v>
      </c>
      <c r="T117" s="1">
        <f t="shared" si="19"/>
        <v>0.18975717146817228</v>
      </c>
      <c r="U117" s="18">
        <v>21435.29</v>
      </c>
      <c r="V117" s="8">
        <f t="shared" si="12"/>
        <v>7145.0966666666673</v>
      </c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x14ac:dyDescent="0.35">
      <c r="A118" s="2" t="s">
        <v>2</v>
      </c>
      <c r="B118" s="2" t="s">
        <v>133</v>
      </c>
      <c r="C118" s="2">
        <v>5106950400</v>
      </c>
      <c r="D118" s="6" t="s">
        <v>133</v>
      </c>
      <c r="E118" s="6"/>
      <c r="F118" s="4">
        <f t="shared" si="13"/>
        <v>-1</v>
      </c>
      <c r="G118" s="6"/>
      <c r="H118" s="4">
        <f t="shared" si="14"/>
        <v>-1</v>
      </c>
      <c r="I118" s="6"/>
      <c r="J118" s="1">
        <f t="shared" si="15"/>
        <v>-1</v>
      </c>
      <c r="K118" s="6">
        <v>5730</v>
      </c>
      <c r="L118" s="1">
        <f t="shared" si="16"/>
        <v>3</v>
      </c>
      <c r="M118" s="18">
        <f t="shared" si="10"/>
        <v>5730</v>
      </c>
      <c r="N118" s="8">
        <f t="shared" si="11"/>
        <v>1432.5</v>
      </c>
      <c r="O118" s="6">
        <v>186.25</v>
      </c>
      <c r="P118" s="1">
        <f t="shared" si="17"/>
        <v>-0.90555672934713716</v>
      </c>
      <c r="R118" s="1">
        <f t="shared" si="18"/>
        <v>-1</v>
      </c>
      <c r="S118" s="16"/>
      <c r="T118" s="1">
        <f t="shared" si="19"/>
        <v>-1</v>
      </c>
      <c r="U118" s="18">
        <v>5916.25</v>
      </c>
      <c r="V118" s="8">
        <f t="shared" si="12"/>
        <v>1972.0833333333333</v>
      </c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 x14ac:dyDescent="0.35">
      <c r="A119" s="2" t="s">
        <v>2</v>
      </c>
      <c r="D119" s="6" t="s">
        <v>134</v>
      </c>
      <c r="E119" s="6"/>
      <c r="F119" s="4">
        <v>0</v>
      </c>
      <c r="G119" s="6"/>
      <c r="H119" s="4">
        <v>0</v>
      </c>
      <c r="I119" s="6"/>
      <c r="J119" s="1">
        <v>0</v>
      </c>
      <c r="K119" s="6"/>
      <c r="L119" s="1">
        <v>0</v>
      </c>
      <c r="M119" s="18">
        <f t="shared" si="10"/>
        <v>0</v>
      </c>
      <c r="N119" s="8">
        <f t="shared" si="11"/>
        <v>0</v>
      </c>
      <c r="O119" s="6"/>
      <c r="P119" s="1">
        <f t="shared" si="17"/>
        <v>-1</v>
      </c>
      <c r="Q119" s="5">
        <v>450.01</v>
      </c>
      <c r="R119" s="1">
        <f t="shared" si="18"/>
        <v>2</v>
      </c>
      <c r="S119" s="16"/>
      <c r="T119" s="1">
        <f t="shared" si="19"/>
        <v>-1</v>
      </c>
      <c r="U119" s="18">
        <v>450.01</v>
      </c>
      <c r="V119" s="8">
        <f t="shared" si="12"/>
        <v>150.00333333333333</v>
      </c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 x14ac:dyDescent="0.35">
      <c r="A120" s="2" t="s">
        <v>2</v>
      </c>
      <c r="C120" s="2">
        <v>5121300100</v>
      </c>
      <c r="D120" s="6" t="s">
        <v>135</v>
      </c>
      <c r="E120" s="6"/>
      <c r="F120" s="4">
        <v>0</v>
      </c>
      <c r="G120" s="6"/>
      <c r="H120" s="4">
        <v>0</v>
      </c>
      <c r="I120" s="6"/>
      <c r="J120" s="1">
        <v>0</v>
      </c>
      <c r="K120" s="6"/>
      <c r="L120" s="1">
        <v>0</v>
      </c>
      <c r="M120" s="18">
        <f t="shared" si="10"/>
        <v>0</v>
      </c>
      <c r="N120" s="8">
        <f t="shared" si="11"/>
        <v>0</v>
      </c>
      <c r="O120" s="6"/>
      <c r="P120" s="1">
        <f t="shared" si="17"/>
        <v>-1</v>
      </c>
      <c r="R120" s="1">
        <f t="shared" si="18"/>
        <v>-1</v>
      </c>
      <c r="S120" s="6">
        <v>83.88</v>
      </c>
      <c r="T120" s="1">
        <f t="shared" si="19"/>
        <v>2.0000000000000004</v>
      </c>
      <c r="U120" s="18">
        <v>83.88</v>
      </c>
      <c r="V120" s="8">
        <f t="shared" si="12"/>
        <v>27.959999999999997</v>
      </c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x14ac:dyDescent="0.35">
      <c r="A121" s="2" t="s">
        <v>2</v>
      </c>
      <c r="C121" s="2">
        <v>5195350100</v>
      </c>
      <c r="D121" s="6" t="s">
        <v>136</v>
      </c>
      <c r="E121" s="6">
        <v>3591.55</v>
      </c>
      <c r="F121" s="4">
        <f t="shared" si="13"/>
        <v>-0.33450532142815781</v>
      </c>
      <c r="G121" s="6">
        <v>4410.43</v>
      </c>
      <c r="H121" s="4">
        <f t="shared" si="14"/>
        <v>-0.18277131176967881</v>
      </c>
      <c r="I121" s="6">
        <v>8554.4699999999993</v>
      </c>
      <c r="J121" s="1">
        <f t="shared" si="15"/>
        <v>0.58509675850328302</v>
      </c>
      <c r="K121" s="6">
        <v>5030.8</v>
      </c>
      <c r="L121" s="1">
        <f t="shared" si="16"/>
        <v>-6.7820125305446469E-2</v>
      </c>
      <c r="M121" s="18">
        <f t="shared" si="10"/>
        <v>21587.25</v>
      </c>
      <c r="N121" s="8">
        <f t="shared" si="11"/>
        <v>5396.8125</v>
      </c>
      <c r="O121" s="6">
        <v>9075.51</v>
      </c>
      <c r="P121" s="1">
        <f t="shared" si="17"/>
        <v>-0.46291204266004271</v>
      </c>
      <c r="Q121" s="5">
        <v>9896.83</v>
      </c>
      <c r="R121" s="1">
        <f t="shared" si="18"/>
        <v>-0.41430639062258656</v>
      </c>
      <c r="S121" s="6">
        <v>10133.280000000001</v>
      </c>
      <c r="T121" s="1">
        <f t="shared" si="19"/>
        <v>-0.40031329849740205</v>
      </c>
      <c r="U121" s="18">
        <v>50692.87</v>
      </c>
      <c r="V121" s="8">
        <f t="shared" si="12"/>
        <v>16897.623333333333</v>
      </c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x14ac:dyDescent="0.35">
      <c r="A122" s="2" t="s">
        <v>2</v>
      </c>
      <c r="C122" s="2">
        <v>5195400100</v>
      </c>
      <c r="D122" s="6" t="s">
        <v>137</v>
      </c>
      <c r="E122" s="6">
        <v>1916.52</v>
      </c>
      <c r="F122" s="4">
        <f t="shared" si="13"/>
        <v>-0.57559115449516574</v>
      </c>
      <c r="G122" s="6">
        <v>3392.4</v>
      </c>
      <c r="H122" s="4">
        <f t="shared" si="14"/>
        <v>-0.24876100041189256</v>
      </c>
      <c r="I122" s="6">
        <v>9563.7099999999991</v>
      </c>
      <c r="J122" s="1">
        <f t="shared" si="15"/>
        <v>1.1178610814617316</v>
      </c>
      <c r="K122" s="6">
        <v>3190.33</v>
      </c>
      <c r="L122" s="1">
        <f t="shared" si="16"/>
        <v>-0.2935089265546732</v>
      </c>
      <c r="M122" s="18">
        <f t="shared" si="10"/>
        <v>18062.96</v>
      </c>
      <c r="N122" s="8">
        <f t="shared" si="11"/>
        <v>4515.74</v>
      </c>
      <c r="O122" s="6">
        <v>6734.33</v>
      </c>
      <c r="P122" s="1">
        <f t="shared" si="17"/>
        <v>-0.39307504988364989</v>
      </c>
      <c r="Q122" s="5">
        <v>3883.26</v>
      </c>
      <c r="R122" s="1">
        <f t="shared" si="18"/>
        <v>-0.65002496435594659</v>
      </c>
      <c r="S122" s="6">
        <v>4606.91</v>
      </c>
      <c r="T122" s="1">
        <f t="shared" si="19"/>
        <v>-0.58480671099567227</v>
      </c>
      <c r="U122" s="18">
        <v>33287.46</v>
      </c>
      <c r="V122" s="8">
        <f t="shared" si="12"/>
        <v>11095.82</v>
      </c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x14ac:dyDescent="0.35">
      <c r="A123" s="2" t="s">
        <v>2</v>
      </c>
      <c r="C123" s="2">
        <v>5195650100</v>
      </c>
      <c r="D123" s="6" t="s">
        <v>138</v>
      </c>
      <c r="E123" s="6">
        <v>16012.29</v>
      </c>
      <c r="F123" s="4">
        <f t="shared" si="13"/>
        <v>-0.63554415734911662</v>
      </c>
      <c r="G123" s="6">
        <v>39524.49</v>
      </c>
      <c r="H123" s="4">
        <f t="shared" si="14"/>
        <v>-0.10038281168424923</v>
      </c>
      <c r="I123" s="6">
        <v>85659.36</v>
      </c>
      <c r="J123" s="1">
        <f t="shared" si="15"/>
        <v>0.94969328120683383</v>
      </c>
      <c r="K123" s="6">
        <v>34543.01</v>
      </c>
      <c r="L123" s="1">
        <f t="shared" si="16"/>
        <v>-0.21376631217346853</v>
      </c>
      <c r="M123" s="18">
        <f t="shared" si="10"/>
        <v>175739.15000000002</v>
      </c>
      <c r="N123" s="8">
        <f t="shared" si="11"/>
        <v>43934.787500000006</v>
      </c>
      <c r="O123" s="6">
        <v>46324</v>
      </c>
      <c r="P123" s="1">
        <f t="shared" si="17"/>
        <v>-0.56274306079731584</v>
      </c>
      <c r="Q123" s="5">
        <v>40381.089999999997</v>
      </c>
      <c r="R123" s="1">
        <f t="shared" si="18"/>
        <v>-0.61883879166159839</v>
      </c>
      <c r="S123" s="6">
        <v>55382.62</v>
      </c>
      <c r="T123" s="1">
        <f t="shared" si="19"/>
        <v>-0.47723782690990935</v>
      </c>
      <c r="U123" s="18">
        <v>317826.86</v>
      </c>
      <c r="V123" s="8">
        <f t="shared" si="12"/>
        <v>105942.28666666667</v>
      </c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1:39" x14ac:dyDescent="0.35">
      <c r="A124" s="2" t="s">
        <v>2</v>
      </c>
      <c r="C124" s="2">
        <v>5195650300</v>
      </c>
      <c r="D124" s="6" t="s">
        <v>139</v>
      </c>
      <c r="E124" s="6">
        <v>3036.65</v>
      </c>
      <c r="F124" s="4">
        <f t="shared" si="13"/>
        <v>-0.4577752025430542</v>
      </c>
      <c r="G124" s="6">
        <v>7343.27</v>
      </c>
      <c r="H124" s="4">
        <f t="shared" si="14"/>
        <v>0.31121567794170107</v>
      </c>
      <c r="I124" s="6">
        <v>10426.43</v>
      </c>
      <c r="J124" s="1">
        <f t="shared" si="15"/>
        <v>0.86174530978183972</v>
      </c>
      <c r="K124" s="6">
        <v>1595.06</v>
      </c>
      <c r="L124" s="1">
        <f t="shared" si="16"/>
        <v>-0.71518578518048637</v>
      </c>
      <c r="M124" s="18">
        <f t="shared" si="10"/>
        <v>22401.41</v>
      </c>
      <c r="N124" s="8">
        <f t="shared" si="11"/>
        <v>5600.3525</v>
      </c>
      <c r="O124" s="6">
        <v>821.1</v>
      </c>
      <c r="P124" s="1">
        <f t="shared" si="17"/>
        <v>-0.91699976716940323</v>
      </c>
      <c r="Q124" s="5">
        <v>6420.99</v>
      </c>
      <c r="R124" s="1">
        <f t="shared" si="18"/>
        <v>-0.35093939227507848</v>
      </c>
      <c r="S124" s="6">
        <v>34.729999999999997</v>
      </c>
      <c r="T124" s="1">
        <f t="shared" si="19"/>
        <v>-0.99648934589428018</v>
      </c>
      <c r="U124" s="18">
        <v>29678.23</v>
      </c>
      <c r="V124" s="8">
        <f t="shared" si="12"/>
        <v>9892.7433333333338</v>
      </c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1:39" x14ac:dyDescent="0.35">
      <c r="A125" s="2" t="s">
        <v>2</v>
      </c>
      <c r="C125" s="2">
        <v>5195650400</v>
      </c>
      <c r="D125" s="6" t="s">
        <v>140</v>
      </c>
      <c r="E125" s="6">
        <v>1345.69</v>
      </c>
      <c r="F125" s="4">
        <f t="shared" si="13"/>
        <v>-1.8249732801733486E-2</v>
      </c>
      <c r="G125" s="6">
        <v>1346.17</v>
      </c>
      <c r="H125" s="4">
        <f t="shared" si="14"/>
        <v>-1.7899548042795553E-2</v>
      </c>
      <c r="I125" s="6">
        <v>1902.74</v>
      </c>
      <c r="J125" s="1">
        <f t="shared" si="15"/>
        <v>0.38814697546153243</v>
      </c>
      <c r="K125" s="6">
        <v>888.22</v>
      </c>
      <c r="L125" s="1">
        <f t="shared" si="16"/>
        <v>-0.3519976946170037</v>
      </c>
      <c r="M125" s="18">
        <f t="shared" si="10"/>
        <v>5482.8200000000006</v>
      </c>
      <c r="N125" s="8">
        <f t="shared" si="11"/>
        <v>1370.7050000000002</v>
      </c>
      <c r="O125" s="6">
        <v>4966.68</v>
      </c>
      <c r="P125" s="1">
        <f t="shared" si="17"/>
        <v>0.41194330257389933</v>
      </c>
      <c r="Q125" s="5">
        <v>18.829999999999998</v>
      </c>
      <c r="R125" s="1">
        <f t="shared" si="18"/>
        <v>-0.99464694878923821</v>
      </c>
      <c r="S125" s="6">
        <v>84.53</v>
      </c>
      <c r="T125" s="1">
        <f t="shared" si="19"/>
        <v>-0.97596954759183763</v>
      </c>
      <c r="U125" s="18">
        <v>10552.86</v>
      </c>
      <c r="V125" s="8">
        <f t="shared" si="12"/>
        <v>3517.6200000000003</v>
      </c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1:39" x14ac:dyDescent="0.35">
      <c r="A126" s="2" t="s">
        <v>2</v>
      </c>
      <c r="C126" s="2">
        <v>5205950300</v>
      </c>
      <c r="D126" s="6" t="s">
        <v>141</v>
      </c>
      <c r="E126" s="6"/>
      <c r="F126" s="4">
        <f t="shared" si="13"/>
        <v>-1</v>
      </c>
      <c r="G126" s="6"/>
      <c r="H126" s="4">
        <f t="shared" si="14"/>
        <v>-1</v>
      </c>
      <c r="I126" s="6">
        <v>-0.41</v>
      </c>
      <c r="J126" s="1">
        <f t="shared" si="15"/>
        <v>3</v>
      </c>
      <c r="K126" s="6"/>
      <c r="L126" s="1">
        <f t="shared" si="16"/>
        <v>-1</v>
      </c>
      <c r="M126" s="18">
        <f t="shared" si="10"/>
        <v>-0.41</v>
      </c>
      <c r="N126" s="8">
        <f t="shared" si="11"/>
        <v>-0.10249999999999999</v>
      </c>
      <c r="O126" s="6"/>
      <c r="P126" s="1">
        <v>0</v>
      </c>
      <c r="R126" s="1">
        <v>0</v>
      </c>
      <c r="S126" s="16"/>
      <c r="T126" s="1">
        <v>0</v>
      </c>
      <c r="U126" s="18">
        <v>-0.41</v>
      </c>
      <c r="V126" s="8">
        <f t="shared" si="12"/>
        <v>-0.13666666666666666</v>
      </c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1:39" x14ac:dyDescent="0.35">
      <c r="A127" s="2" t="s">
        <v>2</v>
      </c>
      <c r="C127" s="2">
        <v>5315150100</v>
      </c>
      <c r="D127" s="6" t="s">
        <v>142</v>
      </c>
      <c r="E127" s="6"/>
      <c r="F127" s="4">
        <v>0</v>
      </c>
      <c r="G127" s="6"/>
      <c r="H127" s="4">
        <v>0</v>
      </c>
      <c r="I127" s="6"/>
      <c r="J127" s="1">
        <v>0</v>
      </c>
      <c r="K127" s="6"/>
      <c r="L127" s="1">
        <v>0</v>
      </c>
      <c r="M127" s="18">
        <f t="shared" si="10"/>
        <v>0</v>
      </c>
      <c r="N127" s="8">
        <f t="shared" si="11"/>
        <v>0</v>
      </c>
      <c r="O127" s="6">
        <v>1188.6500000000001</v>
      </c>
      <c r="P127" s="1">
        <f t="shared" si="17"/>
        <v>2</v>
      </c>
      <c r="R127" s="1">
        <f t="shared" si="18"/>
        <v>-1</v>
      </c>
      <c r="S127" s="16"/>
      <c r="T127" s="1">
        <f t="shared" si="19"/>
        <v>-1</v>
      </c>
      <c r="U127" s="18">
        <v>1188.6500000000001</v>
      </c>
      <c r="V127" s="8">
        <f t="shared" si="12"/>
        <v>396.2166666666667</v>
      </c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1:39" x14ac:dyDescent="0.35">
      <c r="A128" s="2" t="s">
        <v>2</v>
      </c>
      <c r="C128" s="2">
        <v>5315250200</v>
      </c>
      <c r="D128" s="6" t="s">
        <v>143</v>
      </c>
      <c r="E128" s="6">
        <v>284.7</v>
      </c>
      <c r="F128" s="4">
        <f t="shared" si="13"/>
        <v>-0.50237712368034682</v>
      </c>
      <c r="G128" s="6">
        <v>210.18</v>
      </c>
      <c r="H128" s="4">
        <f t="shared" si="14"/>
        <v>-0.63262951828287772</v>
      </c>
      <c r="I128" s="6">
        <v>1202.71</v>
      </c>
      <c r="J128" s="1">
        <f t="shared" si="15"/>
        <v>1.1021988394043207</v>
      </c>
      <c r="K128" s="6">
        <v>590.89</v>
      </c>
      <c r="L128" s="1">
        <f t="shared" si="16"/>
        <v>3.2807802558903691E-2</v>
      </c>
      <c r="M128" s="18">
        <f t="shared" si="10"/>
        <v>2288.48</v>
      </c>
      <c r="N128" s="8">
        <f t="shared" si="11"/>
        <v>572.12</v>
      </c>
      <c r="O128" s="6">
        <v>455.75</v>
      </c>
      <c r="P128" s="1">
        <f t="shared" si="17"/>
        <v>-0.79976362661792744</v>
      </c>
      <c r="Q128" s="5">
        <v>377.31</v>
      </c>
      <c r="R128" s="1">
        <f t="shared" si="18"/>
        <v>-0.83422668998181071</v>
      </c>
      <c r="S128" s="6">
        <v>3706.64</v>
      </c>
      <c r="T128" s="1">
        <f t="shared" si="19"/>
        <v>0.62853351844854699</v>
      </c>
      <c r="U128" s="18">
        <v>6828.18</v>
      </c>
      <c r="V128" s="8">
        <f t="shared" si="12"/>
        <v>2276.06</v>
      </c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1:39" x14ac:dyDescent="0.35">
      <c r="A129" s="2" t="s">
        <v>2</v>
      </c>
      <c r="C129" s="2">
        <v>5395350250</v>
      </c>
      <c r="D129" s="6" t="s">
        <v>144</v>
      </c>
      <c r="E129" s="6">
        <v>876.94</v>
      </c>
      <c r="F129" s="4">
        <f t="shared" si="13"/>
        <v>0.28888790905149297</v>
      </c>
      <c r="G129" s="6">
        <v>790.9</v>
      </c>
      <c r="H129" s="4">
        <f t="shared" si="14"/>
        <v>0.16243009472578024</v>
      </c>
      <c r="I129" s="6">
        <v>413.7</v>
      </c>
      <c r="J129" s="1">
        <f t="shared" si="15"/>
        <v>-0.39196190392204416</v>
      </c>
      <c r="K129" s="6">
        <v>640</v>
      </c>
      <c r="L129" s="1">
        <f t="shared" si="16"/>
        <v>-5.9356099855229015E-2</v>
      </c>
      <c r="M129" s="18">
        <f t="shared" si="10"/>
        <v>2721.54</v>
      </c>
      <c r="N129" s="8">
        <f t="shared" si="11"/>
        <v>680.38499999999999</v>
      </c>
      <c r="O129" s="6">
        <v>643.17999999999995</v>
      </c>
      <c r="P129" s="1">
        <f t="shared" si="17"/>
        <v>-0.51207213950477426</v>
      </c>
      <c r="Q129" s="5">
        <v>507</v>
      </c>
      <c r="R129" s="1">
        <f t="shared" si="18"/>
        <v>-0.61538072503641372</v>
      </c>
      <c r="S129" s="6">
        <v>82.84</v>
      </c>
      <c r="T129" s="1">
        <f t="shared" si="19"/>
        <v>-0.93715609321896753</v>
      </c>
      <c r="U129" s="18">
        <v>3954.56</v>
      </c>
      <c r="V129" s="8">
        <f t="shared" si="12"/>
        <v>1318.1866666666667</v>
      </c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1:39" x14ac:dyDescent="0.35">
      <c r="A130" s="2" t="s">
        <v>2</v>
      </c>
      <c r="C130" s="2">
        <v>5396150100</v>
      </c>
      <c r="D130" s="6" t="s">
        <v>145</v>
      </c>
      <c r="E130" s="6">
        <v>31477.3</v>
      </c>
      <c r="F130" s="4">
        <f t="shared" si="13"/>
        <v>0.39168615050709926</v>
      </c>
      <c r="G130" s="6">
        <v>0</v>
      </c>
      <c r="H130" s="4">
        <f t="shared" si="14"/>
        <v>-1</v>
      </c>
      <c r="I130" s="6">
        <v>82855.12</v>
      </c>
      <c r="J130" s="1">
        <f t="shared" si="15"/>
        <v>2.6632215279774241</v>
      </c>
      <c r="K130" s="6">
        <v>-23860.01</v>
      </c>
      <c r="L130" s="1">
        <f t="shared" si="16"/>
        <v>-2.0549076784845237</v>
      </c>
      <c r="M130" s="18">
        <f t="shared" si="10"/>
        <v>90472.41</v>
      </c>
      <c r="N130" s="8">
        <f t="shared" si="11"/>
        <v>22618.102500000001</v>
      </c>
      <c r="O130" s="6">
        <v>-4868.6099999999997</v>
      </c>
      <c r="P130" s="1">
        <f t="shared" si="17"/>
        <v>-1.1598617200822194</v>
      </c>
      <c r="Q130" s="5">
        <v>1361.15</v>
      </c>
      <c r="R130" s="1">
        <f t="shared" si="18"/>
        <v>-0.95530638513047605</v>
      </c>
      <c r="S130" s="6">
        <v>4400.45</v>
      </c>
      <c r="T130" s="1">
        <f t="shared" si="19"/>
        <v>-0.855510401092755</v>
      </c>
      <c r="U130" s="18">
        <v>91365.4</v>
      </c>
      <c r="V130" s="8">
        <f t="shared" si="12"/>
        <v>30455.133333333331</v>
      </c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x14ac:dyDescent="0.35">
      <c r="A131" s="31"/>
      <c r="B131" s="31"/>
      <c r="C131" s="31"/>
      <c r="D131" s="31"/>
      <c r="E131" s="33">
        <f>SUM(E4:E130)</f>
        <v>3044494.8899999997</v>
      </c>
      <c r="F131" s="34"/>
      <c r="G131" s="33">
        <f>SUM(G4:G130)</f>
        <v>3278961.1100000008</v>
      </c>
      <c r="H131" s="31"/>
      <c r="I131" s="33">
        <f>SUM(I4:I130)</f>
        <v>4328660.6800000006</v>
      </c>
      <c r="J131" s="31"/>
      <c r="K131" s="33">
        <f>SUM(K4:K130)</f>
        <v>3635858.5499999993</v>
      </c>
      <c r="L131" s="31"/>
      <c r="M131" s="33">
        <f>SUM(M4:M130)</f>
        <v>14287975.230000008</v>
      </c>
      <c r="N131" s="33">
        <f>SUM(N4:N130)</f>
        <v>3571993.807500002</v>
      </c>
      <c r="O131" s="33">
        <f>SUM(O4:O130)</f>
        <v>4944142.8000000007</v>
      </c>
      <c r="P131" s="31"/>
      <c r="Q131" s="33">
        <f>SUM(Q4:Q130)</f>
        <v>4904370.2300000014</v>
      </c>
      <c r="R131" s="31"/>
      <c r="S131" s="33">
        <f>SUM(S4:S130)</f>
        <v>4556735.7900000019</v>
      </c>
      <c r="T131" s="31"/>
      <c r="U131" s="33">
        <f>SUM(U4:U130)</f>
        <v>28693223.940000005</v>
      </c>
      <c r="V131" s="33">
        <f>SUM(V4:V130)</f>
        <v>9564407.9800000042</v>
      </c>
    </row>
  </sheetData>
  <autoFilter ref="E3:V130" xr:uid="{F27299BC-2839-44BA-9D47-4D7C68D4F6E8}"/>
  <conditionalFormatting sqref="F4:F130">
    <cfRule type="cellIs" dxfId="86" priority="7" operator="equal">
      <formula>-1</formula>
    </cfRule>
    <cfRule type="cellIs" dxfId="85" priority="20" operator="between">
      <formula>-10%</formula>
      <formula>10%</formula>
    </cfRule>
    <cfRule type="cellIs" dxfId="84" priority="21" operator="lessThan">
      <formula>-25%</formula>
    </cfRule>
    <cfRule type="cellIs" dxfId="83" priority="22" operator="greaterThan">
      <formula>25%</formula>
    </cfRule>
    <cfRule type="cellIs" dxfId="82" priority="23" operator="between">
      <formula>-25%</formula>
      <formula>25%</formula>
    </cfRule>
  </conditionalFormatting>
  <conditionalFormatting sqref="H4:H130">
    <cfRule type="cellIs" dxfId="81" priority="6" operator="equal">
      <formula>-1</formula>
    </cfRule>
    <cfRule type="cellIs" dxfId="80" priority="16" operator="between">
      <formula>-10%</formula>
      <formula>10%</formula>
    </cfRule>
    <cfRule type="cellIs" dxfId="79" priority="17" operator="lessThan">
      <formula>-25%</formula>
    </cfRule>
    <cfRule type="cellIs" dxfId="78" priority="18" operator="greaterThan">
      <formula>25%</formula>
    </cfRule>
    <cfRule type="cellIs" dxfId="77" priority="19" operator="between">
      <formula>-25%</formula>
      <formula>25%</formula>
    </cfRule>
  </conditionalFormatting>
  <conditionalFormatting sqref="J4:J130 L4:L130">
    <cfRule type="cellIs" dxfId="76" priority="12" operator="between">
      <formula>-15%</formula>
      <formula>15%</formula>
    </cfRule>
    <cfRule type="cellIs" dxfId="75" priority="13" operator="lessThan">
      <formula>-25%</formula>
    </cfRule>
    <cfRule type="cellIs" dxfId="74" priority="14" operator="greaterThan">
      <formula>25%</formula>
    </cfRule>
    <cfRule type="cellIs" dxfId="73" priority="15" operator="between">
      <formula>-25%</formula>
      <formula>25%</formula>
    </cfRule>
  </conditionalFormatting>
  <conditionalFormatting sqref="J4:J130">
    <cfRule type="cellIs" dxfId="72" priority="5" operator="equal">
      <formula>-1</formula>
    </cfRule>
  </conditionalFormatting>
  <conditionalFormatting sqref="L4:L130">
    <cfRule type="cellIs" dxfId="71" priority="4" operator="equal">
      <formula>-1</formula>
    </cfRule>
  </conditionalFormatting>
  <conditionalFormatting sqref="P4:P130 R4:R130 T4:T130">
    <cfRule type="cellIs" dxfId="70" priority="8" operator="between">
      <formula>-15%</formula>
      <formula>15%</formula>
    </cfRule>
    <cfRule type="cellIs" dxfId="69" priority="9" operator="lessThan">
      <formula>-25%</formula>
    </cfRule>
    <cfRule type="cellIs" dxfId="68" priority="10" operator="greaterThan">
      <formula>25%</formula>
    </cfRule>
    <cfRule type="cellIs" dxfId="67" priority="11" operator="between">
      <formula>-25%</formula>
      <formula>25%</formula>
    </cfRule>
  </conditionalFormatting>
  <conditionalFormatting sqref="P4:P130">
    <cfRule type="cellIs" dxfId="66" priority="3" operator="equal">
      <formula>-1</formula>
    </cfRule>
  </conditionalFormatting>
  <conditionalFormatting sqref="R4:R130">
    <cfRule type="cellIs" dxfId="65" priority="2" operator="equal">
      <formula>-1</formula>
    </cfRule>
  </conditionalFormatting>
  <conditionalFormatting sqref="T4:T130">
    <cfRule type="cellIs" dxfId="64" priority="1" operator="equal">
      <formula>-1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75E85-79A6-4F40-9E7B-3A5E9600F425}">
  <dimension ref="A1:W62"/>
  <sheetViews>
    <sheetView zoomScale="80" zoomScaleNormal="80" workbookViewId="0">
      <selection sqref="A1:XFD1048576"/>
    </sheetView>
  </sheetViews>
  <sheetFormatPr baseColWidth="10" defaultRowHeight="14.5" x14ac:dyDescent="0.35"/>
  <cols>
    <col min="1" max="1" width="18.453125" customWidth="1"/>
    <col min="3" max="3" width="29" customWidth="1"/>
    <col min="4" max="4" width="13.36328125" style="16" customWidth="1"/>
    <col min="5" max="5" width="7.6328125" customWidth="1"/>
    <col min="6" max="6" width="14.26953125" style="16" customWidth="1"/>
    <col min="7" max="7" width="6.81640625" customWidth="1"/>
    <col min="8" max="8" width="13.6328125" style="16" customWidth="1"/>
    <col min="9" max="9" width="7.1796875" customWidth="1"/>
    <col min="10" max="10" width="14.26953125" style="16" customWidth="1"/>
    <col min="11" max="11" width="7.26953125" customWidth="1"/>
    <col min="12" max="12" width="15" style="16" customWidth="1"/>
    <col min="13" max="13" width="13.81640625" style="16" customWidth="1"/>
    <col min="14" max="14" width="14.26953125" style="16" customWidth="1"/>
    <col min="15" max="15" width="7.7265625" customWidth="1"/>
    <col min="16" max="16" width="13.90625" style="16" customWidth="1"/>
    <col min="17" max="17" width="7.54296875" customWidth="1"/>
    <col min="18" max="18" width="13.453125" style="16" customWidth="1"/>
    <col min="19" max="19" width="7.08984375" customWidth="1"/>
    <col min="20" max="20" width="15" style="16" customWidth="1"/>
    <col min="21" max="21" width="13.54296875" style="16" customWidth="1"/>
    <col min="23" max="23" width="36" customWidth="1"/>
  </cols>
  <sheetData>
    <row r="1" spans="1:23" ht="15" thickBot="1" x14ac:dyDescent="0.4">
      <c r="J1" s="35"/>
      <c r="K1" s="32"/>
      <c r="L1" s="35"/>
      <c r="M1" s="35"/>
      <c r="N1" s="35"/>
      <c r="O1" s="32"/>
      <c r="P1" s="35"/>
      <c r="Q1" s="32"/>
      <c r="R1" s="35"/>
      <c r="S1" s="32"/>
      <c r="T1" s="35"/>
      <c r="U1" s="35"/>
    </row>
    <row r="2" spans="1:23" s="20" customFormat="1" ht="16.5" customHeight="1" thickBot="1" x14ac:dyDescent="0.4">
      <c r="A2" s="29" t="s">
        <v>223</v>
      </c>
      <c r="B2" s="29" t="s">
        <v>221</v>
      </c>
      <c r="C2" s="29" t="s">
        <v>222</v>
      </c>
      <c r="D2" s="27" t="s">
        <v>147</v>
      </c>
      <c r="E2" s="28" t="s">
        <v>0</v>
      </c>
      <c r="F2" s="27" t="s">
        <v>148</v>
      </c>
      <c r="G2" s="28" t="s">
        <v>0</v>
      </c>
      <c r="H2" s="27" t="s">
        <v>149</v>
      </c>
      <c r="I2" s="28" t="s">
        <v>0</v>
      </c>
      <c r="J2" s="27" t="s">
        <v>150</v>
      </c>
      <c r="K2" s="28" t="s">
        <v>0</v>
      </c>
      <c r="L2" s="22" t="s">
        <v>1</v>
      </c>
      <c r="M2" s="23" t="s">
        <v>146</v>
      </c>
      <c r="N2" s="27" t="s">
        <v>151</v>
      </c>
      <c r="O2" s="28" t="s">
        <v>0</v>
      </c>
      <c r="P2" s="27" t="s">
        <v>152</v>
      </c>
      <c r="Q2" s="28" t="s">
        <v>0</v>
      </c>
      <c r="R2" s="27" t="s">
        <v>153</v>
      </c>
      <c r="S2" s="28" t="s">
        <v>0</v>
      </c>
      <c r="T2" s="22" t="s">
        <v>1</v>
      </c>
      <c r="U2" s="23" t="s">
        <v>146</v>
      </c>
      <c r="W2" s="13" t="s">
        <v>225</v>
      </c>
    </row>
    <row r="3" spans="1:23" ht="16" customHeight="1" thickBot="1" x14ac:dyDescent="0.4">
      <c r="A3" t="s">
        <v>160</v>
      </c>
      <c r="B3">
        <v>41350101</v>
      </c>
      <c r="C3" t="s">
        <v>161</v>
      </c>
      <c r="D3" s="16">
        <v>-208872</v>
      </c>
      <c r="E3" s="19">
        <f>(ABS(D3)-ABS(M3))/ABS(M3)</f>
        <v>-0.17409660885424647</v>
      </c>
      <c r="F3" s="16">
        <v>-238241</v>
      </c>
      <c r="G3" s="19">
        <f>(ABS(F3)-ABS(M3))/ABS(M3)</f>
        <v>-5.7968278132274946E-2</v>
      </c>
      <c r="H3" s="16">
        <v>-319848</v>
      </c>
      <c r="I3" s="19">
        <f>(ABS(H3)-ABS(M3))/ABS(M3)</f>
        <v>0.26471498262661808</v>
      </c>
      <c r="J3" s="16">
        <v>-244644</v>
      </c>
      <c r="K3" s="19">
        <f>(ABS(J3)-ABS(M3))/ABS(M3)</f>
        <v>-3.2650095640096681E-2</v>
      </c>
      <c r="L3" s="21">
        <f>SUM(D3,F3,H3,J3)</f>
        <v>-1011605</v>
      </c>
      <c r="M3" s="7">
        <f>L3/4</f>
        <v>-252901.25</v>
      </c>
      <c r="N3" s="16">
        <v>-398105</v>
      </c>
      <c r="O3" s="19">
        <f>(ABS(N3)-ABS(U3))/ABS(U3)</f>
        <v>0.53445740594773039</v>
      </c>
      <c r="P3" s="16">
        <v>-349478</v>
      </c>
      <c r="Q3" s="19">
        <f>(ABS(P3)-ABS(U3))/ABS(U3)</f>
        <v>0.34702931466774078</v>
      </c>
      <c r="R3" s="16">
        <v>-290191</v>
      </c>
      <c r="S3" s="19">
        <f>(ABS(R3)-ABS(U3))/ABS(U3)</f>
        <v>0.11851327938452881</v>
      </c>
      <c r="T3" s="21">
        <f>SUM(N3,P3,R3)</f>
        <v>-1037774</v>
      </c>
      <c r="U3" s="7">
        <f>T3/4</f>
        <v>-259443.5</v>
      </c>
      <c r="W3" s="14" t="s">
        <v>154</v>
      </c>
    </row>
    <row r="4" spans="1:23" ht="14.5" customHeight="1" thickBot="1" x14ac:dyDescent="0.4">
      <c r="A4" t="s">
        <v>160</v>
      </c>
      <c r="B4">
        <v>41350102</v>
      </c>
      <c r="C4" t="s">
        <v>162</v>
      </c>
      <c r="D4" s="16">
        <v>-214139</v>
      </c>
      <c r="E4" s="19">
        <f>(ABS(D4)-ABS(M4))/ABS(M4)</f>
        <v>5.5550489353993579E-2</v>
      </c>
      <c r="F4" s="16">
        <v>-194541</v>
      </c>
      <c r="G4" s="19">
        <f>(ABS(F4)-ABS(M4))/ABS(M4)</f>
        <v>-4.1053485122209105E-2</v>
      </c>
      <c r="H4" s="16">
        <v>-219832</v>
      </c>
      <c r="I4" s="19">
        <f t="shared" ref="I4:I61" si="0">(ABS(H4)-ABS(M4))/ABS(M4)</f>
        <v>8.3612864427624653E-2</v>
      </c>
      <c r="J4" s="16">
        <v>-182966</v>
      </c>
      <c r="K4" s="19">
        <f t="shared" ref="K4:K62" si="1">(ABS(J4)-ABS(M4))/ABS(M4)</f>
        <v>-9.8109868659409127E-2</v>
      </c>
      <c r="L4" s="21">
        <f t="shared" ref="L4:L62" si="2">SUM(D4,F4,H4,J4)</f>
        <v>-811478</v>
      </c>
      <c r="M4" s="7">
        <f t="shared" ref="M4:M62" si="3">L4/4</f>
        <v>-202869.5</v>
      </c>
      <c r="N4" s="16">
        <v>-329661</v>
      </c>
      <c r="O4" s="19">
        <f t="shared" ref="O4:O62" si="4">(ABS(N4)-ABS(U4))/ABS(U4)</f>
        <v>0.27576798941184666</v>
      </c>
      <c r="P4" s="16">
        <v>-334042</v>
      </c>
      <c r="Q4" s="19">
        <f t="shared" ref="Q4:Q62" si="5">(ABS(P4)-ABS(U4))/ABS(U4)</f>
        <v>0.29272219255268922</v>
      </c>
      <c r="R4" s="16">
        <v>-369905</v>
      </c>
      <c r="S4" s="19">
        <f t="shared" ref="S4:S62" si="6">(ABS(R4)-ABS(U4))/ABS(U4)</f>
        <v>0.43150981803546412</v>
      </c>
      <c r="T4" s="21">
        <f t="shared" ref="T4:T62" si="7">SUM(N4,P4,R4)</f>
        <v>-1033608</v>
      </c>
      <c r="U4" s="7">
        <f t="shared" ref="U4:U62" si="8">T4/4</f>
        <v>-258402</v>
      </c>
      <c r="W4" s="15" t="s">
        <v>226</v>
      </c>
    </row>
    <row r="5" spans="1:23" x14ac:dyDescent="0.35">
      <c r="A5" t="s">
        <v>160</v>
      </c>
      <c r="B5">
        <v>41350104</v>
      </c>
      <c r="C5" t="s">
        <v>163</v>
      </c>
      <c r="D5" s="16">
        <v>-159178</v>
      </c>
      <c r="E5" s="19">
        <f>(ABS(D5)-ABS(M5))/ABS(M5)</f>
        <v>-0.267808803608104</v>
      </c>
      <c r="F5" s="16">
        <v>-195731</v>
      </c>
      <c r="G5" s="19">
        <f>(ABS(F5)-ABS(M5))/ABS(M5)</f>
        <v>-9.9671342390391882E-2</v>
      </c>
      <c r="H5" s="16">
        <v>-281975</v>
      </c>
      <c r="I5" s="19">
        <f t="shared" si="0"/>
        <v>0.29703610173896444</v>
      </c>
      <c r="J5" s="16">
        <v>-232714</v>
      </c>
      <c r="K5" s="19">
        <f t="shared" si="1"/>
        <v>7.0444044259531421E-2</v>
      </c>
      <c r="L5" s="21">
        <f t="shared" si="2"/>
        <v>-869598</v>
      </c>
      <c r="M5" s="7">
        <f t="shared" si="3"/>
        <v>-217399.5</v>
      </c>
      <c r="N5" s="16">
        <v>-256272</v>
      </c>
      <c r="O5" s="19">
        <f t="shared" si="4"/>
        <v>0.23520055525029643</v>
      </c>
      <c r="P5" s="16">
        <v>-221025</v>
      </c>
      <c r="Q5" s="19">
        <f t="shared" si="5"/>
        <v>6.5314208045345434E-2</v>
      </c>
      <c r="R5" s="16">
        <v>-352599</v>
      </c>
      <c r="S5" s="19">
        <f t="shared" si="6"/>
        <v>0.69948523670435814</v>
      </c>
      <c r="T5" s="21">
        <f t="shared" si="7"/>
        <v>-829896</v>
      </c>
      <c r="U5" s="7">
        <f t="shared" si="8"/>
        <v>-207474</v>
      </c>
      <c r="W5" s="36" t="s">
        <v>227</v>
      </c>
    </row>
    <row r="6" spans="1:23" x14ac:dyDescent="0.35">
      <c r="A6" t="s">
        <v>160</v>
      </c>
      <c r="B6">
        <v>41350107</v>
      </c>
      <c r="C6" t="s">
        <v>164</v>
      </c>
      <c r="D6" s="16">
        <v>-16.379300000000001</v>
      </c>
      <c r="E6" s="19">
        <f>(ABS(D6)-ABS(M6))/ABS(M6)</f>
        <v>-4.5789292936352592E-6</v>
      </c>
      <c r="F6" s="16">
        <v>-15.517200000000001</v>
      </c>
      <c r="G6" s="19">
        <f>(ABS(F6)-ABS(M6))/ABS(M6)</f>
        <v>-5.2637844850612361E-2</v>
      </c>
      <c r="H6" s="16">
        <v>-13.793200000000001</v>
      </c>
      <c r="I6" s="19">
        <f t="shared" si="0"/>
        <v>-0.1578921662151333</v>
      </c>
      <c r="J6" s="16">
        <v>-19.8278</v>
      </c>
      <c r="K6" s="19">
        <f t="shared" si="1"/>
        <v>0.21053458999503952</v>
      </c>
      <c r="L6" s="21">
        <f t="shared" si="2"/>
        <v>-65.517499999999998</v>
      </c>
      <c r="M6" s="7">
        <f t="shared" si="3"/>
        <v>-16.379375</v>
      </c>
      <c r="O6" s="19">
        <f t="shared" si="4"/>
        <v>-1</v>
      </c>
      <c r="P6" s="16">
        <v>-41.38</v>
      </c>
      <c r="Q6" s="19">
        <f t="shared" si="5"/>
        <v>0.47693537693885713</v>
      </c>
      <c r="R6" s="16">
        <v>-70.689899999999994</v>
      </c>
      <c r="S6" s="19">
        <f t="shared" si="6"/>
        <v>1.5230646230611431</v>
      </c>
      <c r="T6" s="21">
        <f t="shared" si="7"/>
        <v>-112.06989999999999</v>
      </c>
      <c r="U6" s="7">
        <f t="shared" si="8"/>
        <v>-28.017474999999997</v>
      </c>
    </row>
    <row r="7" spans="1:23" x14ac:dyDescent="0.35">
      <c r="A7" t="s">
        <v>160</v>
      </c>
      <c r="B7">
        <v>41350108</v>
      </c>
      <c r="C7" t="s">
        <v>165</v>
      </c>
      <c r="D7" s="16">
        <v>-439666.7684</v>
      </c>
      <c r="E7" s="19">
        <f>(ABS(D7)-ABS(M7))/ABS(M7)</f>
        <v>2.7044926406393409E-2</v>
      </c>
      <c r="F7" s="16">
        <v>-395339.79719999997</v>
      </c>
      <c r="G7" s="19">
        <f>(ABS(F7)-ABS(M7))/ABS(M7)</f>
        <v>-7.6501200219451324E-2</v>
      </c>
      <c r="H7" s="16">
        <v>-438289.36969999998</v>
      </c>
      <c r="I7" s="19">
        <f t="shared" si="0"/>
        <v>2.3827375187724178E-2</v>
      </c>
      <c r="J7" s="16">
        <v>-439060.58230000001</v>
      </c>
      <c r="K7" s="19">
        <f t="shared" si="1"/>
        <v>2.5628898625333872E-2</v>
      </c>
      <c r="L7" s="21">
        <f t="shared" si="2"/>
        <v>-1712356.5175999999</v>
      </c>
      <c r="M7" s="7">
        <f t="shared" si="3"/>
        <v>-428089.12939999998</v>
      </c>
      <c r="N7" s="16">
        <v>-600602.94999999995</v>
      </c>
      <c r="O7" s="19">
        <f t="shared" si="4"/>
        <v>0.44546006159445339</v>
      </c>
      <c r="P7" s="16">
        <v>-540956.18999999994</v>
      </c>
      <c r="Q7" s="19">
        <f t="shared" si="5"/>
        <v>0.30190930250559178</v>
      </c>
      <c r="R7" s="16">
        <v>-520480.4167</v>
      </c>
      <c r="S7" s="19">
        <f t="shared" si="6"/>
        <v>0.25263063589995494</v>
      </c>
      <c r="T7" s="21">
        <f t="shared" si="7"/>
        <v>-1662039.5566999998</v>
      </c>
      <c r="U7" s="7">
        <f t="shared" si="8"/>
        <v>-415509.88917499996</v>
      </c>
    </row>
    <row r="8" spans="1:23" x14ac:dyDescent="0.35">
      <c r="A8" t="s">
        <v>160</v>
      </c>
      <c r="B8">
        <v>41350110</v>
      </c>
      <c r="C8" t="s">
        <v>166</v>
      </c>
      <c r="D8" s="16">
        <v>-120.6897</v>
      </c>
      <c r="E8" s="19">
        <f>(ABS(D8)-ABS(M8))/ABS(M8)</f>
        <v>1.9629628720360937</v>
      </c>
      <c r="F8" s="16">
        <v>-29.310400000000001</v>
      </c>
      <c r="G8" s="19">
        <f>(ABS(F8)-ABS(M8))/ABS(M8)</f>
        <v>-0.28042221527995581</v>
      </c>
      <c r="I8" s="19">
        <f t="shared" si="0"/>
        <v>-1</v>
      </c>
      <c r="J8" s="16">
        <v>-12.930999999999999</v>
      </c>
      <c r="K8" s="19">
        <f t="shared" si="1"/>
        <v>-0.68254065675613806</v>
      </c>
      <c r="L8" s="21">
        <f t="shared" si="2"/>
        <v>-162.93110000000001</v>
      </c>
      <c r="M8" s="7">
        <f t="shared" si="3"/>
        <v>-40.732775000000004</v>
      </c>
      <c r="O8" s="19">
        <f t="shared" si="4"/>
        <v>-1</v>
      </c>
      <c r="P8" s="16">
        <v>-13.36</v>
      </c>
      <c r="Q8" s="19">
        <f t="shared" si="5"/>
        <v>3</v>
      </c>
      <c r="S8" s="19">
        <f t="shared" si="6"/>
        <v>-1</v>
      </c>
      <c r="T8" s="21">
        <f t="shared" si="7"/>
        <v>-13.36</v>
      </c>
      <c r="U8" s="7">
        <f t="shared" si="8"/>
        <v>-3.34</v>
      </c>
    </row>
    <row r="9" spans="1:23" x14ac:dyDescent="0.35">
      <c r="A9" t="s">
        <v>160</v>
      </c>
      <c r="B9">
        <v>41350117</v>
      </c>
      <c r="C9" t="s">
        <v>167</v>
      </c>
      <c r="D9" s="16">
        <v>-98248.553400000004</v>
      </c>
      <c r="E9" s="19">
        <f>(ABS(D9)-ABS(M9))/ABS(M9)</f>
        <v>-0.37893182286983135</v>
      </c>
      <c r="F9" s="16">
        <v>-147874.61859999999</v>
      </c>
      <c r="G9" s="19">
        <f>(ABS(F9)-ABS(M9))/ABS(M9)</f>
        <v>-6.5225729647018713E-2</v>
      </c>
      <c r="H9" s="16">
        <v>-202590.9994</v>
      </c>
      <c r="I9" s="19">
        <f t="shared" si="0"/>
        <v>0.28065827277958766</v>
      </c>
      <c r="J9" s="16">
        <v>-184057.28279999999</v>
      </c>
      <c r="K9" s="19">
        <f t="shared" si="1"/>
        <v>0.16349927973726205</v>
      </c>
      <c r="L9" s="21">
        <f t="shared" si="2"/>
        <v>-632771.45420000004</v>
      </c>
      <c r="M9" s="7">
        <f t="shared" si="3"/>
        <v>-158192.86355000001</v>
      </c>
      <c r="N9" s="16">
        <v>-383636.77</v>
      </c>
      <c r="O9" s="19">
        <f t="shared" si="4"/>
        <v>0.49510791696375206</v>
      </c>
      <c r="P9" s="16">
        <v>-303284.42</v>
      </c>
      <c r="Q9" s="19">
        <f t="shared" si="5"/>
        <v>0.18195901147264809</v>
      </c>
      <c r="R9" s="16">
        <v>-339457.61690000002</v>
      </c>
      <c r="S9" s="19">
        <f t="shared" si="6"/>
        <v>0.32293307156360007</v>
      </c>
      <c r="T9" s="21">
        <f t="shared" si="7"/>
        <v>-1026378.8069</v>
      </c>
      <c r="U9" s="7">
        <f t="shared" si="8"/>
        <v>-256594.70172499999</v>
      </c>
    </row>
    <row r="10" spans="1:23" x14ac:dyDescent="0.35">
      <c r="A10" t="s">
        <v>160</v>
      </c>
      <c r="B10">
        <v>41350119</v>
      </c>
      <c r="C10" t="s">
        <v>168</v>
      </c>
      <c r="D10" s="16">
        <v>-421850.70260000002</v>
      </c>
      <c r="E10" s="19">
        <f>(ABS(D10)-ABS(M10))/ABS(M10)</f>
        <v>-0.22604462312523402</v>
      </c>
      <c r="F10" s="16">
        <v>-478011.83130000002</v>
      </c>
      <c r="G10" s="19">
        <f>(ABS(F10)-ABS(M10))/ABS(M10)</f>
        <v>-0.12300767839378121</v>
      </c>
      <c r="H10" s="16">
        <v>-690133.81440000003</v>
      </c>
      <c r="I10" s="19">
        <f t="shared" si="0"/>
        <v>0.2661654303902819</v>
      </c>
      <c r="J10" s="16">
        <v>-590236.33799999999</v>
      </c>
      <c r="K10" s="19">
        <f t="shared" si="1"/>
        <v>8.2886871128733136E-2</v>
      </c>
      <c r="L10" s="21">
        <f t="shared" si="2"/>
        <v>-2180232.6863000002</v>
      </c>
      <c r="M10" s="7">
        <f t="shared" si="3"/>
        <v>-545058.17157500004</v>
      </c>
      <c r="N10" s="16">
        <v>-941381.52</v>
      </c>
      <c r="O10" s="19">
        <f t="shared" si="4"/>
        <v>0.49945498794445781</v>
      </c>
      <c r="P10" s="16">
        <v>-621031.68000000005</v>
      </c>
      <c r="Q10" s="19">
        <f t="shared" si="5"/>
        <v>-1.0805894885713881E-2</v>
      </c>
      <c r="R10" s="16">
        <v>-948849.96580000001</v>
      </c>
      <c r="S10" s="19">
        <f t="shared" si="6"/>
        <v>0.51135090694125607</v>
      </c>
      <c r="T10" s="21">
        <f t="shared" si="7"/>
        <v>-2511263.1658000001</v>
      </c>
      <c r="U10" s="7">
        <f t="shared" si="8"/>
        <v>-627815.79145000002</v>
      </c>
    </row>
    <row r="11" spans="1:23" x14ac:dyDescent="0.35">
      <c r="A11" t="s">
        <v>160</v>
      </c>
      <c r="B11">
        <v>41350120</v>
      </c>
      <c r="C11" t="s">
        <v>169</v>
      </c>
      <c r="D11" s="16">
        <v>-11391.6077</v>
      </c>
      <c r="E11" s="19">
        <f>(ABS(D11)-ABS(M11))/ABS(M11)</f>
        <v>-0.60034509698311278</v>
      </c>
      <c r="F11" s="16">
        <v>-18312.59</v>
      </c>
      <c r="G11" s="19">
        <f>(ABS(F11)-ABS(M11))/ABS(M11)</f>
        <v>-0.3575343732704192</v>
      </c>
      <c r="H11" s="16">
        <v>-18662.754099999998</v>
      </c>
      <c r="I11" s="19">
        <f t="shared" si="0"/>
        <v>-0.3452494699353531</v>
      </c>
      <c r="J11" s="16">
        <v>-65647.490300000005</v>
      </c>
      <c r="K11" s="19">
        <f t="shared" si="1"/>
        <v>1.3031289401888855</v>
      </c>
      <c r="L11" s="21">
        <f t="shared" si="2"/>
        <v>-114014.4421</v>
      </c>
      <c r="M11" s="7">
        <f t="shared" si="3"/>
        <v>-28503.610525</v>
      </c>
      <c r="N11" s="16">
        <v>-70644.259999999995</v>
      </c>
      <c r="O11" s="19">
        <f t="shared" si="4"/>
        <v>2.8952634915235134</v>
      </c>
      <c r="P11" s="16">
        <v>-1673.44</v>
      </c>
      <c r="Q11" s="19">
        <f t="shared" si="5"/>
        <v>-0.9077279634997224</v>
      </c>
      <c r="R11" s="16">
        <v>-226.0549</v>
      </c>
      <c r="S11" s="19">
        <f t="shared" si="6"/>
        <v>-0.98753552802379141</v>
      </c>
      <c r="T11" s="21">
        <f t="shared" si="7"/>
        <v>-72543.7549</v>
      </c>
      <c r="U11" s="7">
        <f t="shared" si="8"/>
        <v>-18135.938725</v>
      </c>
    </row>
    <row r="12" spans="1:23" x14ac:dyDescent="0.35">
      <c r="A12" t="s">
        <v>160</v>
      </c>
      <c r="B12">
        <v>41350125</v>
      </c>
      <c r="C12" t="s">
        <v>170</v>
      </c>
      <c r="D12" s="16">
        <v>-27227.573799999998</v>
      </c>
      <c r="E12" s="19">
        <f>(ABS(D12)-ABS(M12))/ABS(M12)</f>
        <v>-0.24208181721517327</v>
      </c>
      <c r="F12" s="16">
        <v>-40625.805</v>
      </c>
      <c r="G12" s="19">
        <f>(ABS(F12)-ABS(M12))/ABS(M12)</f>
        <v>0.13087697515563176</v>
      </c>
      <c r="H12" s="16">
        <v>-42893.234900000003</v>
      </c>
      <c r="I12" s="19">
        <f t="shared" si="0"/>
        <v>0.19399410641467854</v>
      </c>
      <c r="J12" s="16">
        <v>-32950.024899999997</v>
      </c>
      <c r="K12" s="19">
        <f t="shared" si="1"/>
        <v>-8.278926435513724E-2</v>
      </c>
      <c r="L12" s="21">
        <f t="shared" si="2"/>
        <v>-143696.63860000001</v>
      </c>
      <c r="M12" s="7">
        <f t="shared" si="3"/>
        <v>-35924.159650000001</v>
      </c>
      <c r="N12" s="16">
        <v>-48834.13</v>
      </c>
      <c r="O12" s="19">
        <f t="shared" si="4"/>
        <v>0.69538295487556856</v>
      </c>
      <c r="P12" s="16">
        <v>-31849.67</v>
      </c>
      <c r="Q12" s="19">
        <f t="shared" si="5"/>
        <v>0.10573051340142128</v>
      </c>
      <c r="R12" s="16">
        <v>-34532.953500000003</v>
      </c>
      <c r="S12" s="19">
        <f t="shared" si="6"/>
        <v>0.19888653172301043</v>
      </c>
      <c r="T12" s="21">
        <f t="shared" si="7"/>
        <v>-115216.75349999999</v>
      </c>
      <c r="U12" s="7">
        <f t="shared" si="8"/>
        <v>-28804.188374999998</v>
      </c>
    </row>
    <row r="13" spans="1:23" x14ac:dyDescent="0.35">
      <c r="A13" t="s">
        <v>160</v>
      </c>
      <c r="B13">
        <v>41350130</v>
      </c>
      <c r="C13" t="s">
        <v>171</v>
      </c>
      <c r="D13" s="16">
        <v>-133552.72</v>
      </c>
      <c r="E13" s="19">
        <f>(ABS(D13)-ABS(M13))/ABS(M13)</f>
        <v>2.9495941918340041E-2</v>
      </c>
      <c r="F13" s="16">
        <v>-113424.25</v>
      </c>
      <c r="G13" s="19">
        <f>(ABS(F13)-ABS(M13))/ABS(M13)</f>
        <v>-0.12566509248084742</v>
      </c>
      <c r="H13" s="16">
        <v>-147354.84</v>
      </c>
      <c r="I13" s="19">
        <f t="shared" si="0"/>
        <v>0.135890079977602</v>
      </c>
      <c r="J13" s="16">
        <v>-124573.47</v>
      </c>
      <c r="K13" s="19">
        <f t="shared" si="1"/>
        <v>-3.9720929415094836E-2</v>
      </c>
      <c r="L13" s="21">
        <f t="shared" si="2"/>
        <v>-518905.28</v>
      </c>
      <c r="M13" s="7">
        <f t="shared" si="3"/>
        <v>-129726.32</v>
      </c>
      <c r="N13" s="16">
        <v>-160257.74</v>
      </c>
      <c r="O13" s="19">
        <f t="shared" si="4"/>
        <v>0.39961047477224887</v>
      </c>
      <c r="P13" s="16">
        <v>-111664.66</v>
      </c>
      <c r="Q13" s="19">
        <f t="shared" si="5"/>
        <v>-2.4777038551262735E-2</v>
      </c>
      <c r="R13" s="16">
        <v>-186084.28940000001</v>
      </c>
      <c r="S13" s="19">
        <f t="shared" si="6"/>
        <v>0.62516656377901358</v>
      </c>
      <c r="T13" s="21">
        <f t="shared" si="7"/>
        <v>-458006.68940000003</v>
      </c>
      <c r="U13" s="7">
        <f t="shared" si="8"/>
        <v>-114501.67235000001</v>
      </c>
    </row>
    <row r="14" spans="1:23" x14ac:dyDescent="0.35">
      <c r="A14" t="s">
        <v>160</v>
      </c>
      <c r="B14">
        <v>41350132</v>
      </c>
      <c r="C14" t="s">
        <v>172</v>
      </c>
      <c r="D14" s="16">
        <v>-31462.1</v>
      </c>
      <c r="E14" s="19">
        <f>(ABS(D14)-ABS(M14))/ABS(M14)</f>
        <v>-0.17690991375397416</v>
      </c>
      <c r="F14" s="16">
        <v>-39593.74</v>
      </c>
      <c r="G14" s="19">
        <f>(ABS(F14)-ABS(M14))/ABS(M14)</f>
        <v>3.5824527650815507E-2</v>
      </c>
      <c r="H14" s="16">
        <v>-36633.74</v>
      </c>
      <c r="I14" s="19">
        <f t="shared" si="0"/>
        <v>-4.1612981456594249E-2</v>
      </c>
      <c r="J14" s="16">
        <v>-45207.9</v>
      </c>
      <c r="K14" s="19">
        <f t="shared" si="1"/>
        <v>0.1826983675597533</v>
      </c>
      <c r="L14" s="21">
        <f t="shared" si="2"/>
        <v>-152897.47999999998</v>
      </c>
      <c r="M14" s="7">
        <f t="shared" si="3"/>
        <v>-38224.369999999995</v>
      </c>
      <c r="N14" s="16">
        <v>-41114.32</v>
      </c>
      <c r="O14" s="19">
        <f t="shared" si="4"/>
        <v>0.73286534981318985</v>
      </c>
      <c r="P14" s="16">
        <v>-20607.240000000002</v>
      </c>
      <c r="Q14" s="19">
        <f t="shared" si="5"/>
        <v>-0.13145657884444248</v>
      </c>
      <c r="R14" s="16">
        <v>-33183.263400000003</v>
      </c>
      <c r="S14" s="19">
        <f t="shared" si="6"/>
        <v>0.39859122903125305</v>
      </c>
      <c r="T14" s="21">
        <f t="shared" si="7"/>
        <v>-94904.823399999994</v>
      </c>
      <c r="U14" s="7">
        <f t="shared" si="8"/>
        <v>-23726.205849999998</v>
      </c>
    </row>
    <row r="15" spans="1:23" x14ac:dyDescent="0.35">
      <c r="A15" t="s">
        <v>160</v>
      </c>
      <c r="B15">
        <v>41350135</v>
      </c>
      <c r="C15" t="s">
        <v>173</v>
      </c>
      <c r="D15" s="16">
        <v>-41466.800000000003</v>
      </c>
      <c r="E15" s="19">
        <f>(ABS(D15)-ABS(M15))/ABS(M15)</f>
        <v>-0.31775499887503972</v>
      </c>
      <c r="F15" s="16">
        <v>-71568.929999999993</v>
      </c>
      <c r="G15" s="19">
        <f>(ABS(F15)-ABS(M15))/ABS(M15)</f>
        <v>0.17750935033236698</v>
      </c>
      <c r="H15" s="16">
        <v>-83657.78</v>
      </c>
      <c r="I15" s="19">
        <f t="shared" si="0"/>
        <v>0.37640479154918333</v>
      </c>
      <c r="J15" s="16">
        <v>-46426.19</v>
      </c>
      <c r="K15" s="19">
        <f t="shared" si="1"/>
        <v>-0.23615914300651078</v>
      </c>
      <c r="L15" s="21">
        <f t="shared" si="2"/>
        <v>-243119.7</v>
      </c>
      <c r="M15" s="7">
        <f t="shared" si="3"/>
        <v>-60779.925000000003</v>
      </c>
      <c r="N15" s="16">
        <v>-48842.35</v>
      </c>
      <c r="O15" s="19">
        <f t="shared" si="4"/>
        <v>-1.7395797679170568E-2</v>
      </c>
      <c r="P15" s="16">
        <v>-45664.88</v>
      </c>
      <c r="Q15" s="19">
        <f t="shared" si="5"/>
        <v>-8.1319736120878783E-2</v>
      </c>
      <c r="R15" s="16">
        <v>-104320.94469999999</v>
      </c>
      <c r="S15" s="19">
        <f t="shared" si="6"/>
        <v>1.0987155338000496</v>
      </c>
      <c r="T15" s="21">
        <f t="shared" si="7"/>
        <v>-198828.17469999997</v>
      </c>
      <c r="U15" s="7">
        <f t="shared" si="8"/>
        <v>-49707.043674999994</v>
      </c>
    </row>
    <row r="16" spans="1:23" x14ac:dyDescent="0.35">
      <c r="A16" t="s">
        <v>160</v>
      </c>
      <c r="B16">
        <v>41350201</v>
      </c>
      <c r="C16" t="s">
        <v>174</v>
      </c>
      <c r="D16" s="16">
        <v>-91544.72</v>
      </c>
      <c r="E16" s="19">
        <f>(ABS(D16)-ABS(M16))/ABS(M16)</f>
        <v>-0.26700727772440153</v>
      </c>
      <c r="F16" s="16">
        <v>-95643.07</v>
      </c>
      <c r="G16" s="19">
        <f>(ABS(F16)-ABS(M16))/ABS(M16)</f>
        <v>-0.2341920512062779</v>
      </c>
      <c r="H16" s="16">
        <v>-143790.42000000001</v>
      </c>
      <c r="I16" s="19">
        <f t="shared" si="0"/>
        <v>0.15132070307224346</v>
      </c>
      <c r="J16" s="16">
        <v>-168588.66</v>
      </c>
      <c r="K16" s="19">
        <f t="shared" si="1"/>
        <v>0.34987862585843615</v>
      </c>
      <c r="L16" s="21">
        <f t="shared" si="2"/>
        <v>-499566.87</v>
      </c>
      <c r="M16" s="7">
        <f t="shared" si="3"/>
        <v>-124891.7175</v>
      </c>
      <c r="N16" s="16">
        <v>-207310.77</v>
      </c>
      <c r="O16" s="19">
        <f t="shared" si="4"/>
        <v>0.2620960957475641</v>
      </c>
      <c r="P16" s="16">
        <v>-201866.56</v>
      </c>
      <c r="Q16" s="19">
        <f t="shared" si="5"/>
        <v>0.22895205703973509</v>
      </c>
      <c r="R16" s="16">
        <v>-247859.07380000001</v>
      </c>
      <c r="S16" s="19">
        <f t="shared" si="6"/>
        <v>0.50895184721270093</v>
      </c>
      <c r="T16" s="21">
        <f t="shared" si="7"/>
        <v>-657036.40379999997</v>
      </c>
      <c r="U16" s="7">
        <f t="shared" si="8"/>
        <v>-164259.10094999999</v>
      </c>
    </row>
    <row r="17" spans="1:21" x14ac:dyDescent="0.35">
      <c r="A17" t="s">
        <v>160</v>
      </c>
      <c r="B17">
        <v>41350203</v>
      </c>
      <c r="C17" t="s">
        <v>175</v>
      </c>
      <c r="D17" s="16">
        <v>-4.5</v>
      </c>
      <c r="E17" s="19">
        <f>(ABS(D17)-ABS(M17))/ABS(M17)</f>
        <v>-0.57009792213995703</v>
      </c>
      <c r="F17" s="16">
        <v>-5.17</v>
      </c>
      <c r="G17" s="19">
        <f>(ABS(F17)-ABS(M17))/ABS(M17)</f>
        <v>-0.50609027943635065</v>
      </c>
      <c r="I17" s="19">
        <f t="shared" si="0"/>
        <v>-1</v>
      </c>
      <c r="J17" s="16">
        <v>-32.200000000000003</v>
      </c>
      <c r="K17" s="19">
        <f t="shared" si="1"/>
        <v>2.0761882015763073</v>
      </c>
      <c r="L17" s="21">
        <f t="shared" si="2"/>
        <v>-41.870000000000005</v>
      </c>
      <c r="M17" s="7">
        <f t="shared" si="3"/>
        <v>-10.467500000000001</v>
      </c>
      <c r="O17" s="19">
        <f t="shared" si="4"/>
        <v>-1</v>
      </c>
      <c r="P17" s="16">
        <v>-70.8</v>
      </c>
      <c r="Q17" s="19">
        <f t="shared" si="5"/>
        <v>3</v>
      </c>
      <c r="S17" s="19">
        <f t="shared" si="6"/>
        <v>-1</v>
      </c>
      <c r="T17" s="21">
        <f t="shared" si="7"/>
        <v>-70.8</v>
      </c>
      <c r="U17" s="7">
        <f t="shared" si="8"/>
        <v>-17.7</v>
      </c>
    </row>
    <row r="18" spans="1:21" x14ac:dyDescent="0.35">
      <c r="A18" t="s">
        <v>160</v>
      </c>
      <c r="B18">
        <v>41350205</v>
      </c>
      <c r="C18" t="s">
        <v>176</v>
      </c>
      <c r="D18" s="16">
        <v>-58.62</v>
      </c>
      <c r="E18" s="19">
        <f>(ABS(D18)-ABS(M18))/ABS(M18)</f>
        <v>0.77771038665655823</v>
      </c>
      <c r="F18" s="16">
        <v>-19.829999999999998</v>
      </c>
      <c r="G18" s="19">
        <f>(ABS(F18)-ABS(M18))/ABS(M18)</f>
        <v>-0.39863532979529942</v>
      </c>
      <c r="H18" s="16">
        <v>-28.45</v>
      </c>
      <c r="I18" s="19">
        <f t="shared" si="0"/>
        <v>-0.13722517058377545</v>
      </c>
      <c r="J18" s="16">
        <v>-25</v>
      </c>
      <c r="K18" s="19">
        <f t="shared" si="1"/>
        <v>-0.2418498862774828</v>
      </c>
      <c r="L18" s="21">
        <f t="shared" si="2"/>
        <v>-131.89999999999998</v>
      </c>
      <c r="M18" s="7">
        <f t="shared" si="3"/>
        <v>-32.974999999999994</v>
      </c>
      <c r="N18" s="16">
        <v>-4.3099999999999996</v>
      </c>
      <c r="O18" s="19">
        <f t="shared" si="4"/>
        <v>-0.52388579887212861</v>
      </c>
      <c r="P18" s="16">
        <v>-11.21</v>
      </c>
      <c r="Q18" s="19">
        <f t="shared" si="5"/>
        <v>0.23833879226065877</v>
      </c>
      <c r="R18" s="16">
        <v>-20.689800000000002</v>
      </c>
      <c r="S18" s="19">
        <f t="shared" si="6"/>
        <v>1.28554700661147</v>
      </c>
      <c r="T18" s="21">
        <f t="shared" si="7"/>
        <v>-36.209800000000001</v>
      </c>
      <c r="U18" s="7">
        <f t="shared" si="8"/>
        <v>-9.0524500000000003</v>
      </c>
    </row>
    <row r="19" spans="1:21" x14ac:dyDescent="0.35">
      <c r="A19" t="s">
        <v>160</v>
      </c>
      <c r="B19">
        <v>41350207</v>
      </c>
      <c r="C19" t="s">
        <v>177</v>
      </c>
      <c r="D19" s="16">
        <v>-6957.7</v>
      </c>
      <c r="E19" s="19">
        <f>(ABS(D19)-ABS(M19))/ABS(M19)</f>
        <v>-6.3222737552715264E-2</v>
      </c>
      <c r="F19" s="16">
        <v>-6349.88</v>
      </c>
      <c r="G19" s="19">
        <f>(ABS(F19)-ABS(M19))/ABS(M19)</f>
        <v>-0.14505897016704303</v>
      </c>
      <c r="H19" s="16">
        <v>-6686.77</v>
      </c>
      <c r="I19" s="19">
        <f t="shared" si="0"/>
        <v>-9.9700462047137603E-2</v>
      </c>
      <c r="J19" s="16">
        <v>-9714.74</v>
      </c>
      <c r="K19" s="19">
        <f t="shared" si="1"/>
        <v>0.30798216976689641</v>
      </c>
      <c r="L19" s="21">
        <f t="shared" si="2"/>
        <v>-29709.089999999997</v>
      </c>
      <c r="M19" s="7">
        <f t="shared" si="3"/>
        <v>-7427.2724999999991</v>
      </c>
      <c r="N19" s="16">
        <v>-5363.51</v>
      </c>
      <c r="O19" s="19">
        <f t="shared" si="4"/>
        <v>4.3941764546648658E-2</v>
      </c>
      <c r="P19" s="16">
        <v>-5927.54</v>
      </c>
      <c r="Q19" s="19">
        <f t="shared" si="5"/>
        <v>0.15372332055330212</v>
      </c>
      <c r="R19" s="16">
        <v>-9259.9431000000004</v>
      </c>
      <c r="S19" s="19">
        <f t="shared" si="6"/>
        <v>0.80233491490004938</v>
      </c>
      <c r="T19" s="21">
        <f t="shared" si="7"/>
        <v>-20550.9931</v>
      </c>
      <c r="U19" s="7">
        <f t="shared" si="8"/>
        <v>-5137.7482749999999</v>
      </c>
    </row>
    <row r="20" spans="1:21" x14ac:dyDescent="0.35">
      <c r="A20" t="s">
        <v>160</v>
      </c>
      <c r="B20">
        <v>41350211</v>
      </c>
      <c r="C20" t="s">
        <v>178</v>
      </c>
      <c r="D20" s="16">
        <v>-262904.18</v>
      </c>
      <c r="E20" s="19">
        <f>(ABS(D20)-ABS(M20))/ABS(M20)</f>
        <v>-0.11304121011035642</v>
      </c>
      <c r="F20" s="16">
        <v>-303653.3</v>
      </c>
      <c r="G20" s="19">
        <f>(ABS(F20)-ABS(M20))/ABS(M20)</f>
        <v>2.4433934500383014E-2</v>
      </c>
      <c r="H20" s="16">
        <v>-356960.39</v>
      </c>
      <c r="I20" s="19">
        <f t="shared" si="0"/>
        <v>0.20427585271917414</v>
      </c>
      <c r="J20" s="16">
        <v>-262125.4</v>
      </c>
      <c r="K20" s="19">
        <f t="shared" si="1"/>
        <v>-0.11566857710920085</v>
      </c>
      <c r="L20" s="21">
        <f t="shared" si="2"/>
        <v>-1185643.27</v>
      </c>
      <c r="M20" s="7">
        <f t="shared" si="3"/>
        <v>-296410.8175</v>
      </c>
      <c r="N20" s="16">
        <v>-290714.71000000002</v>
      </c>
      <c r="O20" s="19">
        <f t="shared" si="4"/>
        <v>0.37356025364490447</v>
      </c>
      <c r="P20" s="16">
        <v>-260433.91</v>
      </c>
      <c r="Q20" s="19">
        <f t="shared" si="5"/>
        <v>0.23049042642986386</v>
      </c>
      <c r="R20" s="16">
        <v>-295453.36700000003</v>
      </c>
      <c r="S20" s="19">
        <f t="shared" si="6"/>
        <v>0.39594931992523208</v>
      </c>
      <c r="T20" s="21">
        <f t="shared" si="7"/>
        <v>-846601.98699999996</v>
      </c>
      <c r="U20" s="7">
        <f t="shared" si="8"/>
        <v>-211650.49674999999</v>
      </c>
    </row>
    <row r="21" spans="1:21" x14ac:dyDescent="0.35">
      <c r="A21" t="s">
        <v>160</v>
      </c>
      <c r="B21">
        <v>41350218</v>
      </c>
      <c r="C21" t="s">
        <v>179</v>
      </c>
      <c r="D21" s="16">
        <v>-450</v>
      </c>
      <c r="E21" s="19">
        <f>(ABS(D21)-ABS(M21))/ABS(M21)</f>
        <v>0.34328358208955223</v>
      </c>
      <c r="F21" s="16">
        <v>-244.83</v>
      </c>
      <c r="G21" s="19">
        <f>(ABS(F21)-ABS(M21))/ABS(M21)</f>
        <v>-0.2691641791044776</v>
      </c>
      <c r="H21" s="16">
        <v>-354.48</v>
      </c>
      <c r="I21" s="19">
        <f t="shared" si="0"/>
        <v>5.8149253731343338E-2</v>
      </c>
      <c r="J21" s="16">
        <v>-290.69</v>
      </c>
      <c r="K21" s="19">
        <f t="shared" si="1"/>
        <v>-0.13226865671641791</v>
      </c>
      <c r="L21" s="21">
        <f t="shared" si="2"/>
        <v>-1340</v>
      </c>
      <c r="M21" s="7">
        <f t="shared" si="3"/>
        <v>-335</v>
      </c>
      <c r="N21" s="16">
        <v>-237.93</v>
      </c>
      <c r="O21" s="19">
        <f t="shared" si="4"/>
        <v>0.1744621491033331</v>
      </c>
      <c r="P21" s="16">
        <v>-312.07</v>
      </c>
      <c r="Q21" s="19">
        <f t="shared" si="5"/>
        <v>0.54042955016465832</v>
      </c>
      <c r="R21" s="16">
        <v>-260.34539999999998</v>
      </c>
      <c r="S21" s="19">
        <f t="shared" si="6"/>
        <v>0.28510830073200888</v>
      </c>
      <c r="T21" s="21">
        <f t="shared" si="7"/>
        <v>-810.34539999999993</v>
      </c>
      <c r="U21" s="7">
        <f t="shared" si="8"/>
        <v>-202.58634999999998</v>
      </c>
    </row>
    <row r="22" spans="1:21" x14ac:dyDescent="0.35">
      <c r="A22" t="s">
        <v>160</v>
      </c>
      <c r="B22">
        <v>41350401</v>
      </c>
      <c r="C22" t="s">
        <v>180</v>
      </c>
      <c r="D22" s="16">
        <v>-2662489.83</v>
      </c>
      <c r="E22" s="19">
        <f>(ABS(D22)-ABS(M22))/ABS(M22)</f>
        <v>-0.21513879213984094</v>
      </c>
      <c r="F22" s="16">
        <v>-3083795.86</v>
      </c>
      <c r="G22" s="19">
        <f>(ABS(F22)-ABS(M22))/ABS(M22)</f>
        <v>-9.0944229644716518E-2</v>
      </c>
      <c r="H22" s="16">
        <v>-4151747.17</v>
      </c>
      <c r="I22" s="19">
        <f t="shared" si="0"/>
        <v>0.22387145365216171</v>
      </c>
      <c r="J22" s="16">
        <v>-3671193.41</v>
      </c>
      <c r="K22" s="19">
        <f t="shared" si="1"/>
        <v>8.2211568132395885E-2</v>
      </c>
      <c r="L22" s="21">
        <f t="shared" si="2"/>
        <v>-13569226.27</v>
      </c>
      <c r="M22" s="7">
        <f t="shared" si="3"/>
        <v>-3392306.5674999999</v>
      </c>
      <c r="N22" s="16">
        <v>-5555863.4800000004</v>
      </c>
      <c r="O22" s="19">
        <f t="shared" si="4"/>
        <v>0.22930507379592519</v>
      </c>
      <c r="P22" s="16">
        <v>-5207626.2699999996</v>
      </c>
      <c r="Q22" s="19">
        <f t="shared" si="5"/>
        <v>0.15225318605991875</v>
      </c>
      <c r="R22" s="16">
        <v>-7314572.7209999999</v>
      </c>
      <c r="S22" s="19">
        <f t="shared" si="6"/>
        <v>0.61844174014415587</v>
      </c>
      <c r="T22" s="21">
        <f t="shared" si="7"/>
        <v>-18078062.471000001</v>
      </c>
      <c r="U22" s="7">
        <f t="shared" si="8"/>
        <v>-4519515.6177500002</v>
      </c>
    </row>
    <row r="23" spans="1:21" x14ac:dyDescent="0.35">
      <c r="A23" t="s">
        <v>160</v>
      </c>
      <c r="B23">
        <v>41350405</v>
      </c>
      <c r="C23" t="s">
        <v>181</v>
      </c>
      <c r="D23" s="16">
        <v>-82522.2</v>
      </c>
      <c r="E23" s="19">
        <f>(ABS(D23)-ABS(M23))/ABS(M23)</f>
        <v>-0.20283457589662357</v>
      </c>
      <c r="F23" s="16">
        <v>-139546.5</v>
      </c>
      <c r="G23" s="19">
        <f>(ABS(F23)-ABS(M23))/ABS(M23)</f>
        <v>0.34802083384400589</v>
      </c>
      <c r="H23" s="16">
        <v>-112291.15</v>
      </c>
      <c r="I23" s="19">
        <f t="shared" si="0"/>
        <v>8.4733831778671151E-2</v>
      </c>
      <c r="J23" s="16">
        <v>-79718.320000000007</v>
      </c>
      <c r="K23" s="19">
        <f t="shared" si="1"/>
        <v>-0.22992008972605332</v>
      </c>
      <c r="L23" s="21">
        <f t="shared" si="2"/>
        <v>-414078.17</v>
      </c>
      <c r="M23" s="7">
        <f t="shared" si="3"/>
        <v>-103519.5425</v>
      </c>
      <c r="N23" s="16">
        <v>-130931.79</v>
      </c>
      <c r="O23" s="19">
        <f t="shared" si="4"/>
        <v>0.22234568510391858</v>
      </c>
      <c r="P23" s="16">
        <v>-143819.6</v>
      </c>
      <c r="Q23" s="19">
        <f t="shared" si="5"/>
        <v>0.34266298118563526</v>
      </c>
      <c r="R23" s="16">
        <v>-153709.36900000001</v>
      </c>
      <c r="S23" s="19">
        <f t="shared" si="6"/>
        <v>0.43499133371044602</v>
      </c>
      <c r="T23" s="21">
        <f t="shared" si="7"/>
        <v>-428460.75900000002</v>
      </c>
      <c r="U23" s="7">
        <f t="shared" si="8"/>
        <v>-107115.18975000001</v>
      </c>
    </row>
    <row r="24" spans="1:21" x14ac:dyDescent="0.35">
      <c r="A24" t="s">
        <v>160</v>
      </c>
      <c r="B24">
        <v>41350803</v>
      </c>
      <c r="C24" t="s">
        <v>182</v>
      </c>
      <c r="D24" s="16">
        <v>-4984.08</v>
      </c>
      <c r="E24" s="19">
        <f>(ABS(D24)-ABS(M24))/ABS(M24)</f>
        <v>-0.51043236752344534</v>
      </c>
      <c r="F24" s="16">
        <v>-9972.67</v>
      </c>
      <c r="G24" s="19">
        <f>(ABS(F24)-ABS(M24))/ABS(M24)</f>
        <v>-2.0421734528747036E-2</v>
      </c>
      <c r="H24" s="16">
        <v>-11761.81</v>
      </c>
      <c r="I24" s="19">
        <f t="shared" si="0"/>
        <v>0.15531883022324386</v>
      </c>
      <c r="J24" s="16">
        <v>-14003.74</v>
      </c>
      <c r="K24" s="19">
        <f t="shared" si="1"/>
        <v>0.37553527182894886</v>
      </c>
      <c r="L24" s="21">
        <f t="shared" si="2"/>
        <v>-40722.299999999996</v>
      </c>
      <c r="M24" s="7">
        <f t="shared" si="3"/>
        <v>-10180.574999999999</v>
      </c>
      <c r="N24" s="16">
        <v>-11979.23</v>
      </c>
      <c r="O24" s="19">
        <f t="shared" si="4"/>
        <v>7.1409553676803711E-2</v>
      </c>
      <c r="P24" s="16">
        <v>-13730.91</v>
      </c>
      <c r="Q24" s="19">
        <f t="shared" si="5"/>
        <v>0.22807794446524202</v>
      </c>
      <c r="R24" s="16">
        <v>-19013.112499999999</v>
      </c>
      <c r="S24" s="19">
        <f t="shared" si="6"/>
        <v>0.70051250185795388</v>
      </c>
      <c r="T24" s="21">
        <f t="shared" si="7"/>
        <v>-44723.252500000002</v>
      </c>
      <c r="U24" s="7">
        <f t="shared" si="8"/>
        <v>-11180.813125000001</v>
      </c>
    </row>
    <row r="25" spans="1:21" x14ac:dyDescent="0.35">
      <c r="A25" t="s">
        <v>160</v>
      </c>
      <c r="B25">
        <v>41352001</v>
      </c>
      <c r="C25" t="s">
        <v>183</v>
      </c>
      <c r="D25" s="16">
        <v>-7223.89</v>
      </c>
      <c r="E25" s="19">
        <f>(ABS(D25)-ABS(M25))/ABS(M25)</f>
        <v>-0.6207695859296235</v>
      </c>
      <c r="F25" s="16">
        <v>-9743.17</v>
      </c>
      <c r="G25" s="19">
        <f>(ABS(F25)-ABS(M25))/ABS(M25)</f>
        <v>-0.48851568982112542</v>
      </c>
      <c r="H25" s="16">
        <v>-22826.71</v>
      </c>
      <c r="I25" s="19">
        <f t="shared" si="0"/>
        <v>0.19832703504128715</v>
      </c>
      <c r="J25" s="16">
        <v>-36401.49</v>
      </c>
      <c r="K25" s="19">
        <f t="shared" si="1"/>
        <v>0.91095824070946108</v>
      </c>
      <c r="L25" s="21">
        <f t="shared" si="2"/>
        <v>-76195.260000000009</v>
      </c>
      <c r="M25" s="7">
        <f t="shared" si="3"/>
        <v>-19048.815000000002</v>
      </c>
      <c r="N25" s="16">
        <v>-48520.57</v>
      </c>
      <c r="O25" s="19">
        <f t="shared" si="4"/>
        <v>-6.6271045814793483E-2</v>
      </c>
      <c r="P25" s="16">
        <v>-52913.05</v>
      </c>
      <c r="Q25" s="19">
        <f t="shared" si="5"/>
        <v>1.8257758291989241E-2</v>
      </c>
      <c r="R25" s="16">
        <v>-106423.5736</v>
      </c>
      <c r="S25" s="19">
        <f t="shared" si="6"/>
        <v>1.0480132875228043</v>
      </c>
      <c r="T25" s="21">
        <f t="shared" si="7"/>
        <v>-207857.1936</v>
      </c>
      <c r="U25" s="7">
        <f t="shared" si="8"/>
        <v>-51964.2984</v>
      </c>
    </row>
    <row r="26" spans="1:21" x14ac:dyDescent="0.35">
      <c r="A26" t="s">
        <v>160</v>
      </c>
      <c r="B26">
        <v>41353006</v>
      </c>
      <c r="C26" t="s">
        <v>184</v>
      </c>
      <c r="E26" s="19">
        <v>0</v>
      </c>
      <c r="G26" s="19">
        <v>0</v>
      </c>
      <c r="I26" s="19">
        <v>0</v>
      </c>
      <c r="K26" s="19">
        <v>0</v>
      </c>
      <c r="L26" s="21">
        <f t="shared" si="2"/>
        <v>0</v>
      </c>
      <c r="M26" s="7">
        <f t="shared" si="3"/>
        <v>0</v>
      </c>
      <c r="O26" s="19">
        <f t="shared" si="4"/>
        <v>-1</v>
      </c>
      <c r="Q26" s="19">
        <f t="shared" si="5"/>
        <v>-1</v>
      </c>
      <c r="R26" s="16">
        <v>-156.8972</v>
      </c>
      <c r="S26" s="19">
        <f t="shared" si="6"/>
        <v>3</v>
      </c>
      <c r="T26" s="21">
        <f t="shared" si="7"/>
        <v>-156.8972</v>
      </c>
      <c r="U26" s="7">
        <f t="shared" si="8"/>
        <v>-39.224299999999999</v>
      </c>
    </row>
    <row r="27" spans="1:21" x14ac:dyDescent="0.35">
      <c r="A27" t="s">
        <v>160</v>
      </c>
      <c r="B27">
        <v>41353008</v>
      </c>
      <c r="C27" t="s">
        <v>185</v>
      </c>
      <c r="E27" s="19">
        <v>0</v>
      </c>
      <c r="G27" s="19">
        <v>0</v>
      </c>
      <c r="I27" s="19">
        <v>0</v>
      </c>
      <c r="K27" s="19">
        <v>0</v>
      </c>
      <c r="L27" s="21">
        <f t="shared" si="2"/>
        <v>0</v>
      </c>
      <c r="M27" s="7">
        <f t="shared" si="3"/>
        <v>0</v>
      </c>
      <c r="O27" s="19">
        <f t="shared" si="4"/>
        <v>-1</v>
      </c>
      <c r="Q27" s="19">
        <f t="shared" si="5"/>
        <v>-1</v>
      </c>
      <c r="R27" s="16">
        <v>-8</v>
      </c>
      <c r="S27" s="19">
        <f t="shared" si="6"/>
        <v>3</v>
      </c>
      <c r="T27" s="21">
        <f t="shared" si="7"/>
        <v>-8</v>
      </c>
      <c r="U27" s="7">
        <f t="shared" si="8"/>
        <v>-2</v>
      </c>
    </row>
    <row r="28" spans="1:21" x14ac:dyDescent="0.35">
      <c r="A28" t="s">
        <v>160</v>
      </c>
      <c r="B28">
        <v>41353010</v>
      </c>
      <c r="C28" t="s">
        <v>186</v>
      </c>
      <c r="E28" s="19">
        <v>0</v>
      </c>
      <c r="G28" s="19">
        <v>0</v>
      </c>
      <c r="I28" s="19">
        <v>0</v>
      </c>
      <c r="K28" s="19">
        <v>0</v>
      </c>
      <c r="L28" s="21">
        <f t="shared" si="2"/>
        <v>0</v>
      </c>
      <c r="M28" s="7">
        <f t="shared" si="3"/>
        <v>0</v>
      </c>
      <c r="O28" s="19">
        <f t="shared" si="4"/>
        <v>-1</v>
      </c>
      <c r="Q28" s="19">
        <f t="shared" si="5"/>
        <v>-1</v>
      </c>
      <c r="R28" s="16">
        <v>-32.862099999999998</v>
      </c>
      <c r="S28" s="19">
        <f t="shared" si="6"/>
        <v>3</v>
      </c>
      <c r="T28" s="21">
        <f t="shared" si="7"/>
        <v>-32.862099999999998</v>
      </c>
      <c r="U28" s="7">
        <f t="shared" si="8"/>
        <v>-8.2155249999999995</v>
      </c>
    </row>
    <row r="29" spans="1:21" x14ac:dyDescent="0.35">
      <c r="A29" t="s">
        <v>160</v>
      </c>
      <c r="B29">
        <v>41370501</v>
      </c>
      <c r="C29" t="s">
        <v>187</v>
      </c>
      <c r="E29" s="19">
        <f>(ABS(D29)-ABS(M29))/ABS(M29)</f>
        <v>-1</v>
      </c>
      <c r="G29" s="19">
        <f>(ABS(F29)-ABS(M29))/ABS(M29)</f>
        <v>-1</v>
      </c>
      <c r="I29" s="19">
        <f t="shared" si="0"/>
        <v>-1</v>
      </c>
      <c r="J29" s="16">
        <v>-94.5</v>
      </c>
      <c r="K29" s="19">
        <f t="shared" si="1"/>
        <v>3</v>
      </c>
      <c r="L29" s="21">
        <f t="shared" si="2"/>
        <v>-94.5</v>
      </c>
      <c r="M29" s="7">
        <f t="shared" si="3"/>
        <v>-23.625</v>
      </c>
      <c r="O29" s="19">
        <f t="shared" si="4"/>
        <v>-1</v>
      </c>
      <c r="P29" s="16">
        <v>-1.36</v>
      </c>
      <c r="Q29" s="19">
        <f t="shared" si="5"/>
        <v>-0.91849185967414726</v>
      </c>
      <c r="R29" s="16">
        <v>-65.381799999999998</v>
      </c>
      <c r="S29" s="19">
        <f t="shared" si="6"/>
        <v>2.9184918596741469</v>
      </c>
      <c r="T29" s="21">
        <f t="shared" si="7"/>
        <v>-66.741799999999998</v>
      </c>
      <c r="U29" s="7">
        <f t="shared" si="8"/>
        <v>-16.685449999999999</v>
      </c>
    </row>
    <row r="30" spans="1:21" x14ac:dyDescent="0.35">
      <c r="A30" t="s">
        <v>160</v>
      </c>
      <c r="B30">
        <v>41370503</v>
      </c>
      <c r="C30" t="s">
        <v>188</v>
      </c>
      <c r="E30" s="19">
        <v>0</v>
      </c>
      <c r="G30" s="19">
        <v>0</v>
      </c>
      <c r="I30" s="19">
        <v>0</v>
      </c>
      <c r="K30" s="19">
        <v>0</v>
      </c>
      <c r="L30" s="21">
        <f t="shared" si="2"/>
        <v>0</v>
      </c>
      <c r="M30" s="7">
        <f t="shared" si="3"/>
        <v>0</v>
      </c>
      <c r="O30" s="19">
        <f t="shared" si="4"/>
        <v>-1</v>
      </c>
      <c r="P30" s="16">
        <v>-59.5</v>
      </c>
      <c r="Q30" s="19">
        <f t="shared" si="5"/>
        <v>0.49692972166541616</v>
      </c>
      <c r="R30" s="16">
        <v>-99.492099999999994</v>
      </c>
      <c r="S30" s="19">
        <f t="shared" si="6"/>
        <v>1.503070278334584</v>
      </c>
      <c r="T30" s="21">
        <f t="shared" si="7"/>
        <v>-158.99209999999999</v>
      </c>
      <c r="U30" s="7">
        <f t="shared" si="8"/>
        <v>-39.748024999999998</v>
      </c>
    </row>
    <row r="31" spans="1:21" x14ac:dyDescent="0.35">
      <c r="A31" t="s">
        <v>160</v>
      </c>
      <c r="B31">
        <v>41370504</v>
      </c>
      <c r="C31" t="s">
        <v>189</v>
      </c>
      <c r="E31" s="19">
        <v>0</v>
      </c>
      <c r="G31" s="19">
        <v>0</v>
      </c>
      <c r="I31" s="19">
        <v>0</v>
      </c>
      <c r="K31" s="19">
        <v>0</v>
      </c>
      <c r="L31" s="21">
        <f t="shared" si="2"/>
        <v>0</v>
      </c>
      <c r="M31" s="7">
        <f t="shared" si="3"/>
        <v>0</v>
      </c>
      <c r="O31" s="19">
        <f t="shared" si="4"/>
        <v>-1</v>
      </c>
      <c r="P31" s="16">
        <v>-56.74</v>
      </c>
      <c r="Q31" s="19">
        <f t="shared" si="5"/>
        <v>1.0958634031923686</v>
      </c>
      <c r="R31" s="16">
        <v>-51.549500000000002</v>
      </c>
      <c r="S31" s="19">
        <f t="shared" si="6"/>
        <v>0.90413659680763137</v>
      </c>
      <c r="T31" s="21">
        <f t="shared" si="7"/>
        <v>-108.2895</v>
      </c>
      <c r="U31" s="7">
        <f t="shared" si="8"/>
        <v>-27.072375000000001</v>
      </c>
    </row>
    <row r="32" spans="1:21" x14ac:dyDescent="0.35">
      <c r="A32" t="s">
        <v>160</v>
      </c>
      <c r="B32">
        <v>41370505</v>
      </c>
      <c r="C32" t="s">
        <v>190</v>
      </c>
      <c r="E32" s="19">
        <v>0</v>
      </c>
      <c r="G32" s="19">
        <v>0</v>
      </c>
      <c r="I32" s="19">
        <v>0</v>
      </c>
      <c r="K32" s="19">
        <v>0</v>
      </c>
      <c r="L32" s="21">
        <f t="shared" si="2"/>
        <v>0</v>
      </c>
      <c r="M32" s="7">
        <f t="shared" si="3"/>
        <v>0</v>
      </c>
      <c r="O32" s="19">
        <f t="shared" si="4"/>
        <v>-1</v>
      </c>
      <c r="P32" s="16">
        <v>-10.6</v>
      </c>
      <c r="Q32" s="19">
        <f t="shared" si="5"/>
        <v>1.4129159292287206</v>
      </c>
      <c r="R32" s="16">
        <v>-6.9721000000000002</v>
      </c>
      <c r="S32" s="19">
        <f t="shared" si="6"/>
        <v>0.58708407077127966</v>
      </c>
      <c r="T32" s="21">
        <f t="shared" si="7"/>
        <v>-17.572099999999999</v>
      </c>
      <c r="U32" s="7">
        <f t="shared" si="8"/>
        <v>-4.3930249999999997</v>
      </c>
    </row>
    <row r="33" spans="1:21" x14ac:dyDescent="0.35">
      <c r="A33" t="s">
        <v>160</v>
      </c>
      <c r="B33">
        <v>41370507</v>
      </c>
      <c r="C33" t="s">
        <v>191</v>
      </c>
      <c r="E33" s="19">
        <v>0</v>
      </c>
      <c r="G33" s="19">
        <v>0</v>
      </c>
      <c r="I33" s="19">
        <v>0</v>
      </c>
      <c r="K33" s="19">
        <v>0</v>
      </c>
      <c r="L33" s="21">
        <f t="shared" si="2"/>
        <v>0</v>
      </c>
      <c r="M33" s="7">
        <f t="shared" si="3"/>
        <v>0</v>
      </c>
      <c r="O33" s="19">
        <f t="shared" si="4"/>
        <v>-1</v>
      </c>
      <c r="P33" s="16">
        <v>-48.01</v>
      </c>
      <c r="Q33" s="19">
        <f t="shared" si="5"/>
        <v>1.7183421566684596</v>
      </c>
      <c r="R33" s="16">
        <v>-22.635999999999999</v>
      </c>
      <c r="S33" s="19">
        <f t="shared" si="6"/>
        <v>0.28165784333154031</v>
      </c>
      <c r="T33" s="21">
        <f t="shared" si="7"/>
        <v>-70.646000000000001</v>
      </c>
      <c r="U33" s="7">
        <f t="shared" si="8"/>
        <v>-17.6615</v>
      </c>
    </row>
    <row r="34" spans="1:21" x14ac:dyDescent="0.35">
      <c r="A34" t="s">
        <v>160</v>
      </c>
      <c r="B34">
        <v>41370510</v>
      </c>
      <c r="C34" t="s">
        <v>192</v>
      </c>
      <c r="E34" s="19">
        <f>(ABS(D34)-ABS(M34))/ABS(M34)</f>
        <v>-1</v>
      </c>
      <c r="G34" s="19">
        <f>(ABS(F34)-ABS(M34))/ABS(M34)</f>
        <v>-1</v>
      </c>
      <c r="I34" s="19">
        <f t="shared" si="0"/>
        <v>-1</v>
      </c>
      <c r="J34" s="16">
        <v>-0.86</v>
      </c>
      <c r="K34" s="19">
        <f t="shared" si="1"/>
        <v>3</v>
      </c>
      <c r="L34" s="21">
        <f t="shared" si="2"/>
        <v>-0.86</v>
      </c>
      <c r="M34" s="7">
        <f t="shared" si="3"/>
        <v>-0.215</v>
      </c>
      <c r="O34" s="19">
        <f t="shared" si="4"/>
        <v>-1</v>
      </c>
      <c r="Q34" s="19">
        <f t="shared" si="5"/>
        <v>-1</v>
      </c>
      <c r="R34" s="16">
        <v>-4.0732999999999997</v>
      </c>
      <c r="S34" s="19">
        <f t="shared" si="6"/>
        <v>3</v>
      </c>
      <c r="T34" s="21">
        <f t="shared" si="7"/>
        <v>-4.0732999999999997</v>
      </c>
      <c r="U34" s="7">
        <f t="shared" si="8"/>
        <v>-1.0183249999999999</v>
      </c>
    </row>
    <row r="35" spans="1:21" x14ac:dyDescent="0.35">
      <c r="A35" t="s">
        <v>160</v>
      </c>
      <c r="B35">
        <v>41370511</v>
      </c>
      <c r="C35" t="s">
        <v>193</v>
      </c>
      <c r="E35" s="19">
        <v>0</v>
      </c>
      <c r="G35" s="19">
        <v>0</v>
      </c>
      <c r="I35" s="19">
        <v>0</v>
      </c>
      <c r="K35" s="19">
        <v>0</v>
      </c>
      <c r="L35" s="21">
        <f t="shared" si="2"/>
        <v>0</v>
      </c>
      <c r="M35" s="7">
        <f t="shared" si="3"/>
        <v>0</v>
      </c>
      <c r="O35" s="19">
        <f t="shared" si="4"/>
        <v>-1</v>
      </c>
      <c r="P35" s="16">
        <v>-53.66</v>
      </c>
      <c r="Q35" s="19">
        <f t="shared" si="5"/>
        <v>-0.27862769876051946</v>
      </c>
      <c r="R35" s="16">
        <v>-243.88399999999999</v>
      </c>
      <c r="S35" s="19">
        <f t="shared" si="6"/>
        <v>2.2786276987605194</v>
      </c>
      <c r="T35" s="21">
        <f t="shared" si="7"/>
        <v>-297.54399999999998</v>
      </c>
      <c r="U35" s="7">
        <f t="shared" si="8"/>
        <v>-74.385999999999996</v>
      </c>
    </row>
    <row r="36" spans="1:21" x14ac:dyDescent="0.35">
      <c r="A36" t="s">
        <v>160</v>
      </c>
      <c r="B36">
        <v>41370703</v>
      </c>
      <c r="C36" t="s">
        <v>194</v>
      </c>
      <c r="E36" s="19">
        <v>0</v>
      </c>
      <c r="G36" s="19">
        <v>0</v>
      </c>
      <c r="I36" s="19">
        <v>0</v>
      </c>
      <c r="K36" s="19">
        <v>0</v>
      </c>
      <c r="L36" s="21">
        <f t="shared" si="2"/>
        <v>0</v>
      </c>
      <c r="M36" s="7">
        <f t="shared" si="3"/>
        <v>0</v>
      </c>
      <c r="O36" s="19">
        <f t="shared" si="4"/>
        <v>-1</v>
      </c>
      <c r="P36" s="16">
        <v>-11.61</v>
      </c>
      <c r="Q36" s="19">
        <f t="shared" si="5"/>
        <v>-0.45341620755118933</v>
      </c>
      <c r="R36" s="16">
        <v>-73.354100000000003</v>
      </c>
      <c r="S36" s="19">
        <f t="shared" si="6"/>
        <v>2.4534162075511894</v>
      </c>
      <c r="T36" s="21">
        <f t="shared" si="7"/>
        <v>-84.964100000000002</v>
      </c>
      <c r="U36" s="7">
        <f t="shared" si="8"/>
        <v>-21.241025</v>
      </c>
    </row>
    <row r="37" spans="1:21" x14ac:dyDescent="0.35">
      <c r="A37" t="s">
        <v>160</v>
      </c>
      <c r="B37">
        <v>41370704</v>
      </c>
      <c r="C37" t="s">
        <v>195</v>
      </c>
      <c r="E37" s="19">
        <v>0</v>
      </c>
      <c r="G37" s="19">
        <v>0</v>
      </c>
      <c r="I37" s="19">
        <v>0</v>
      </c>
      <c r="K37" s="19">
        <v>0</v>
      </c>
      <c r="L37" s="21">
        <f t="shared" si="2"/>
        <v>0</v>
      </c>
      <c r="M37" s="7">
        <f t="shared" si="3"/>
        <v>0</v>
      </c>
      <c r="O37" s="19">
        <f t="shared" si="4"/>
        <v>-1</v>
      </c>
      <c r="P37" s="16">
        <v>-6.59</v>
      </c>
      <c r="Q37" s="19">
        <f t="shared" si="5"/>
        <v>-2.2128243651809359E-2</v>
      </c>
      <c r="R37" s="16">
        <v>-20.366499999999998</v>
      </c>
      <c r="S37" s="19">
        <f t="shared" si="6"/>
        <v>2.0221282436518093</v>
      </c>
      <c r="T37" s="21">
        <f t="shared" si="7"/>
        <v>-26.956499999999998</v>
      </c>
      <c r="U37" s="7">
        <f t="shared" si="8"/>
        <v>-6.7391249999999996</v>
      </c>
    </row>
    <row r="38" spans="1:21" x14ac:dyDescent="0.35">
      <c r="A38" t="s">
        <v>160</v>
      </c>
      <c r="B38">
        <v>41370706</v>
      </c>
      <c r="C38" t="s">
        <v>196</v>
      </c>
      <c r="E38" s="19">
        <f>(ABS(D38)-ABS(M38))/ABS(M38)</f>
        <v>-1</v>
      </c>
      <c r="G38" s="19">
        <f>(ABS(F38)-ABS(M38))/ABS(M38)</f>
        <v>-1</v>
      </c>
      <c r="I38" s="19">
        <f t="shared" si="0"/>
        <v>-1</v>
      </c>
      <c r="J38" s="16">
        <v>-0.86</v>
      </c>
      <c r="K38" s="19">
        <f t="shared" si="1"/>
        <v>3</v>
      </c>
      <c r="L38" s="21">
        <f t="shared" si="2"/>
        <v>-0.86</v>
      </c>
      <c r="M38" s="7">
        <f t="shared" si="3"/>
        <v>-0.215</v>
      </c>
      <c r="O38" s="19">
        <f t="shared" si="4"/>
        <v>-1</v>
      </c>
      <c r="P38" s="16">
        <v>-870.01</v>
      </c>
      <c r="Q38" s="19">
        <f t="shared" si="5"/>
        <v>-2.982709347873724E-2</v>
      </c>
      <c r="R38" s="16">
        <v>-2717.0207</v>
      </c>
      <c r="S38" s="19">
        <f t="shared" si="6"/>
        <v>2.0298270934787368</v>
      </c>
      <c r="T38" s="21">
        <f t="shared" si="7"/>
        <v>-3587.0307000000003</v>
      </c>
      <c r="U38" s="7">
        <f t="shared" si="8"/>
        <v>-896.75767500000006</v>
      </c>
    </row>
    <row r="39" spans="1:21" x14ac:dyDescent="0.35">
      <c r="A39" t="s">
        <v>160</v>
      </c>
      <c r="B39">
        <v>41370901</v>
      </c>
      <c r="C39" t="s">
        <v>197</v>
      </c>
      <c r="E39" s="19">
        <f>(ABS(D39)-ABS(M39))/ABS(M39)</f>
        <v>-1</v>
      </c>
      <c r="G39" s="19">
        <f>(ABS(F39)-ABS(M39))/ABS(M39)</f>
        <v>-1</v>
      </c>
      <c r="H39" s="16">
        <v>-1.72</v>
      </c>
      <c r="I39" s="19">
        <f t="shared" si="0"/>
        <v>3</v>
      </c>
      <c r="K39" s="19">
        <f t="shared" si="1"/>
        <v>-1</v>
      </c>
      <c r="L39" s="21">
        <f t="shared" si="2"/>
        <v>-1.72</v>
      </c>
      <c r="M39" s="7">
        <f t="shared" si="3"/>
        <v>-0.43</v>
      </c>
      <c r="N39" s="16">
        <v>-5.17</v>
      </c>
      <c r="O39" s="19">
        <f t="shared" si="4"/>
        <v>-0.97465010898737003</v>
      </c>
      <c r="P39" s="16">
        <v>-218.35</v>
      </c>
      <c r="Q39" s="19">
        <f t="shared" si="5"/>
        <v>7.0628375746185287E-2</v>
      </c>
      <c r="R39" s="16">
        <v>-592.26260000000002</v>
      </c>
      <c r="S39" s="19">
        <f t="shared" si="6"/>
        <v>1.9040217332411846</v>
      </c>
      <c r="T39" s="21">
        <f t="shared" si="7"/>
        <v>-815.7826</v>
      </c>
      <c r="U39" s="7">
        <f t="shared" si="8"/>
        <v>-203.94565</v>
      </c>
    </row>
    <row r="40" spans="1:21" x14ac:dyDescent="0.35">
      <c r="A40" t="s">
        <v>160</v>
      </c>
      <c r="B40">
        <v>41370902</v>
      </c>
      <c r="C40" t="s">
        <v>198</v>
      </c>
      <c r="E40" s="19">
        <v>0</v>
      </c>
      <c r="G40" s="19">
        <v>0</v>
      </c>
      <c r="I40" s="19">
        <v>0</v>
      </c>
      <c r="K40" s="19">
        <v>0</v>
      </c>
      <c r="L40" s="21">
        <f t="shared" si="2"/>
        <v>0</v>
      </c>
      <c r="M40" s="7">
        <f t="shared" si="3"/>
        <v>0</v>
      </c>
      <c r="O40" s="19">
        <f t="shared" si="4"/>
        <v>-1</v>
      </c>
      <c r="P40" s="16">
        <v>-334.41</v>
      </c>
      <c r="Q40" s="19">
        <f t="shared" si="5"/>
        <v>-0.30103211728263457</v>
      </c>
      <c r="R40" s="16">
        <v>-1579.326</v>
      </c>
      <c r="S40" s="19">
        <f t="shared" si="6"/>
        <v>2.3010321172826345</v>
      </c>
      <c r="T40" s="21">
        <f t="shared" si="7"/>
        <v>-1913.7360000000001</v>
      </c>
      <c r="U40" s="7">
        <f t="shared" si="8"/>
        <v>-478.43400000000003</v>
      </c>
    </row>
    <row r="41" spans="1:21" x14ac:dyDescent="0.35">
      <c r="A41" t="s">
        <v>160</v>
      </c>
      <c r="B41">
        <v>41370903</v>
      </c>
      <c r="C41" t="s">
        <v>199</v>
      </c>
      <c r="E41" s="19">
        <v>0</v>
      </c>
      <c r="G41" s="19">
        <v>0</v>
      </c>
      <c r="I41" s="19">
        <v>0</v>
      </c>
      <c r="K41" s="19">
        <v>0</v>
      </c>
      <c r="L41" s="21">
        <f t="shared" si="2"/>
        <v>0</v>
      </c>
      <c r="M41" s="7">
        <f t="shared" si="3"/>
        <v>0</v>
      </c>
      <c r="O41" s="19">
        <f t="shared" si="4"/>
        <v>-1</v>
      </c>
      <c r="P41" s="16">
        <v>-372.54</v>
      </c>
      <c r="Q41" s="19">
        <f t="shared" si="5"/>
        <v>0.11856709075574288</v>
      </c>
      <c r="R41" s="16">
        <v>-959.6644</v>
      </c>
      <c r="S41" s="19">
        <f t="shared" si="6"/>
        <v>1.881432909244257</v>
      </c>
      <c r="T41" s="21">
        <f t="shared" si="7"/>
        <v>-1332.2044000000001</v>
      </c>
      <c r="U41" s="7">
        <f t="shared" si="8"/>
        <v>-333.05110000000002</v>
      </c>
    </row>
    <row r="42" spans="1:21" x14ac:dyDescent="0.35">
      <c r="A42" t="s">
        <v>160</v>
      </c>
      <c r="B42">
        <v>41371501</v>
      </c>
      <c r="C42" t="s">
        <v>200</v>
      </c>
      <c r="E42" s="19">
        <f>(ABS(D42)-ABS(M42))/ABS(M42)</f>
        <v>-1</v>
      </c>
      <c r="G42" s="19">
        <f>(ABS(F42)-ABS(M42))/ABS(M42)</f>
        <v>-1</v>
      </c>
      <c r="I42" s="19">
        <f t="shared" si="0"/>
        <v>-1</v>
      </c>
      <c r="J42" s="16">
        <v>-10.34</v>
      </c>
      <c r="K42" s="19">
        <f t="shared" si="1"/>
        <v>3</v>
      </c>
      <c r="L42" s="21">
        <f t="shared" si="2"/>
        <v>-10.34</v>
      </c>
      <c r="M42" s="7">
        <f t="shared" si="3"/>
        <v>-2.585</v>
      </c>
      <c r="N42" s="16">
        <v>-56.03</v>
      </c>
      <c r="O42" s="19">
        <f t="shared" si="4"/>
        <v>-0.81735112184975101</v>
      </c>
      <c r="P42" s="16">
        <v>-360.58</v>
      </c>
      <c r="Q42" s="19">
        <f t="shared" si="5"/>
        <v>0.17543338360551083</v>
      </c>
      <c r="R42" s="16">
        <v>-810.44380000000001</v>
      </c>
      <c r="S42" s="19">
        <f t="shared" si="6"/>
        <v>1.6419177382442398</v>
      </c>
      <c r="T42" s="21">
        <f t="shared" si="7"/>
        <v>-1227.0538000000001</v>
      </c>
      <c r="U42" s="7">
        <f t="shared" si="8"/>
        <v>-306.76345000000003</v>
      </c>
    </row>
    <row r="43" spans="1:21" x14ac:dyDescent="0.35">
      <c r="A43" t="s">
        <v>160</v>
      </c>
      <c r="B43">
        <v>41372003</v>
      </c>
      <c r="C43" t="s">
        <v>201</v>
      </c>
      <c r="E43" s="19">
        <v>0</v>
      </c>
      <c r="G43" s="19">
        <v>0</v>
      </c>
      <c r="I43" s="19">
        <v>0</v>
      </c>
      <c r="K43" s="19">
        <v>0</v>
      </c>
      <c r="L43" s="21">
        <f t="shared" si="2"/>
        <v>0</v>
      </c>
      <c r="M43" s="7">
        <f t="shared" si="3"/>
        <v>0</v>
      </c>
      <c r="O43" s="19">
        <f t="shared" si="4"/>
        <v>-1</v>
      </c>
      <c r="P43" s="16">
        <v>-2.11</v>
      </c>
      <c r="Q43" s="19">
        <f t="shared" si="5"/>
        <v>0.30130438804773513</v>
      </c>
      <c r="R43" s="16">
        <v>-4.3757999999999999</v>
      </c>
      <c r="S43" s="19">
        <f t="shared" si="6"/>
        <v>1.6986956119522651</v>
      </c>
      <c r="T43" s="21">
        <f t="shared" si="7"/>
        <v>-6.4857999999999993</v>
      </c>
      <c r="U43" s="7">
        <f t="shared" si="8"/>
        <v>-1.6214499999999998</v>
      </c>
    </row>
    <row r="44" spans="1:21" x14ac:dyDescent="0.35">
      <c r="A44" t="s">
        <v>160</v>
      </c>
      <c r="B44">
        <v>41372005</v>
      </c>
      <c r="C44" t="s">
        <v>202</v>
      </c>
      <c r="E44" s="19">
        <v>0</v>
      </c>
      <c r="G44" s="19">
        <v>0</v>
      </c>
      <c r="I44" s="19">
        <v>0</v>
      </c>
      <c r="K44" s="19">
        <v>0</v>
      </c>
      <c r="L44" s="21">
        <f t="shared" si="2"/>
        <v>0</v>
      </c>
      <c r="M44" s="7">
        <f t="shared" si="3"/>
        <v>0</v>
      </c>
      <c r="O44" s="19">
        <f t="shared" si="4"/>
        <v>-1</v>
      </c>
      <c r="P44" s="16">
        <v>-75.099999999999994</v>
      </c>
      <c r="Q44" s="19">
        <f t="shared" si="5"/>
        <v>0.49220961273087271</v>
      </c>
      <c r="R44" s="16">
        <v>-126.2122</v>
      </c>
      <c r="S44" s="19">
        <f t="shared" si="6"/>
        <v>1.5077903872691274</v>
      </c>
      <c r="T44" s="21">
        <f t="shared" si="7"/>
        <v>-201.31219999999999</v>
      </c>
      <c r="U44" s="7">
        <f t="shared" si="8"/>
        <v>-50.328049999999998</v>
      </c>
    </row>
    <row r="45" spans="1:21" x14ac:dyDescent="0.35">
      <c r="A45" t="s">
        <v>160</v>
      </c>
      <c r="B45">
        <v>41372006</v>
      </c>
      <c r="C45" t="s">
        <v>203</v>
      </c>
      <c r="E45" s="19">
        <f>(ABS(D45)-ABS(M45))/ABS(M45)</f>
        <v>-1</v>
      </c>
      <c r="G45" s="19">
        <f>(ABS(F45)-ABS(M45))/ABS(M45)</f>
        <v>-1</v>
      </c>
      <c r="I45" s="19">
        <f t="shared" si="0"/>
        <v>-1</v>
      </c>
      <c r="J45" s="16">
        <v>-0.86</v>
      </c>
      <c r="K45" s="19">
        <f t="shared" si="1"/>
        <v>3</v>
      </c>
      <c r="L45" s="21">
        <f t="shared" si="2"/>
        <v>-0.86</v>
      </c>
      <c r="M45" s="7">
        <f t="shared" si="3"/>
        <v>-0.215</v>
      </c>
      <c r="O45" s="19">
        <f t="shared" si="4"/>
        <v>-1</v>
      </c>
      <c r="P45" s="16">
        <v>-1501.68</v>
      </c>
      <c r="Q45" s="19">
        <f t="shared" si="5"/>
        <v>0.21105965340586932</v>
      </c>
      <c r="R45" s="16">
        <v>-3458.2078000000001</v>
      </c>
      <c r="S45" s="19">
        <f t="shared" si="6"/>
        <v>1.7889403465941305</v>
      </c>
      <c r="T45" s="21">
        <f t="shared" si="7"/>
        <v>-4959.8878000000004</v>
      </c>
      <c r="U45" s="7">
        <f t="shared" si="8"/>
        <v>-1239.9719500000001</v>
      </c>
    </row>
    <row r="46" spans="1:21" x14ac:dyDescent="0.35">
      <c r="A46" t="s">
        <v>160</v>
      </c>
      <c r="B46">
        <v>41372103</v>
      </c>
      <c r="C46" t="s">
        <v>204</v>
      </c>
      <c r="E46" s="19">
        <v>0</v>
      </c>
      <c r="G46" s="19">
        <v>0</v>
      </c>
      <c r="I46" s="19">
        <v>0</v>
      </c>
      <c r="K46" s="19">
        <v>0</v>
      </c>
      <c r="L46" s="21">
        <f t="shared" si="2"/>
        <v>0</v>
      </c>
      <c r="M46" s="7">
        <f t="shared" si="3"/>
        <v>0</v>
      </c>
      <c r="O46" s="19">
        <f t="shared" si="4"/>
        <v>-1</v>
      </c>
      <c r="P46" s="16">
        <v>-3.3</v>
      </c>
      <c r="Q46" s="19">
        <f t="shared" si="5"/>
        <v>-0.26040061633281975</v>
      </c>
      <c r="R46" s="16">
        <v>-14.547499999999999</v>
      </c>
      <c r="S46" s="19">
        <f t="shared" si="6"/>
        <v>2.2604006163328196</v>
      </c>
      <c r="T46" s="21">
        <f t="shared" si="7"/>
        <v>-17.8475</v>
      </c>
      <c r="U46" s="7">
        <f t="shared" si="8"/>
        <v>-4.461875</v>
      </c>
    </row>
    <row r="47" spans="1:21" x14ac:dyDescent="0.35">
      <c r="A47" t="s">
        <v>160</v>
      </c>
      <c r="B47">
        <v>41372503</v>
      </c>
      <c r="C47" t="s">
        <v>205</v>
      </c>
      <c r="E47" s="19">
        <v>0</v>
      </c>
      <c r="G47" s="19">
        <v>0</v>
      </c>
      <c r="I47" s="19">
        <v>0</v>
      </c>
      <c r="K47" s="19">
        <v>0</v>
      </c>
      <c r="L47" s="21">
        <f t="shared" si="2"/>
        <v>0</v>
      </c>
      <c r="M47" s="7">
        <f t="shared" si="3"/>
        <v>0</v>
      </c>
      <c r="O47" s="19">
        <f t="shared" si="4"/>
        <v>-1</v>
      </c>
      <c r="P47" s="16">
        <v>-65.11</v>
      </c>
      <c r="Q47" s="19">
        <f t="shared" si="5"/>
        <v>0.44821803121531539</v>
      </c>
      <c r="R47" s="16">
        <v>-114.7248</v>
      </c>
      <c r="S47" s="19">
        <f t="shared" si="6"/>
        <v>1.5517819687846846</v>
      </c>
      <c r="T47" s="21">
        <f t="shared" si="7"/>
        <v>-179.8348</v>
      </c>
      <c r="U47" s="7">
        <f t="shared" si="8"/>
        <v>-44.9587</v>
      </c>
    </row>
    <row r="48" spans="1:21" x14ac:dyDescent="0.35">
      <c r="A48" t="s">
        <v>160</v>
      </c>
      <c r="B48">
        <v>41372507</v>
      </c>
      <c r="C48" t="s">
        <v>206</v>
      </c>
      <c r="E48" s="19">
        <v>0</v>
      </c>
      <c r="G48" s="19">
        <v>0</v>
      </c>
      <c r="I48" s="19">
        <v>0</v>
      </c>
      <c r="K48" s="19">
        <v>0</v>
      </c>
      <c r="L48" s="21">
        <f t="shared" si="2"/>
        <v>0</v>
      </c>
      <c r="M48" s="7">
        <f t="shared" si="3"/>
        <v>0</v>
      </c>
      <c r="O48" s="19">
        <f t="shared" si="4"/>
        <v>-1</v>
      </c>
      <c r="P48" s="16">
        <v>-552.04</v>
      </c>
      <c r="Q48" s="19">
        <f t="shared" si="5"/>
        <v>-0.19049139733973253</v>
      </c>
      <c r="R48" s="16">
        <v>-2175.7383</v>
      </c>
      <c r="S48" s="19">
        <f t="shared" si="6"/>
        <v>2.1904913973397324</v>
      </c>
      <c r="T48" s="21">
        <f t="shared" si="7"/>
        <v>-2727.7782999999999</v>
      </c>
      <c r="U48" s="7">
        <f t="shared" si="8"/>
        <v>-681.94457499999999</v>
      </c>
    </row>
    <row r="49" spans="1:21" x14ac:dyDescent="0.35">
      <c r="A49" t="s">
        <v>160</v>
      </c>
      <c r="B49">
        <v>41372701</v>
      </c>
      <c r="C49" t="s">
        <v>207</v>
      </c>
      <c r="E49" s="19">
        <v>0</v>
      </c>
      <c r="G49" s="19">
        <v>0</v>
      </c>
      <c r="I49" s="19">
        <v>0</v>
      </c>
      <c r="K49" s="19">
        <v>0</v>
      </c>
      <c r="L49" s="21">
        <f t="shared" si="2"/>
        <v>0</v>
      </c>
      <c r="M49" s="7">
        <f t="shared" si="3"/>
        <v>0</v>
      </c>
      <c r="O49" s="19">
        <f t="shared" si="4"/>
        <v>-1</v>
      </c>
      <c r="P49" s="16">
        <v>-256.60000000000002</v>
      </c>
      <c r="Q49" s="19">
        <f t="shared" si="5"/>
        <v>0.64560203077295042</v>
      </c>
      <c r="R49" s="16">
        <v>-367.12310000000002</v>
      </c>
      <c r="S49" s="19">
        <f t="shared" si="6"/>
        <v>1.3543979692270496</v>
      </c>
      <c r="T49" s="21">
        <f t="shared" si="7"/>
        <v>-623.72310000000004</v>
      </c>
      <c r="U49" s="7">
        <f t="shared" si="8"/>
        <v>-155.93077500000001</v>
      </c>
    </row>
    <row r="50" spans="1:21" x14ac:dyDescent="0.35">
      <c r="A50" t="s">
        <v>160</v>
      </c>
      <c r="B50">
        <v>41373001</v>
      </c>
      <c r="C50" t="s">
        <v>208</v>
      </c>
      <c r="E50" s="19">
        <v>0</v>
      </c>
      <c r="G50" s="19">
        <v>0</v>
      </c>
      <c r="I50" s="19">
        <v>0</v>
      </c>
      <c r="K50" s="19">
        <v>0</v>
      </c>
      <c r="L50" s="21">
        <f t="shared" si="2"/>
        <v>0</v>
      </c>
      <c r="M50" s="7">
        <f t="shared" si="3"/>
        <v>0</v>
      </c>
      <c r="O50" s="19">
        <f t="shared" si="4"/>
        <v>-1</v>
      </c>
      <c r="Q50" s="19">
        <f t="shared" si="5"/>
        <v>-1</v>
      </c>
      <c r="R50" s="16">
        <v>-3.2585999999999999</v>
      </c>
      <c r="S50" s="19">
        <f t="shared" si="6"/>
        <v>3</v>
      </c>
      <c r="T50" s="21">
        <f t="shared" si="7"/>
        <v>-3.2585999999999999</v>
      </c>
      <c r="U50" s="7">
        <f t="shared" si="8"/>
        <v>-0.81464999999999999</v>
      </c>
    </row>
    <row r="51" spans="1:21" x14ac:dyDescent="0.35">
      <c r="A51" t="s">
        <v>160</v>
      </c>
      <c r="B51">
        <v>41373002</v>
      </c>
      <c r="C51" t="s">
        <v>209</v>
      </c>
      <c r="E51" s="19">
        <v>0</v>
      </c>
      <c r="G51" s="19">
        <v>0</v>
      </c>
      <c r="I51" s="19">
        <v>0</v>
      </c>
      <c r="K51" s="19">
        <v>0</v>
      </c>
      <c r="L51" s="21">
        <f t="shared" si="2"/>
        <v>0</v>
      </c>
      <c r="M51" s="7">
        <f t="shared" si="3"/>
        <v>0</v>
      </c>
      <c r="O51" s="19">
        <f t="shared" si="4"/>
        <v>-1</v>
      </c>
      <c r="Q51" s="19">
        <f t="shared" si="5"/>
        <v>-1</v>
      </c>
      <c r="R51" s="16">
        <v>-45.7256</v>
      </c>
      <c r="S51" s="19">
        <f t="shared" si="6"/>
        <v>3.0000000000000004</v>
      </c>
      <c r="T51" s="21">
        <f t="shared" si="7"/>
        <v>-45.7256</v>
      </c>
      <c r="U51" s="7">
        <f t="shared" si="8"/>
        <v>-11.4314</v>
      </c>
    </row>
    <row r="52" spans="1:21" x14ac:dyDescent="0.35">
      <c r="A52" t="s">
        <v>160</v>
      </c>
      <c r="B52">
        <v>41373003</v>
      </c>
      <c r="C52" t="s">
        <v>210</v>
      </c>
      <c r="E52" s="19">
        <v>0</v>
      </c>
      <c r="G52" s="19">
        <v>0</v>
      </c>
      <c r="I52" s="19">
        <v>0</v>
      </c>
      <c r="K52" s="19">
        <v>0</v>
      </c>
      <c r="L52" s="21">
        <f t="shared" si="2"/>
        <v>0</v>
      </c>
      <c r="M52" s="7">
        <f t="shared" si="3"/>
        <v>0</v>
      </c>
      <c r="O52" s="19">
        <f t="shared" si="4"/>
        <v>-1</v>
      </c>
      <c r="P52" s="16">
        <v>-51.7</v>
      </c>
      <c r="Q52" s="19">
        <f t="shared" si="5"/>
        <v>0.88603703308499315</v>
      </c>
      <c r="R52" s="16">
        <v>-57.947899999999997</v>
      </c>
      <c r="S52" s="19">
        <f t="shared" si="6"/>
        <v>1.1139629669150071</v>
      </c>
      <c r="T52" s="21">
        <f t="shared" si="7"/>
        <v>-109.64789999999999</v>
      </c>
      <c r="U52" s="7">
        <f t="shared" si="8"/>
        <v>-27.411974999999998</v>
      </c>
    </row>
    <row r="53" spans="1:21" x14ac:dyDescent="0.35">
      <c r="A53" t="s">
        <v>160</v>
      </c>
      <c r="B53">
        <v>41373201</v>
      </c>
      <c r="C53" t="s">
        <v>211</v>
      </c>
      <c r="E53" s="19">
        <f>(ABS(D53)-ABS(M53))/ABS(M53)</f>
        <v>-1</v>
      </c>
      <c r="G53" s="19">
        <f>(ABS(F53)-ABS(M53))/ABS(M53)</f>
        <v>-1</v>
      </c>
      <c r="I53" s="19">
        <f t="shared" si="0"/>
        <v>-1</v>
      </c>
      <c r="J53" s="16">
        <v>-6.9</v>
      </c>
      <c r="K53" s="19">
        <f t="shared" si="1"/>
        <v>3.0000000000000004</v>
      </c>
      <c r="L53" s="21">
        <f t="shared" si="2"/>
        <v>-6.9</v>
      </c>
      <c r="M53" s="7">
        <f t="shared" si="3"/>
        <v>-1.7250000000000001</v>
      </c>
      <c r="N53" s="16">
        <v>-5131.76</v>
      </c>
      <c r="O53" s="19">
        <f t="shared" si="4"/>
        <v>0.5565118636349341</v>
      </c>
      <c r="P53" s="16">
        <v>-4967.22</v>
      </c>
      <c r="Q53" s="19">
        <f t="shared" si="5"/>
        <v>0.50660530876048715</v>
      </c>
      <c r="R53" s="16">
        <v>-3088.8667999999998</v>
      </c>
      <c r="S53" s="19">
        <f t="shared" si="6"/>
        <v>-6.3117172395420931E-2</v>
      </c>
      <c r="T53" s="21">
        <f t="shared" si="7"/>
        <v>-13187.846799999999</v>
      </c>
      <c r="U53" s="7">
        <f t="shared" si="8"/>
        <v>-3296.9616999999998</v>
      </c>
    </row>
    <row r="54" spans="1:21" x14ac:dyDescent="0.35">
      <c r="A54" t="s">
        <v>160</v>
      </c>
      <c r="B54">
        <v>41650101</v>
      </c>
      <c r="C54" t="s">
        <v>212</v>
      </c>
      <c r="E54" s="19">
        <f>(ABS(D54)-ABS(M54))/ABS(M54)</f>
        <v>-1</v>
      </c>
      <c r="G54" s="19">
        <f>(ABS(F54)-ABS(M54))/ABS(M54)</f>
        <v>-1</v>
      </c>
      <c r="I54" s="19">
        <f t="shared" si="0"/>
        <v>-1</v>
      </c>
      <c r="J54" s="16">
        <v>-5.45</v>
      </c>
      <c r="K54" s="19">
        <f t="shared" si="1"/>
        <v>3</v>
      </c>
      <c r="L54" s="21">
        <f t="shared" si="2"/>
        <v>-5.45</v>
      </c>
      <c r="M54" s="7">
        <f t="shared" si="3"/>
        <v>-1.3625</v>
      </c>
      <c r="N54" s="16">
        <v>-49.96</v>
      </c>
      <c r="O54" s="19">
        <f t="shared" si="4"/>
        <v>3</v>
      </c>
      <c r="Q54" s="19">
        <f t="shared" si="5"/>
        <v>-1</v>
      </c>
      <c r="S54" s="19">
        <f t="shared" si="6"/>
        <v>-1</v>
      </c>
      <c r="T54" s="21">
        <f t="shared" si="7"/>
        <v>-49.96</v>
      </c>
      <c r="U54" s="7">
        <f t="shared" si="8"/>
        <v>-12.49</v>
      </c>
    </row>
    <row r="55" spans="1:21" x14ac:dyDescent="0.35">
      <c r="A55" t="s">
        <v>160</v>
      </c>
      <c r="B55">
        <v>4170010100</v>
      </c>
      <c r="C55" t="s">
        <v>213</v>
      </c>
      <c r="E55" s="19">
        <v>0</v>
      </c>
      <c r="G55" s="19">
        <v>0</v>
      </c>
      <c r="I55" s="19">
        <v>0</v>
      </c>
      <c r="K55" s="19">
        <v>0</v>
      </c>
      <c r="L55" s="21">
        <f t="shared" si="2"/>
        <v>0</v>
      </c>
      <c r="M55" s="7">
        <f t="shared" si="3"/>
        <v>0</v>
      </c>
      <c r="O55" s="19">
        <f t="shared" si="4"/>
        <v>-1</v>
      </c>
      <c r="Q55" s="19">
        <f t="shared" si="5"/>
        <v>-1</v>
      </c>
      <c r="R55" s="16">
        <v>-610.78800000000001</v>
      </c>
      <c r="S55" s="19">
        <f t="shared" si="6"/>
        <v>3</v>
      </c>
      <c r="T55" s="21">
        <f t="shared" si="7"/>
        <v>-610.78800000000001</v>
      </c>
      <c r="U55" s="7">
        <f t="shared" si="8"/>
        <v>-152.697</v>
      </c>
    </row>
    <row r="56" spans="1:21" x14ac:dyDescent="0.35">
      <c r="A56" t="s">
        <v>160</v>
      </c>
      <c r="B56">
        <v>4175010100</v>
      </c>
      <c r="C56" t="s">
        <v>214</v>
      </c>
      <c r="D56" s="16">
        <v>19.5</v>
      </c>
      <c r="E56" s="19">
        <f>(ABS(D56)-ABS(M56))/ABS(M56)</f>
        <v>0.30391173520561682</v>
      </c>
      <c r="G56" s="19">
        <f>(ABS(F56)-ABS(M56))/ABS(M56)</f>
        <v>-1</v>
      </c>
      <c r="I56" s="19">
        <f t="shared" si="0"/>
        <v>-1</v>
      </c>
      <c r="J56" s="16">
        <v>40.32</v>
      </c>
      <c r="K56" s="19">
        <f t="shared" si="1"/>
        <v>1.6960882647943833</v>
      </c>
      <c r="L56" s="21">
        <f t="shared" si="2"/>
        <v>59.82</v>
      </c>
      <c r="M56" s="7">
        <f t="shared" si="3"/>
        <v>14.955</v>
      </c>
      <c r="N56" s="16">
        <v>221</v>
      </c>
      <c r="O56" s="19">
        <f t="shared" si="4"/>
        <v>-0.20247384673568214</v>
      </c>
      <c r="P56" s="16">
        <v>182</v>
      </c>
      <c r="Q56" s="19">
        <f t="shared" si="5"/>
        <v>-0.34321375613526767</v>
      </c>
      <c r="R56" s="16">
        <v>705.42759999999998</v>
      </c>
      <c r="S56" s="19">
        <f t="shared" si="6"/>
        <v>1.5456876028709499</v>
      </c>
      <c r="T56" s="21">
        <f t="shared" si="7"/>
        <v>1108.4276</v>
      </c>
      <c r="U56" s="7">
        <f t="shared" si="8"/>
        <v>277.1069</v>
      </c>
    </row>
    <row r="57" spans="1:21" x14ac:dyDescent="0.35">
      <c r="A57" t="s">
        <v>160</v>
      </c>
      <c r="B57">
        <v>4195000100</v>
      </c>
      <c r="C57" t="s">
        <v>215</v>
      </c>
      <c r="E57" s="19">
        <f>(ABS(D57)-ABS(M57))/ABS(M57)</f>
        <v>-1</v>
      </c>
      <c r="G57" s="19">
        <f>(ABS(F57)-ABS(M57))/ABS(M57)</f>
        <v>-1</v>
      </c>
      <c r="I57" s="19">
        <f t="shared" si="0"/>
        <v>-1</v>
      </c>
      <c r="J57" s="16">
        <v>-2001.57</v>
      </c>
      <c r="K57" s="19">
        <f t="shared" si="1"/>
        <v>3</v>
      </c>
      <c r="L57" s="21">
        <f t="shared" si="2"/>
        <v>-2001.57</v>
      </c>
      <c r="M57" s="7">
        <f t="shared" si="3"/>
        <v>-500.39249999999998</v>
      </c>
      <c r="O57" s="19">
        <f t="shared" si="4"/>
        <v>-1</v>
      </c>
      <c r="Q57" s="19">
        <f t="shared" si="5"/>
        <v>-1</v>
      </c>
      <c r="R57" s="16">
        <v>-1477.7239999999999</v>
      </c>
      <c r="S57" s="19">
        <f t="shared" si="6"/>
        <v>3</v>
      </c>
      <c r="T57" s="21">
        <f t="shared" si="7"/>
        <v>-1477.7239999999999</v>
      </c>
      <c r="U57" s="7">
        <f t="shared" si="8"/>
        <v>-369.43099999999998</v>
      </c>
    </row>
    <row r="58" spans="1:21" x14ac:dyDescent="0.35">
      <c r="A58" t="s">
        <v>160</v>
      </c>
      <c r="B58">
        <v>4195010100</v>
      </c>
      <c r="C58" t="s">
        <v>216</v>
      </c>
      <c r="D58" s="16">
        <v>-273005.01</v>
      </c>
      <c r="E58" s="19">
        <f>(ABS(D58)-ABS(M58))/ABS(M58)</f>
        <v>-9.4471777019259823E-2</v>
      </c>
      <c r="F58" s="16">
        <v>-295101.71999999997</v>
      </c>
      <c r="G58" s="19">
        <f>(ABS(F58)-ABS(M58))/ABS(M58)</f>
        <v>-2.1179369161906887E-2</v>
      </c>
      <c r="H58" s="16">
        <v>-349223.85</v>
      </c>
      <c r="I58" s="19">
        <f t="shared" si="0"/>
        <v>0.15833790857168711</v>
      </c>
      <c r="J58" s="16">
        <v>-288617.52</v>
      </c>
      <c r="K58" s="19">
        <f t="shared" si="1"/>
        <v>-4.2686762390520799E-2</v>
      </c>
      <c r="L58" s="21">
        <f t="shared" si="2"/>
        <v>-1205948.1000000001</v>
      </c>
      <c r="M58" s="7">
        <f t="shared" si="3"/>
        <v>-301487.02500000002</v>
      </c>
      <c r="N58" s="16">
        <v>-319857.03999999998</v>
      </c>
      <c r="O58" s="19">
        <f t="shared" si="4"/>
        <v>0.4753100637063008</v>
      </c>
      <c r="P58" s="16">
        <v>-238456.59</v>
      </c>
      <c r="Q58" s="19">
        <f t="shared" si="5"/>
        <v>9.9858258502258601E-2</v>
      </c>
      <c r="R58" s="16">
        <v>-308912.99</v>
      </c>
      <c r="S58" s="19">
        <f t="shared" si="6"/>
        <v>0.42483167779144043</v>
      </c>
      <c r="T58" s="21">
        <f t="shared" si="7"/>
        <v>-867226.62</v>
      </c>
      <c r="U58" s="7">
        <f t="shared" si="8"/>
        <v>-216806.655</v>
      </c>
    </row>
    <row r="59" spans="1:21" x14ac:dyDescent="0.35">
      <c r="A59" t="s">
        <v>160</v>
      </c>
      <c r="B59">
        <v>4195020200</v>
      </c>
      <c r="C59" t="s">
        <v>217</v>
      </c>
      <c r="E59" s="19">
        <f>(ABS(D59)-ABS(M59))/ABS(M59)</f>
        <v>-1</v>
      </c>
      <c r="F59" s="16">
        <v>-18000</v>
      </c>
      <c r="G59" s="19">
        <f>(ABS(F59)-ABS(M59))/ABS(M59)</f>
        <v>3</v>
      </c>
      <c r="I59" s="19">
        <f t="shared" si="0"/>
        <v>-1</v>
      </c>
      <c r="K59" s="19">
        <f t="shared" si="1"/>
        <v>-1</v>
      </c>
      <c r="L59" s="21">
        <f t="shared" si="2"/>
        <v>-18000</v>
      </c>
      <c r="M59" s="7">
        <f t="shared" si="3"/>
        <v>-4500</v>
      </c>
      <c r="O59" s="19">
        <v>0</v>
      </c>
      <c r="Q59" s="19">
        <v>0</v>
      </c>
      <c r="S59" s="19">
        <v>0</v>
      </c>
      <c r="T59" s="21">
        <f t="shared" si="7"/>
        <v>0</v>
      </c>
      <c r="U59" s="7">
        <f t="shared" si="8"/>
        <v>0</v>
      </c>
    </row>
    <row r="60" spans="1:21" x14ac:dyDescent="0.35">
      <c r="A60" t="s">
        <v>160</v>
      </c>
      <c r="B60">
        <v>4195050200</v>
      </c>
      <c r="C60" t="s">
        <v>218</v>
      </c>
      <c r="E60" s="19">
        <f>(ABS(D60)-ABS(M60))/ABS(M60)</f>
        <v>-1</v>
      </c>
      <c r="G60" s="19">
        <f>(ABS(F60)-ABS(M60))/ABS(M60)</f>
        <v>-1</v>
      </c>
      <c r="H60" s="16">
        <v>-36.21</v>
      </c>
      <c r="I60" s="19">
        <f t="shared" si="0"/>
        <v>7.6957394601829085E-2</v>
      </c>
      <c r="J60" s="16">
        <v>-98.28</v>
      </c>
      <c r="K60" s="19">
        <f t="shared" si="1"/>
        <v>1.9230426053981706</v>
      </c>
      <c r="L60" s="21">
        <f t="shared" si="2"/>
        <v>-134.49</v>
      </c>
      <c r="M60" s="7">
        <f t="shared" si="3"/>
        <v>-33.622500000000002</v>
      </c>
      <c r="N60" s="16">
        <v>-258.62</v>
      </c>
      <c r="O60" s="19">
        <f t="shared" si="4"/>
        <v>0</v>
      </c>
      <c r="P60" s="16">
        <v>-385.34</v>
      </c>
      <c r="Q60" s="19">
        <f t="shared" si="5"/>
        <v>0.48998530662748424</v>
      </c>
      <c r="R60" s="16">
        <v>-390.52</v>
      </c>
      <c r="S60" s="19">
        <f t="shared" si="6"/>
        <v>0.51001469337251559</v>
      </c>
      <c r="T60" s="21">
        <f t="shared" si="7"/>
        <v>-1034.48</v>
      </c>
      <c r="U60" s="7">
        <f t="shared" si="8"/>
        <v>-258.62</v>
      </c>
    </row>
    <row r="61" spans="1:21" x14ac:dyDescent="0.35">
      <c r="A61" t="s">
        <v>160</v>
      </c>
      <c r="B61">
        <v>4195050300</v>
      </c>
      <c r="C61" t="s">
        <v>219</v>
      </c>
      <c r="E61" s="19">
        <f>(ABS(D61)-ABS(M61))/ABS(M61)</f>
        <v>-1</v>
      </c>
      <c r="F61" s="16">
        <v>-117</v>
      </c>
      <c r="G61" s="19">
        <f>(ABS(F61)-ABS(M61))/ABS(M61)</f>
        <v>-0.86430849521600461</v>
      </c>
      <c r="I61" s="19">
        <f t="shared" si="0"/>
        <v>-1</v>
      </c>
      <c r="J61" s="16">
        <v>-3332</v>
      </c>
      <c r="K61" s="19">
        <f t="shared" si="1"/>
        <v>2.8643084952160045</v>
      </c>
      <c r="L61" s="21">
        <f t="shared" si="2"/>
        <v>-3449</v>
      </c>
      <c r="M61" s="7">
        <f t="shared" si="3"/>
        <v>-862.25</v>
      </c>
      <c r="O61" s="19">
        <f t="shared" si="4"/>
        <v>-1</v>
      </c>
      <c r="Q61" s="19">
        <f t="shared" si="5"/>
        <v>-1</v>
      </c>
      <c r="R61" s="16">
        <v>-24914.01</v>
      </c>
      <c r="S61" s="19">
        <f t="shared" si="6"/>
        <v>3</v>
      </c>
      <c r="T61" s="21">
        <f t="shared" si="7"/>
        <v>-24914.01</v>
      </c>
      <c r="U61" s="7">
        <f t="shared" si="8"/>
        <v>-6228.5024999999996</v>
      </c>
    </row>
    <row r="62" spans="1:21" s="11" customFormat="1" x14ac:dyDescent="0.35">
      <c r="A62" s="24" t="s">
        <v>160</v>
      </c>
      <c r="B62" s="24"/>
      <c r="C62" s="24"/>
      <c r="D62" s="25">
        <v>-5179318.26</v>
      </c>
      <c r="E62" s="26"/>
      <c r="F62" s="25">
        <v>-5895502.5099999998</v>
      </c>
      <c r="G62" s="26"/>
      <c r="H62" s="25">
        <v>-7637594.6600000001</v>
      </c>
      <c r="I62" s="26"/>
      <c r="J62" s="25">
        <v>-6724738.7599999998</v>
      </c>
      <c r="K62" s="26"/>
      <c r="L62" s="25">
        <f t="shared" si="2"/>
        <v>-25437154.189999998</v>
      </c>
      <c r="M62" s="25">
        <f t="shared" si="3"/>
        <v>-6359288.5474999994</v>
      </c>
      <c r="N62" s="25">
        <v>-9855414.7200000007</v>
      </c>
      <c r="O62" s="26"/>
      <c r="P62" s="25">
        <v>-8716583.0399999991</v>
      </c>
      <c r="Q62" s="26"/>
      <c r="R62" s="25">
        <v>-11678975.529999999</v>
      </c>
      <c r="S62" s="26"/>
      <c r="T62" s="25">
        <f t="shared" si="7"/>
        <v>-30250973.289999999</v>
      </c>
      <c r="U62" s="25">
        <f t="shared" si="8"/>
        <v>-7562743.3224999998</v>
      </c>
    </row>
  </sheetData>
  <phoneticPr fontId="9" type="noConversion"/>
  <conditionalFormatting sqref="E3:E61">
    <cfRule type="cellIs" dxfId="63" priority="9" operator="equal">
      <formula>-1</formula>
    </cfRule>
    <cfRule type="cellIs" dxfId="62" priority="10" operator="lessThan">
      <formula>-0.25</formula>
    </cfRule>
    <cfRule type="cellIs" dxfId="61" priority="11" operator="lessThan">
      <formula>0</formula>
    </cfRule>
    <cfRule type="cellIs" dxfId="60" priority="12" operator="greaterThanOrEqual">
      <formula>0</formula>
    </cfRule>
  </conditionalFormatting>
  <conditionalFormatting sqref="G3:G61">
    <cfRule type="cellIs" dxfId="59" priority="5" operator="equal">
      <formula>-1</formula>
    </cfRule>
    <cfRule type="cellIs" dxfId="58" priority="6" operator="lessThan">
      <formula>-0.25</formula>
    </cfRule>
    <cfRule type="cellIs" dxfId="57" priority="7" operator="lessThan">
      <formula>0</formula>
    </cfRule>
    <cfRule type="cellIs" dxfId="56" priority="8" operator="greaterThanOrEqual">
      <formula>0</formula>
    </cfRule>
  </conditionalFormatting>
  <conditionalFormatting sqref="I3:I61 K3:K61 O3:O61 Q3:Q61 S3:S61">
    <cfRule type="cellIs" dxfId="55" priority="1" operator="equal">
      <formula>-1</formula>
    </cfRule>
    <cfRule type="cellIs" dxfId="54" priority="2" operator="lessThan">
      <formula>-0.25</formula>
    </cfRule>
    <cfRule type="cellIs" dxfId="53" priority="3" operator="lessThan">
      <formula>0</formula>
    </cfRule>
    <cfRule type="cellIs" dxfId="52" priority="4" operator="greaterThanOr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64865-DEBC-4AA1-BFA1-C73D95DE1F38}">
  <dimension ref="A1:U63"/>
  <sheetViews>
    <sheetView zoomScale="90" zoomScaleNormal="90" workbookViewId="0">
      <selection activeCell="R62" sqref="R62:S62"/>
    </sheetView>
  </sheetViews>
  <sheetFormatPr baseColWidth="10" defaultRowHeight="14.5" x14ac:dyDescent="0.35"/>
  <cols>
    <col min="1" max="1" width="18.453125" customWidth="1"/>
    <col min="3" max="3" width="29" customWidth="1"/>
    <col min="4" max="4" width="13.36328125" style="16" customWidth="1"/>
    <col min="5" max="5" width="7.6328125" customWidth="1"/>
    <col min="6" max="6" width="14.26953125" style="16" customWidth="1"/>
    <col min="7" max="7" width="6.81640625" customWidth="1"/>
    <col min="8" max="8" width="13.6328125" style="16" customWidth="1"/>
    <col min="9" max="9" width="7.1796875" customWidth="1"/>
    <col min="10" max="10" width="14.26953125" style="16" customWidth="1"/>
    <col min="11" max="11" width="7.26953125" customWidth="1"/>
    <col min="12" max="12" width="14.26953125" style="16" customWidth="1"/>
    <col min="13" max="13" width="7.7265625" customWidth="1"/>
    <col min="14" max="14" width="13.90625" style="16" customWidth="1"/>
    <col min="15" max="15" width="7.54296875" customWidth="1"/>
    <col min="16" max="16" width="13.453125" style="16" customWidth="1"/>
    <col min="17" max="17" width="7.08984375" customWidth="1"/>
    <col min="18" max="18" width="15" style="16" customWidth="1"/>
    <col min="19" max="19" width="14.6328125" style="16" customWidth="1"/>
    <col min="21" max="21" width="36" customWidth="1"/>
  </cols>
  <sheetData>
    <row r="1" spans="1:21" ht="15" thickBot="1" x14ac:dyDescent="0.4">
      <c r="J1" s="35"/>
      <c r="K1" s="32"/>
      <c r="L1" s="35"/>
      <c r="M1" s="32"/>
      <c r="N1" s="35"/>
      <c r="O1" s="32"/>
      <c r="P1" s="35"/>
      <c r="Q1" s="32"/>
      <c r="R1" s="35"/>
      <c r="S1" s="35"/>
    </row>
    <row r="2" spans="1:21" s="20" customFormat="1" ht="16.5" customHeight="1" thickBot="1" x14ac:dyDescent="0.4">
      <c r="A2" s="29" t="s">
        <v>223</v>
      </c>
      <c r="B2" s="29" t="s">
        <v>221</v>
      </c>
      <c r="C2" s="29" t="s">
        <v>222</v>
      </c>
      <c r="D2" s="27" t="s">
        <v>147</v>
      </c>
      <c r="E2" s="28" t="s">
        <v>0</v>
      </c>
      <c r="F2" s="27" t="s">
        <v>148</v>
      </c>
      <c r="G2" s="28" t="s">
        <v>0</v>
      </c>
      <c r="H2" s="27" t="s">
        <v>149</v>
      </c>
      <c r="I2" s="28" t="s">
        <v>0</v>
      </c>
      <c r="J2" s="27" t="s">
        <v>150</v>
      </c>
      <c r="K2" s="28" t="s">
        <v>0</v>
      </c>
      <c r="L2" s="27" t="s">
        <v>151</v>
      </c>
      <c r="M2" s="28" t="s">
        <v>0</v>
      </c>
      <c r="N2" s="27" t="s">
        <v>152</v>
      </c>
      <c r="O2" s="28" t="s">
        <v>0</v>
      </c>
      <c r="P2" s="27" t="s">
        <v>153</v>
      </c>
      <c r="Q2" s="28" t="s">
        <v>0</v>
      </c>
      <c r="R2" s="22" t="s">
        <v>1</v>
      </c>
      <c r="S2" s="23" t="s">
        <v>146</v>
      </c>
      <c r="U2" s="13" t="s">
        <v>225</v>
      </c>
    </row>
    <row r="3" spans="1:21" ht="16" customHeight="1" thickBot="1" x14ac:dyDescent="0.4">
      <c r="A3" t="s">
        <v>160</v>
      </c>
      <c r="B3">
        <v>41350101</v>
      </c>
      <c r="C3" t="s">
        <v>161</v>
      </c>
      <c r="D3" s="16">
        <v>-208872</v>
      </c>
      <c r="E3" s="19">
        <f>(ABS(D3)-ABS(S3))/ABS(S3)</f>
        <v>-0.28656241720052761</v>
      </c>
      <c r="F3" s="16">
        <v>-238241</v>
      </c>
      <c r="G3" s="19">
        <f>(ABS(F3)-ABS(S3))/ABS(S3)</f>
        <v>-0.18624763891891155</v>
      </c>
      <c r="H3" s="16">
        <v>-319848</v>
      </c>
      <c r="I3" s="19">
        <f>(ABS(H3)-ABS(S3))/ABS(S3)</f>
        <v>9.2494848439454061E-2</v>
      </c>
      <c r="J3" s="16">
        <v>-244644</v>
      </c>
      <c r="K3" s="19">
        <f>(ABS(J3)-ABS(S3))/ABS(S3)</f>
        <v>-0.16437711131030427</v>
      </c>
      <c r="L3" s="16">
        <v>-398105</v>
      </c>
      <c r="M3" s="19">
        <f>(ABS(L3)-ABS(S3))/ABS(S3)</f>
        <v>0.35979484517017102</v>
      </c>
      <c r="N3" s="16">
        <v>-349478</v>
      </c>
      <c r="O3" s="19">
        <f>(ABS(N3)-ABS(S3))/ABS(S3)</f>
        <v>0.19370111628937348</v>
      </c>
      <c r="P3" s="16">
        <v>-290191</v>
      </c>
      <c r="Q3" s="19">
        <f>(ABS(P3)-ABS(S3))/ABS(S3)</f>
        <v>-8.8036424692553485E-3</v>
      </c>
      <c r="R3" s="21">
        <f>SUM(P3,N3,L3,J3,H3,F3,D3)</f>
        <v>-2049379</v>
      </c>
      <c r="S3" s="7">
        <f>R3/7</f>
        <v>-292768.42857142858</v>
      </c>
      <c r="U3" s="14" t="s">
        <v>154</v>
      </c>
    </row>
    <row r="4" spans="1:21" ht="14.5" customHeight="1" thickBot="1" x14ac:dyDescent="0.4">
      <c r="A4" t="s">
        <v>160</v>
      </c>
      <c r="B4">
        <v>41350102</v>
      </c>
      <c r="C4" t="s">
        <v>162</v>
      </c>
      <c r="D4" s="16">
        <v>-214139</v>
      </c>
      <c r="E4" s="19">
        <f t="shared" ref="E4:E61" si="0">(ABS(D4)-ABS(S4))/ABS(S4)</f>
        <v>-0.18758637808752537</v>
      </c>
      <c r="F4" s="16">
        <v>-194541</v>
      </c>
      <c r="G4" s="19">
        <f t="shared" ref="G4:G61" si="1">(ABS(F4)-ABS(S4))/ABS(S4)</f>
        <v>-0.26193846790881287</v>
      </c>
      <c r="H4" s="16">
        <v>-219832</v>
      </c>
      <c r="I4" s="19">
        <f t="shared" ref="I4:I61" si="2">(ABS(H4)-ABS(S4))/ABS(S4)</f>
        <v>-0.16598792685002209</v>
      </c>
      <c r="J4" s="16">
        <v>-182966</v>
      </c>
      <c r="K4" s="19">
        <f t="shared" ref="K4:K61" si="3">(ABS(J4)-ABS(S4))/ABS(S4)</f>
        <v>-0.30585241013156017</v>
      </c>
      <c r="L4" s="16">
        <v>-329661</v>
      </c>
      <c r="M4" s="19">
        <f t="shared" ref="M4:M61" si="4">(ABS(L4)-ABS(S4))/ABS(S4)</f>
        <v>0.25068804380934018</v>
      </c>
      <c r="N4" s="16">
        <v>-334042</v>
      </c>
      <c r="O4" s="19">
        <f t="shared" ref="O4:O61" si="5">(ABS(N4)-ABS(S4))/ABS(S4)</f>
        <v>0.26730894928474891</v>
      </c>
      <c r="P4" s="16">
        <v>-369905</v>
      </c>
      <c r="Q4" s="19">
        <f t="shared" ref="Q4:Q61" si="6">(ABS(P4)-ABS(S4))/ABS(S4)</f>
        <v>0.40336818988383211</v>
      </c>
      <c r="R4" s="21">
        <f t="shared" ref="R4:R62" si="7">SUM(P4,N4,L4,J4,H4,F4,D4)</f>
        <v>-1845086</v>
      </c>
      <c r="S4" s="7">
        <f t="shared" ref="S4:S62" si="8">R4/7</f>
        <v>-263583.71428571426</v>
      </c>
      <c r="U4" s="15" t="s">
        <v>226</v>
      </c>
    </row>
    <row r="5" spans="1:21" ht="15" thickBot="1" x14ac:dyDescent="0.4">
      <c r="A5" t="s">
        <v>160</v>
      </c>
      <c r="B5">
        <v>41350104</v>
      </c>
      <c r="C5" t="s">
        <v>163</v>
      </c>
      <c r="D5" s="16">
        <v>-159178</v>
      </c>
      <c r="E5" s="19">
        <f t="shared" si="0"/>
        <v>-0.34436602894743962</v>
      </c>
      <c r="F5" s="16">
        <v>-195731</v>
      </c>
      <c r="G5" s="19">
        <f t="shared" si="1"/>
        <v>-0.19380886310866641</v>
      </c>
      <c r="H5" s="16">
        <v>-281975</v>
      </c>
      <c r="I5" s="19">
        <f t="shared" si="2"/>
        <v>0.16141922242738138</v>
      </c>
      <c r="J5" s="16">
        <v>-232714</v>
      </c>
      <c r="K5" s="19">
        <f t="shared" si="3"/>
        <v>-4.1480581867308693E-2</v>
      </c>
      <c r="L5" s="16">
        <v>-256272</v>
      </c>
      <c r="M5" s="19">
        <f t="shared" si="4"/>
        <v>5.5551828956148179E-2</v>
      </c>
      <c r="N5" s="16">
        <v>-221025</v>
      </c>
      <c r="O5" s="19">
        <f t="shared" si="5"/>
        <v>-8.9626088706403151E-2</v>
      </c>
      <c r="P5" s="16">
        <v>-352599</v>
      </c>
      <c r="Q5" s="19">
        <f t="shared" si="6"/>
        <v>0.45231051124628868</v>
      </c>
      <c r="R5" s="21">
        <f t="shared" si="7"/>
        <v>-1699494</v>
      </c>
      <c r="S5" s="7">
        <f t="shared" si="8"/>
        <v>-242784.85714285713</v>
      </c>
      <c r="U5" s="38" t="s">
        <v>220</v>
      </c>
    </row>
    <row r="6" spans="1:21" x14ac:dyDescent="0.35">
      <c r="A6" t="s">
        <v>160</v>
      </c>
      <c r="B6">
        <v>41350107</v>
      </c>
      <c r="C6" t="s">
        <v>164</v>
      </c>
      <c r="D6" s="16">
        <v>-16.379300000000001</v>
      </c>
      <c r="E6" s="19">
        <f t="shared" si="0"/>
        <v>-0.35437367741179832</v>
      </c>
      <c r="F6" s="16">
        <v>-15.517200000000001</v>
      </c>
      <c r="G6" s="19">
        <f t="shared" si="1"/>
        <v>-0.38835525493362699</v>
      </c>
      <c r="H6" s="16">
        <v>-13.793200000000001</v>
      </c>
      <c r="I6" s="19">
        <f t="shared" si="2"/>
        <v>-0.45631052653510323</v>
      </c>
      <c r="J6" s="16">
        <v>-19.8278</v>
      </c>
      <c r="K6" s="19">
        <f t="shared" si="3"/>
        <v>-0.21844342560339303</v>
      </c>
      <c r="M6" s="19">
        <f t="shared" si="4"/>
        <v>-1</v>
      </c>
      <c r="N6" s="16">
        <v>-41.38</v>
      </c>
      <c r="O6" s="19">
        <f t="shared" si="5"/>
        <v>0.63108418727905258</v>
      </c>
      <c r="P6" s="16">
        <v>-70.689899999999994</v>
      </c>
      <c r="Q6" s="19">
        <f t="shared" si="6"/>
        <v>1.7863986972048691</v>
      </c>
      <c r="R6" s="21">
        <f t="shared" si="7"/>
        <v>-177.5874</v>
      </c>
      <c r="S6" s="7">
        <f t="shared" si="8"/>
        <v>-25.369628571428571</v>
      </c>
      <c r="U6" s="36" t="s">
        <v>228</v>
      </c>
    </row>
    <row r="7" spans="1:21" x14ac:dyDescent="0.35">
      <c r="A7" t="s">
        <v>160</v>
      </c>
      <c r="B7">
        <v>41350108</v>
      </c>
      <c r="C7" t="s">
        <v>165</v>
      </c>
      <c r="D7" s="16">
        <v>-439666.7684</v>
      </c>
      <c r="E7" s="19">
        <f t="shared" si="0"/>
        <v>-8.7935348716156464E-2</v>
      </c>
      <c r="F7" s="16">
        <v>-395339.79719999997</v>
      </c>
      <c r="G7" s="19">
        <f t="shared" si="1"/>
        <v>-0.17988922477807309</v>
      </c>
      <c r="H7" s="16">
        <v>-438289.36969999998</v>
      </c>
      <c r="I7" s="19">
        <f t="shared" si="2"/>
        <v>-9.0792686944301565E-2</v>
      </c>
      <c r="J7" s="16">
        <v>-439060.58230000001</v>
      </c>
      <c r="K7" s="19">
        <f t="shared" si="3"/>
        <v>-8.9192848608453543E-2</v>
      </c>
      <c r="L7" s="16">
        <v>-600602.94999999995</v>
      </c>
      <c r="M7" s="19">
        <f t="shared" si="4"/>
        <v>0.24591795314725831</v>
      </c>
      <c r="N7" s="16">
        <v>-540956.18999999994</v>
      </c>
      <c r="O7" s="19">
        <f t="shared" si="5"/>
        <v>0.12218401356027198</v>
      </c>
      <c r="P7" s="16">
        <v>-520480.4167</v>
      </c>
      <c r="Q7" s="19">
        <f t="shared" si="6"/>
        <v>7.9708142339454266E-2</v>
      </c>
      <c r="R7" s="21">
        <f t="shared" si="7"/>
        <v>-3374396.0743</v>
      </c>
      <c r="S7" s="7">
        <f t="shared" si="8"/>
        <v>-482056.58204285713</v>
      </c>
      <c r="U7" s="37" t="s">
        <v>227</v>
      </c>
    </row>
    <row r="8" spans="1:21" x14ac:dyDescent="0.35">
      <c r="A8" t="s">
        <v>160</v>
      </c>
      <c r="B8">
        <v>41350110</v>
      </c>
      <c r="C8" t="s">
        <v>166</v>
      </c>
      <c r="D8" s="16">
        <v>-120.6897</v>
      </c>
      <c r="E8" s="19">
        <f t="shared" si="0"/>
        <v>3.7922322794514298</v>
      </c>
      <c r="F8" s="16">
        <v>-29.310400000000001</v>
      </c>
      <c r="G8" s="19">
        <f t="shared" si="1"/>
        <v>0.16382959775053871</v>
      </c>
      <c r="I8" s="19">
        <f t="shared" si="2"/>
        <v>-1</v>
      </c>
      <c r="J8" s="16">
        <v>-12.930999999999999</v>
      </c>
      <c r="K8" s="19">
        <f t="shared" si="3"/>
        <v>-0.48654810140727472</v>
      </c>
      <c r="M8" s="19">
        <f t="shared" si="4"/>
        <v>-1</v>
      </c>
      <c r="N8" s="16">
        <v>-13.36</v>
      </c>
      <c r="O8" s="19">
        <f t="shared" si="5"/>
        <v>-0.46951377579469417</v>
      </c>
      <c r="Q8" s="19">
        <f t="shared" si="6"/>
        <v>-1</v>
      </c>
      <c r="R8" s="21">
        <f t="shared" si="7"/>
        <v>-176.2911</v>
      </c>
      <c r="S8" s="7">
        <f t="shared" si="8"/>
        <v>-25.184442857142859</v>
      </c>
    </row>
    <row r="9" spans="1:21" x14ac:dyDescent="0.35">
      <c r="A9" t="s">
        <v>160</v>
      </c>
      <c r="B9">
        <v>41350117</v>
      </c>
      <c r="C9" t="s">
        <v>167</v>
      </c>
      <c r="D9" s="16">
        <v>-98248.553400000004</v>
      </c>
      <c r="E9" s="19">
        <f t="shared" si="0"/>
        <v>-0.58548668560975581</v>
      </c>
      <c r="F9" s="16">
        <v>-147874.61859999999</v>
      </c>
      <c r="G9" s="19">
        <f t="shared" si="1"/>
        <v>-0.37611296910882314</v>
      </c>
      <c r="H9" s="16">
        <v>-202590.9994</v>
      </c>
      <c r="I9" s="19">
        <f t="shared" si="2"/>
        <v>-0.14526307288178386</v>
      </c>
      <c r="J9" s="16">
        <v>-184057.28279999999</v>
      </c>
      <c r="K9" s="19">
        <f t="shared" si="3"/>
        <v>-0.22345732643539895</v>
      </c>
      <c r="L9" s="16">
        <v>-383636.77</v>
      </c>
      <c r="M9" s="19">
        <f t="shared" si="4"/>
        <v>0.61857394894394235</v>
      </c>
      <c r="N9" s="16">
        <v>-303284.42</v>
      </c>
      <c r="O9" s="19">
        <f t="shared" si="5"/>
        <v>0.27956520260707318</v>
      </c>
      <c r="P9" s="16">
        <v>-339457.61690000002</v>
      </c>
      <c r="Q9" s="19">
        <f t="shared" si="6"/>
        <v>0.43218090248474611</v>
      </c>
      <c r="R9" s="21">
        <f t="shared" si="7"/>
        <v>-1659150.2611</v>
      </c>
      <c r="S9" s="7">
        <f t="shared" si="8"/>
        <v>-237021.46587142858</v>
      </c>
    </row>
    <row r="10" spans="1:21" x14ac:dyDescent="0.35">
      <c r="A10" t="s">
        <v>160</v>
      </c>
      <c r="B10">
        <v>41350119</v>
      </c>
      <c r="C10" t="s">
        <v>168</v>
      </c>
      <c r="D10" s="16">
        <v>-421850.70260000002</v>
      </c>
      <c r="E10" s="19">
        <f t="shared" si="0"/>
        <v>-0.37057283832443277</v>
      </c>
      <c r="F10" s="16">
        <v>-478011.83130000002</v>
      </c>
      <c r="G10" s="19">
        <f t="shared" si="1"/>
        <v>-0.28677698444468808</v>
      </c>
      <c r="H10" s="16">
        <v>-690133.81440000003</v>
      </c>
      <c r="I10" s="19">
        <f t="shared" si="2"/>
        <v>2.9722044545255899E-2</v>
      </c>
      <c r="J10" s="16">
        <v>-590236.33799999999</v>
      </c>
      <c r="K10" s="19">
        <f t="shared" si="3"/>
        <v>-0.11933112673421747</v>
      </c>
      <c r="L10" s="16">
        <v>-941381.52</v>
      </c>
      <c r="M10" s="19">
        <f t="shared" si="4"/>
        <v>0.40459905491557474</v>
      </c>
      <c r="N10" s="16">
        <v>-621031.68000000005</v>
      </c>
      <c r="O10" s="19">
        <f t="shared" si="5"/>
        <v>-7.3382584777496263E-2</v>
      </c>
      <c r="P10" s="16">
        <v>-948849.96580000001</v>
      </c>
      <c r="Q10" s="19">
        <f t="shared" si="6"/>
        <v>0.41574243482000306</v>
      </c>
      <c r="R10" s="21">
        <f t="shared" si="7"/>
        <v>-4691495.8521000007</v>
      </c>
      <c r="S10" s="7">
        <f t="shared" si="8"/>
        <v>-670213.69315714296</v>
      </c>
    </row>
    <row r="11" spans="1:21" x14ac:dyDescent="0.35">
      <c r="A11" t="s">
        <v>160</v>
      </c>
      <c r="B11">
        <v>41350120</v>
      </c>
      <c r="C11" t="s">
        <v>169</v>
      </c>
      <c r="D11" s="16">
        <v>-11391.6077</v>
      </c>
      <c r="E11" s="19">
        <f t="shared" si="0"/>
        <v>-0.57256633489012543</v>
      </c>
      <c r="F11" s="16">
        <v>-18312.59</v>
      </c>
      <c r="G11" s="19">
        <f t="shared" si="1"/>
        <v>-0.31287859734193291</v>
      </c>
      <c r="H11" s="16">
        <v>-18662.754099999998</v>
      </c>
      <c r="I11" s="19">
        <f t="shared" si="2"/>
        <v>-0.29973980880614964</v>
      </c>
      <c r="J11" s="16">
        <v>-65647.490300000005</v>
      </c>
      <c r="K11" s="19">
        <f t="shared" si="3"/>
        <v>1.4632122280855879</v>
      </c>
      <c r="L11" s="16">
        <v>-70644.259999999995</v>
      </c>
      <c r="M11" s="19">
        <f t="shared" si="4"/>
        <v>1.6507000386587138</v>
      </c>
      <c r="N11" s="16">
        <v>-1673.44</v>
      </c>
      <c r="O11" s="19">
        <f t="shared" si="5"/>
        <v>-0.93720951323302082</v>
      </c>
      <c r="P11" s="16">
        <v>-226.0549</v>
      </c>
      <c r="Q11" s="19">
        <f t="shared" si="6"/>
        <v>-0.99151801247307303</v>
      </c>
      <c r="R11" s="21">
        <f t="shared" si="7"/>
        <v>-186558.19699999999</v>
      </c>
      <c r="S11" s="7">
        <f t="shared" si="8"/>
        <v>-26651.170999999998</v>
      </c>
    </row>
    <row r="12" spans="1:21" x14ac:dyDescent="0.35">
      <c r="A12" t="s">
        <v>160</v>
      </c>
      <c r="B12">
        <v>41350125</v>
      </c>
      <c r="C12" t="s">
        <v>170</v>
      </c>
      <c r="D12" s="16">
        <v>-27227.573799999998</v>
      </c>
      <c r="E12" s="19">
        <f t="shared" si="0"/>
        <v>-0.26387347114749732</v>
      </c>
      <c r="F12" s="16">
        <v>-40625.805</v>
      </c>
      <c r="G12" s="19">
        <f t="shared" si="1"/>
        <v>9.8362014778145629E-2</v>
      </c>
      <c r="H12" s="16">
        <v>-42893.234900000003</v>
      </c>
      <c r="I12" s="19">
        <f t="shared" si="2"/>
        <v>0.15966440308361335</v>
      </c>
      <c r="J12" s="16">
        <v>-32950.024899999997</v>
      </c>
      <c r="K12" s="19">
        <f t="shared" si="3"/>
        <v>-0.10916089573722755</v>
      </c>
      <c r="L12" s="16">
        <v>-48834.13</v>
      </c>
      <c r="M12" s="19">
        <f t="shared" si="4"/>
        <v>0.32028284526886008</v>
      </c>
      <c r="N12" s="16">
        <v>-31849.67</v>
      </c>
      <c r="O12" s="19">
        <f t="shared" si="5"/>
        <v>-0.1389101653193319</v>
      </c>
      <c r="P12" s="16">
        <v>-34532.953500000003</v>
      </c>
      <c r="Q12" s="19">
        <f t="shared" si="6"/>
        <v>-6.6364730926562088E-2</v>
      </c>
      <c r="R12" s="21">
        <f t="shared" si="7"/>
        <v>-258913.3921</v>
      </c>
      <c r="S12" s="7">
        <f t="shared" si="8"/>
        <v>-36987.627442857141</v>
      </c>
    </row>
    <row r="13" spans="1:21" x14ac:dyDescent="0.35">
      <c r="A13" t="s">
        <v>160</v>
      </c>
      <c r="B13">
        <v>41350130</v>
      </c>
      <c r="C13" t="s">
        <v>171</v>
      </c>
      <c r="D13" s="16">
        <v>-133552.72</v>
      </c>
      <c r="E13" s="19">
        <f t="shared" si="0"/>
        <v>-4.3036558786173788E-2</v>
      </c>
      <c r="F13" s="16">
        <v>-113424.25</v>
      </c>
      <c r="G13" s="19">
        <f t="shared" si="1"/>
        <v>-0.18726581834426639</v>
      </c>
      <c r="H13" s="16">
        <v>-147354.84</v>
      </c>
      <c r="I13" s="19">
        <f t="shared" si="2"/>
        <v>5.5861645992030431E-2</v>
      </c>
      <c r="J13" s="16">
        <v>-124573.47</v>
      </c>
      <c r="K13" s="19">
        <f t="shared" si="3"/>
        <v>-0.10737679820263231</v>
      </c>
      <c r="L13" s="16">
        <v>-160257.74</v>
      </c>
      <c r="M13" s="19">
        <f t="shared" si="4"/>
        <v>0.14831654758922644</v>
      </c>
      <c r="N13" s="16">
        <v>-111664.66</v>
      </c>
      <c r="O13" s="19">
        <f t="shared" si="5"/>
        <v>-0.19987404752541249</v>
      </c>
      <c r="P13" s="16">
        <v>-186084.28940000001</v>
      </c>
      <c r="Q13" s="19">
        <f t="shared" si="6"/>
        <v>0.33337502927722873</v>
      </c>
      <c r="R13" s="21">
        <f t="shared" si="7"/>
        <v>-976911.96939999994</v>
      </c>
      <c r="S13" s="7">
        <f t="shared" si="8"/>
        <v>-139558.85277142856</v>
      </c>
    </row>
    <row r="14" spans="1:21" x14ac:dyDescent="0.35">
      <c r="A14" t="s">
        <v>160</v>
      </c>
      <c r="B14">
        <v>41350132</v>
      </c>
      <c r="C14" t="s">
        <v>172</v>
      </c>
      <c r="D14" s="16">
        <v>-31462.1</v>
      </c>
      <c r="E14" s="19">
        <f t="shared" si="0"/>
        <v>-0.11124837429578137</v>
      </c>
      <c r="F14" s="16">
        <v>-39593.74</v>
      </c>
      <c r="G14" s="19">
        <f t="shared" si="1"/>
        <v>0.11845683513529451</v>
      </c>
      <c r="H14" s="16">
        <v>-36633.74</v>
      </c>
      <c r="I14" s="19">
        <f t="shared" si="2"/>
        <v>3.484179316147562E-2</v>
      </c>
      <c r="J14" s="16">
        <v>-45207.9</v>
      </c>
      <c r="K14" s="19">
        <f t="shared" si="3"/>
        <v>0.27704745136763753</v>
      </c>
      <c r="L14" s="16">
        <v>-41114.32</v>
      </c>
      <c r="M14" s="19">
        <f t="shared" si="4"/>
        <v>0.16141067315034507</v>
      </c>
      <c r="N14" s="16">
        <v>-20607.240000000002</v>
      </c>
      <c r="O14" s="19">
        <f t="shared" si="5"/>
        <v>-0.4178799873092704</v>
      </c>
      <c r="P14" s="16">
        <v>-33183.263400000003</v>
      </c>
      <c r="Q14" s="19">
        <f t="shared" si="6"/>
        <v>-6.262839120969986E-2</v>
      </c>
      <c r="R14" s="21">
        <f t="shared" si="7"/>
        <v>-247802.30339999998</v>
      </c>
      <c r="S14" s="7">
        <f t="shared" si="8"/>
        <v>-35400.329057142852</v>
      </c>
    </row>
    <row r="15" spans="1:21" x14ac:dyDescent="0.35">
      <c r="A15" t="s">
        <v>160</v>
      </c>
      <c r="B15">
        <v>41350135</v>
      </c>
      <c r="C15" t="s">
        <v>173</v>
      </c>
      <c r="D15" s="16">
        <v>-41466.800000000003</v>
      </c>
      <c r="E15" s="19">
        <f t="shared" si="0"/>
        <v>-0.34320851707446837</v>
      </c>
      <c r="F15" s="16">
        <v>-71568.929999999993</v>
      </c>
      <c r="G15" s="19">
        <f t="shared" si="1"/>
        <v>0.13357827626181815</v>
      </c>
      <c r="H15" s="16">
        <v>-83657.78</v>
      </c>
      <c r="I15" s="19">
        <f t="shared" si="2"/>
        <v>0.32505323257299518</v>
      </c>
      <c r="J15" s="16">
        <v>-46426.19</v>
      </c>
      <c r="K15" s="19">
        <f t="shared" si="3"/>
        <v>-0.2646568778713938</v>
      </c>
      <c r="L15" s="16">
        <v>-48842.35</v>
      </c>
      <c r="M15" s="19">
        <f t="shared" si="4"/>
        <v>-0.22638738735403174</v>
      </c>
      <c r="N15" s="16">
        <v>-45664.88</v>
      </c>
      <c r="O15" s="19">
        <f t="shared" si="5"/>
        <v>-0.2767152456226078</v>
      </c>
      <c r="P15" s="16">
        <v>-104320.94469999999</v>
      </c>
      <c r="Q15" s="19">
        <f t="shared" si="6"/>
        <v>0.65233651908768875</v>
      </c>
      <c r="R15" s="21">
        <f t="shared" si="7"/>
        <v>-441947.87469999999</v>
      </c>
      <c r="S15" s="7">
        <f t="shared" si="8"/>
        <v>-63135.410671428566</v>
      </c>
    </row>
    <row r="16" spans="1:21" x14ac:dyDescent="0.35">
      <c r="A16" t="s">
        <v>160</v>
      </c>
      <c r="B16">
        <v>41350201</v>
      </c>
      <c r="C16" t="s">
        <v>174</v>
      </c>
      <c r="D16" s="16">
        <v>-91544.72</v>
      </c>
      <c r="E16" s="19">
        <f t="shared" si="0"/>
        <v>-0.44595259712985263</v>
      </c>
      <c r="F16" s="16">
        <v>-95643.07</v>
      </c>
      <c r="G16" s="19">
        <f t="shared" si="1"/>
        <v>-0.42114854318165257</v>
      </c>
      <c r="H16" s="16">
        <v>-143790.42000000001</v>
      </c>
      <c r="I16" s="19">
        <f t="shared" si="2"/>
        <v>-0.12975091563328064</v>
      </c>
      <c r="J16" s="16">
        <v>-168588.66</v>
      </c>
      <c r="K16" s="19">
        <f t="shared" si="3"/>
        <v>2.0333113983616966E-2</v>
      </c>
      <c r="L16" s="16">
        <v>-207310.77</v>
      </c>
      <c r="M16" s="19">
        <f t="shared" si="4"/>
        <v>0.25468725782885626</v>
      </c>
      <c r="N16" s="16">
        <v>-201866.56</v>
      </c>
      <c r="O16" s="19">
        <f t="shared" si="5"/>
        <v>0.2217377833951622</v>
      </c>
      <c r="P16" s="16">
        <v>-247859.07380000001</v>
      </c>
      <c r="Q16" s="19">
        <f t="shared" si="6"/>
        <v>0.50009390073714999</v>
      </c>
      <c r="R16" s="21">
        <f t="shared" si="7"/>
        <v>-1156603.2738000001</v>
      </c>
      <c r="S16" s="7">
        <f t="shared" si="8"/>
        <v>-165229.03911428573</v>
      </c>
    </row>
    <row r="17" spans="1:19" x14ac:dyDescent="0.35">
      <c r="A17" t="s">
        <v>160</v>
      </c>
      <c r="B17">
        <v>41350203</v>
      </c>
      <c r="C17" t="s">
        <v>175</v>
      </c>
      <c r="D17" s="16">
        <v>-4.5</v>
      </c>
      <c r="E17" s="19">
        <f t="shared" si="0"/>
        <v>-0.72042247270790805</v>
      </c>
      <c r="F17" s="16">
        <v>-5.17</v>
      </c>
      <c r="G17" s="19">
        <f t="shared" si="1"/>
        <v>-0.6787964853110855</v>
      </c>
      <c r="I17" s="19">
        <f t="shared" si="2"/>
        <v>-1</v>
      </c>
      <c r="J17" s="16">
        <v>-32.200000000000003</v>
      </c>
      <c r="K17" s="19">
        <f t="shared" si="3"/>
        <v>1.0005325286234135</v>
      </c>
      <c r="M17" s="19">
        <f t="shared" si="4"/>
        <v>-1</v>
      </c>
      <c r="N17" s="16">
        <v>-70.8</v>
      </c>
      <c r="O17" s="19">
        <f t="shared" si="5"/>
        <v>3.3986864293955796</v>
      </c>
      <c r="Q17" s="19">
        <f t="shared" si="6"/>
        <v>-1</v>
      </c>
      <c r="R17" s="21">
        <f t="shared" si="7"/>
        <v>-112.67</v>
      </c>
      <c r="S17" s="7">
        <f t="shared" si="8"/>
        <v>-16.095714285714287</v>
      </c>
    </row>
    <row r="18" spans="1:19" x14ac:dyDescent="0.35">
      <c r="A18" t="s">
        <v>160</v>
      </c>
      <c r="B18">
        <v>41350205</v>
      </c>
      <c r="C18" t="s">
        <v>176</v>
      </c>
      <c r="D18" s="16">
        <v>-58.62</v>
      </c>
      <c r="E18" s="19">
        <f t="shared" si="0"/>
        <v>1.4409046944318531</v>
      </c>
      <c r="F18" s="16">
        <v>-19.829999999999998</v>
      </c>
      <c r="G18" s="19">
        <f t="shared" si="1"/>
        <v>-0.17428966068605176</v>
      </c>
      <c r="H18" s="16">
        <v>-28.45</v>
      </c>
      <c r="I18" s="19">
        <f t="shared" si="2"/>
        <v>0.18464241822903826</v>
      </c>
      <c r="J18" s="16">
        <v>-25</v>
      </c>
      <c r="K18" s="19">
        <f t="shared" si="3"/>
        <v>4.0986307758381635E-2</v>
      </c>
      <c r="L18" s="16">
        <v>-4.3099999999999996</v>
      </c>
      <c r="M18" s="19">
        <f t="shared" si="4"/>
        <v>-0.82053396054245509</v>
      </c>
      <c r="N18" s="16">
        <v>-11.21</v>
      </c>
      <c r="O18" s="19">
        <f t="shared" si="5"/>
        <v>-0.53322173960114161</v>
      </c>
      <c r="P18" s="16">
        <v>-20.689800000000002</v>
      </c>
      <c r="Q18" s="19">
        <f t="shared" si="6"/>
        <v>-0.13848805958962535</v>
      </c>
      <c r="R18" s="21">
        <f t="shared" si="7"/>
        <v>-168.10980000000001</v>
      </c>
      <c r="S18" s="7">
        <f t="shared" si="8"/>
        <v>-24.015685714285716</v>
      </c>
    </row>
    <row r="19" spans="1:19" x14ac:dyDescent="0.35">
      <c r="A19" t="s">
        <v>160</v>
      </c>
      <c r="B19">
        <v>41350207</v>
      </c>
      <c r="C19" t="s">
        <v>177</v>
      </c>
      <c r="D19" s="16">
        <v>-6957.7</v>
      </c>
      <c r="E19" s="19">
        <f t="shared" si="0"/>
        <v>-3.0962604994180711E-2</v>
      </c>
      <c r="F19" s="16">
        <v>-6349.88</v>
      </c>
      <c r="G19" s="19">
        <f t="shared" si="1"/>
        <v>-0.11561706112658608</v>
      </c>
      <c r="H19" s="16">
        <v>-6686.77</v>
      </c>
      <c r="I19" s="19">
        <f t="shared" si="2"/>
        <v>-6.8696525891736804E-2</v>
      </c>
      <c r="J19" s="16">
        <v>-9714.74</v>
      </c>
      <c r="K19" s="19">
        <f t="shared" si="3"/>
        <v>0.35302561805752375</v>
      </c>
      <c r="L19" s="16">
        <v>-5363.51</v>
      </c>
      <c r="M19" s="19">
        <f t="shared" si="4"/>
        <v>-0.25299427131269497</v>
      </c>
      <c r="N19" s="16">
        <v>-5927.54</v>
      </c>
      <c r="O19" s="19">
        <f t="shared" si="5"/>
        <v>-0.17443869089026628</v>
      </c>
      <c r="P19" s="16">
        <v>-9259.9431000000004</v>
      </c>
      <c r="Q19" s="19">
        <f t="shared" si="6"/>
        <v>0.28968353615794179</v>
      </c>
      <c r="R19" s="21">
        <f t="shared" si="7"/>
        <v>-50260.083099999996</v>
      </c>
      <c r="S19" s="7">
        <f t="shared" si="8"/>
        <v>-7180.0118714285709</v>
      </c>
    </row>
    <row r="20" spans="1:19" x14ac:dyDescent="0.35">
      <c r="A20" t="s">
        <v>160</v>
      </c>
      <c r="B20">
        <v>41350211</v>
      </c>
      <c r="C20" t="s">
        <v>178</v>
      </c>
      <c r="D20" s="16">
        <v>-262904.18</v>
      </c>
      <c r="E20" s="19">
        <f t="shared" si="0"/>
        <v>-9.4435450809370491E-2</v>
      </c>
      <c r="F20" s="16">
        <v>-303653.3</v>
      </c>
      <c r="G20" s="19">
        <f t="shared" si="1"/>
        <v>4.5923513748419589E-2</v>
      </c>
      <c r="H20" s="16">
        <v>-356960.39</v>
      </c>
      <c r="I20" s="19">
        <f t="shared" si="2"/>
        <v>0.22953798090719332</v>
      </c>
      <c r="J20" s="16">
        <v>-262125.4</v>
      </c>
      <c r="K20" s="19">
        <f t="shared" si="3"/>
        <v>-9.7117932159110451E-2</v>
      </c>
      <c r="L20" s="16">
        <v>-290714.71000000002</v>
      </c>
      <c r="M20" s="19">
        <f t="shared" si="4"/>
        <v>1.3569784407179068E-3</v>
      </c>
      <c r="N20" s="16">
        <v>-260433.91</v>
      </c>
      <c r="O20" s="19">
        <f t="shared" si="5"/>
        <v>-0.102944212210308</v>
      </c>
      <c r="P20" s="16">
        <v>-295453.36700000003</v>
      </c>
      <c r="Q20" s="19">
        <f t="shared" si="6"/>
        <v>1.7679122082458511E-2</v>
      </c>
      <c r="R20" s="21">
        <f t="shared" si="7"/>
        <v>-2032245.2569999998</v>
      </c>
      <c r="S20" s="7">
        <f t="shared" si="8"/>
        <v>-290320.75099999999</v>
      </c>
    </row>
    <row r="21" spans="1:19" x14ac:dyDescent="0.35">
      <c r="A21" t="s">
        <v>160</v>
      </c>
      <c r="B21">
        <v>41350218</v>
      </c>
      <c r="C21" t="s">
        <v>179</v>
      </c>
      <c r="D21" s="16">
        <v>-450</v>
      </c>
      <c r="E21" s="19">
        <f t="shared" si="0"/>
        <v>0.46488094424272486</v>
      </c>
      <c r="F21" s="16">
        <v>-244.83</v>
      </c>
      <c r="G21" s="19">
        <f t="shared" si="1"/>
        <v>-0.20300710760234147</v>
      </c>
      <c r="H21" s="16">
        <v>-354.48</v>
      </c>
      <c r="I21" s="19">
        <f t="shared" si="2"/>
        <v>0.15393554914480251</v>
      </c>
      <c r="J21" s="16">
        <v>-290.69</v>
      </c>
      <c r="K21" s="19">
        <f t="shared" si="3"/>
        <v>-5.3719462929071815E-2</v>
      </c>
      <c r="L21" s="16">
        <v>-237.93</v>
      </c>
      <c r="M21" s="19">
        <f t="shared" si="4"/>
        <v>-0.22546861541406327</v>
      </c>
      <c r="N21" s="16">
        <v>-312.07</v>
      </c>
      <c r="O21" s="19">
        <f t="shared" si="5"/>
        <v>1.5878658377393627E-2</v>
      </c>
      <c r="P21" s="16">
        <v>-260.34539999999998</v>
      </c>
      <c r="Q21" s="19">
        <f t="shared" si="6"/>
        <v>-0.15249996581944472</v>
      </c>
      <c r="R21" s="21">
        <f t="shared" si="7"/>
        <v>-2150.3454000000002</v>
      </c>
      <c r="S21" s="7">
        <f t="shared" si="8"/>
        <v>-307.19220000000001</v>
      </c>
    </row>
    <row r="22" spans="1:19" x14ac:dyDescent="0.35">
      <c r="A22" t="s">
        <v>160</v>
      </c>
      <c r="B22">
        <v>41350401</v>
      </c>
      <c r="C22" t="s">
        <v>180</v>
      </c>
      <c r="D22" s="16">
        <v>-2662489.83</v>
      </c>
      <c r="E22" s="19">
        <f t="shared" si="0"/>
        <v>-0.41108924171900191</v>
      </c>
      <c r="F22" s="16">
        <v>-3083795.86</v>
      </c>
      <c r="G22" s="19">
        <f t="shared" si="1"/>
        <v>-0.31790141023885055</v>
      </c>
      <c r="H22" s="16">
        <v>-4151747.17</v>
      </c>
      <c r="I22" s="19">
        <f t="shared" si="2"/>
        <v>-8.1683412824270663E-2</v>
      </c>
      <c r="J22" s="16">
        <v>-3671193.41</v>
      </c>
      <c r="K22" s="19">
        <f t="shared" si="3"/>
        <v>-0.18797613026777152</v>
      </c>
      <c r="L22" s="16">
        <v>-5555863.4800000004</v>
      </c>
      <c r="M22" s="19">
        <f t="shared" si="4"/>
        <v>0.22889024327747576</v>
      </c>
      <c r="N22" s="16">
        <v>-5207626.2699999996</v>
      </c>
      <c r="O22" s="19">
        <f t="shared" si="5"/>
        <v>0.15186435679633953</v>
      </c>
      <c r="P22" s="16">
        <v>-7314572.7209999999</v>
      </c>
      <c r="Q22" s="19">
        <f t="shared" si="6"/>
        <v>0.61789559497608049</v>
      </c>
      <c r="R22" s="21">
        <f t="shared" si="7"/>
        <v>-31647288.740999997</v>
      </c>
      <c r="S22" s="7">
        <f t="shared" si="8"/>
        <v>-4521041.248714285</v>
      </c>
    </row>
    <row r="23" spans="1:19" x14ac:dyDescent="0.35">
      <c r="A23" t="s">
        <v>160</v>
      </c>
      <c r="B23">
        <v>41350405</v>
      </c>
      <c r="C23" t="s">
        <v>181</v>
      </c>
      <c r="D23" s="16">
        <v>-82522.2</v>
      </c>
      <c r="E23" s="19">
        <f t="shared" si="0"/>
        <v>-0.31438728809170552</v>
      </c>
      <c r="F23" s="16">
        <v>-139546.5</v>
      </c>
      <c r="G23" s="19">
        <f t="shared" si="1"/>
        <v>0.15938322417859463</v>
      </c>
      <c r="H23" s="16">
        <v>-112291.15</v>
      </c>
      <c r="I23" s="19">
        <f t="shared" si="2"/>
        <v>-6.7060259241742429E-2</v>
      </c>
      <c r="J23" s="16">
        <v>-79718.320000000007</v>
      </c>
      <c r="K23" s="19">
        <f t="shared" si="3"/>
        <v>-0.33768254404301828</v>
      </c>
      <c r="L23" s="16">
        <v>-130931.79</v>
      </c>
      <c r="M23" s="19">
        <f t="shared" si="4"/>
        <v>8.7810305795377658E-2</v>
      </c>
      <c r="N23" s="16">
        <v>-143819.6</v>
      </c>
      <c r="O23" s="19">
        <f t="shared" si="5"/>
        <v>0.19488508524453008</v>
      </c>
      <c r="P23" s="16">
        <v>-153709.36900000001</v>
      </c>
      <c r="Q23" s="19">
        <f t="shared" si="6"/>
        <v>0.27705147615796405</v>
      </c>
      <c r="R23" s="21">
        <f t="shared" si="7"/>
        <v>-842538.929</v>
      </c>
      <c r="S23" s="7">
        <f t="shared" si="8"/>
        <v>-120362.70414285714</v>
      </c>
    </row>
    <row r="24" spans="1:19" x14ac:dyDescent="0.35">
      <c r="A24" t="s">
        <v>160</v>
      </c>
      <c r="B24">
        <v>41350803</v>
      </c>
      <c r="C24" t="s">
        <v>182</v>
      </c>
      <c r="D24" s="16">
        <v>-4984.08</v>
      </c>
      <c r="E24" s="19">
        <f t="shared" si="0"/>
        <v>-0.59168664747062172</v>
      </c>
      <c r="F24" s="16">
        <v>-9972.67</v>
      </c>
      <c r="G24" s="19">
        <f t="shared" si="1"/>
        <v>-0.18300381988869471</v>
      </c>
      <c r="H24" s="16">
        <v>-11761.81</v>
      </c>
      <c r="I24" s="19">
        <f t="shared" si="2"/>
        <v>-3.6431182301735525E-2</v>
      </c>
      <c r="J24" s="16">
        <v>-14003.74</v>
      </c>
      <c r="K24" s="19">
        <f t="shared" si="3"/>
        <v>0.14723560363191504</v>
      </c>
      <c r="L24" s="16">
        <v>-11979.23</v>
      </c>
      <c r="M24" s="19">
        <f t="shared" si="4"/>
        <v>-1.8619371675313513E-2</v>
      </c>
      <c r="N24" s="16">
        <v>-13730.91</v>
      </c>
      <c r="O24" s="19">
        <f t="shared" si="5"/>
        <v>0.12488441104058619</v>
      </c>
      <c r="P24" s="16">
        <v>-19013.112499999999</v>
      </c>
      <c r="Q24" s="19">
        <f t="shared" si="6"/>
        <v>0.55762100666386327</v>
      </c>
      <c r="R24" s="21">
        <f t="shared" si="7"/>
        <v>-85445.552500000005</v>
      </c>
      <c r="S24" s="7">
        <f t="shared" si="8"/>
        <v>-12206.507500000002</v>
      </c>
    </row>
    <row r="25" spans="1:19" x14ac:dyDescent="0.35">
      <c r="A25" t="s">
        <v>160</v>
      </c>
      <c r="B25">
        <v>41352001</v>
      </c>
      <c r="C25" t="s">
        <v>183</v>
      </c>
      <c r="D25" s="16">
        <v>-7223.89</v>
      </c>
      <c r="E25" s="19">
        <f t="shared" si="0"/>
        <v>-0.82197925291922214</v>
      </c>
      <c r="F25" s="16">
        <v>-9743.17</v>
      </c>
      <c r="G25" s="19">
        <f t="shared" si="1"/>
        <v>-0.75989578989505346</v>
      </c>
      <c r="H25" s="16">
        <v>-22826.71</v>
      </c>
      <c r="I25" s="19">
        <f t="shared" si="2"/>
        <v>-0.43747372017067487</v>
      </c>
      <c r="J25" s="16">
        <v>-36401.49</v>
      </c>
      <c r="K25" s="19">
        <f t="shared" si="3"/>
        <v>-0.10294585816596526</v>
      </c>
      <c r="L25" s="16">
        <v>-48520.57</v>
      </c>
      <c r="M25" s="19">
        <f t="shared" si="4"/>
        <v>0.19570869990893816</v>
      </c>
      <c r="N25" s="16">
        <v>-52913.05</v>
      </c>
      <c r="O25" s="19">
        <f t="shared" si="5"/>
        <v>0.30395405956106131</v>
      </c>
      <c r="P25" s="16">
        <v>-106423.5736</v>
      </c>
      <c r="Q25" s="19">
        <f t="shared" si="6"/>
        <v>1.6226318616809157</v>
      </c>
      <c r="R25" s="21">
        <f t="shared" si="7"/>
        <v>-284052.45360000001</v>
      </c>
      <c r="S25" s="7">
        <f t="shared" si="8"/>
        <v>-40578.921942857145</v>
      </c>
    </row>
    <row r="26" spans="1:19" x14ac:dyDescent="0.35">
      <c r="A26" t="s">
        <v>160</v>
      </c>
      <c r="B26">
        <v>41353006</v>
      </c>
      <c r="C26" t="s">
        <v>184</v>
      </c>
      <c r="E26" s="19">
        <f t="shared" si="0"/>
        <v>-1</v>
      </c>
      <c r="G26" s="19">
        <f t="shared" si="1"/>
        <v>-1</v>
      </c>
      <c r="I26" s="19">
        <f t="shared" si="2"/>
        <v>-1</v>
      </c>
      <c r="K26" s="19">
        <f t="shared" si="3"/>
        <v>-1</v>
      </c>
      <c r="M26" s="19">
        <f t="shared" si="4"/>
        <v>-1</v>
      </c>
      <c r="O26" s="19">
        <f t="shared" si="5"/>
        <v>-1</v>
      </c>
      <c r="P26" s="16">
        <v>-156.8972</v>
      </c>
      <c r="Q26" s="19">
        <f t="shared" si="6"/>
        <v>5.9999999999999991</v>
      </c>
      <c r="R26" s="21">
        <f t="shared" si="7"/>
        <v>-156.8972</v>
      </c>
      <c r="S26" s="7">
        <f t="shared" si="8"/>
        <v>-22.413885714285716</v>
      </c>
    </row>
    <row r="27" spans="1:19" x14ac:dyDescent="0.35">
      <c r="A27" t="s">
        <v>160</v>
      </c>
      <c r="B27">
        <v>41353008</v>
      </c>
      <c r="C27" t="s">
        <v>185</v>
      </c>
      <c r="E27" s="19">
        <f t="shared" si="0"/>
        <v>-1</v>
      </c>
      <c r="G27" s="19">
        <f t="shared" si="1"/>
        <v>-1</v>
      </c>
      <c r="I27" s="19">
        <f t="shared" si="2"/>
        <v>-1</v>
      </c>
      <c r="K27" s="19">
        <f t="shared" si="3"/>
        <v>-1</v>
      </c>
      <c r="M27" s="19">
        <f t="shared" si="4"/>
        <v>-1</v>
      </c>
      <c r="O27" s="19">
        <f t="shared" si="5"/>
        <v>-1</v>
      </c>
      <c r="P27" s="16">
        <v>-8</v>
      </c>
      <c r="Q27" s="19">
        <f t="shared" si="6"/>
        <v>6.0000000000000009</v>
      </c>
      <c r="R27" s="21">
        <f t="shared" si="7"/>
        <v>-8</v>
      </c>
      <c r="S27" s="7">
        <f t="shared" si="8"/>
        <v>-1.1428571428571428</v>
      </c>
    </row>
    <row r="28" spans="1:19" x14ac:dyDescent="0.35">
      <c r="A28" t="s">
        <v>160</v>
      </c>
      <c r="B28">
        <v>41353010</v>
      </c>
      <c r="C28" t="s">
        <v>186</v>
      </c>
      <c r="E28" s="19">
        <f t="shared" si="0"/>
        <v>-1</v>
      </c>
      <c r="G28" s="19">
        <f t="shared" si="1"/>
        <v>-1</v>
      </c>
      <c r="I28" s="19">
        <f t="shared" si="2"/>
        <v>-1</v>
      </c>
      <c r="K28" s="19">
        <f t="shared" si="3"/>
        <v>-1</v>
      </c>
      <c r="M28" s="19">
        <f t="shared" si="4"/>
        <v>-1</v>
      </c>
      <c r="O28" s="19">
        <f t="shared" si="5"/>
        <v>-1</v>
      </c>
      <c r="P28" s="16">
        <v>-32.862099999999998</v>
      </c>
      <c r="Q28" s="19">
        <f t="shared" si="6"/>
        <v>6</v>
      </c>
      <c r="R28" s="21">
        <f t="shared" si="7"/>
        <v>-32.862099999999998</v>
      </c>
      <c r="S28" s="7">
        <f t="shared" si="8"/>
        <v>-4.6945857142857141</v>
      </c>
    </row>
    <row r="29" spans="1:19" x14ac:dyDescent="0.35">
      <c r="A29" t="s">
        <v>160</v>
      </c>
      <c r="B29">
        <v>41370501</v>
      </c>
      <c r="C29" t="s">
        <v>187</v>
      </c>
      <c r="E29" s="19">
        <f t="shared" si="0"/>
        <v>-1</v>
      </c>
      <c r="G29" s="19">
        <f t="shared" si="1"/>
        <v>-1</v>
      </c>
      <c r="I29" s="19">
        <f t="shared" si="2"/>
        <v>-1</v>
      </c>
      <c r="J29" s="16">
        <v>-94.5</v>
      </c>
      <c r="K29" s="19">
        <f t="shared" si="3"/>
        <v>3.1025342063906498</v>
      </c>
      <c r="M29" s="19">
        <f t="shared" si="4"/>
        <v>-1</v>
      </c>
      <c r="N29" s="16">
        <v>-1.36</v>
      </c>
      <c r="O29" s="19">
        <f t="shared" si="5"/>
        <v>-0.94095823787628274</v>
      </c>
      <c r="P29" s="16">
        <v>-65.381799999999998</v>
      </c>
      <c r="Q29" s="19">
        <f t="shared" si="6"/>
        <v>1.8384240314856317</v>
      </c>
      <c r="R29" s="21">
        <f t="shared" si="7"/>
        <v>-161.24180000000001</v>
      </c>
      <c r="S29" s="7">
        <f t="shared" si="8"/>
        <v>-23.03454285714286</v>
      </c>
    </row>
    <row r="30" spans="1:19" x14ac:dyDescent="0.35">
      <c r="A30" t="s">
        <v>160</v>
      </c>
      <c r="B30">
        <v>41370503</v>
      </c>
      <c r="C30" t="s">
        <v>188</v>
      </c>
      <c r="E30" s="19">
        <f t="shared" si="0"/>
        <v>-1</v>
      </c>
      <c r="G30" s="19">
        <f t="shared" si="1"/>
        <v>-1</v>
      </c>
      <c r="I30" s="19">
        <f t="shared" si="2"/>
        <v>-1</v>
      </c>
      <c r="K30" s="19">
        <f t="shared" si="3"/>
        <v>-1</v>
      </c>
      <c r="M30" s="19">
        <f t="shared" si="4"/>
        <v>-1</v>
      </c>
      <c r="N30" s="16">
        <v>-59.5</v>
      </c>
      <c r="O30" s="19">
        <f t="shared" si="5"/>
        <v>1.6196270129144783</v>
      </c>
      <c r="P30" s="16">
        <v>-99.492099999999994</v>
      </c>
      <c r="Q30" s="19">
        <f t="shared" si="6"/>
        <v>3.3803729870855217</v>
      </c>
      <c r="R30" s="21">
        <f t="shared" si="7"/>
        <v>-158.99209999999999</v>
      </c>
      <c r="S30" s="7">
        <f t="shared" si="8"/>
        <v>-22.713157142857142</v>
      </c>
    </row>
    <row r="31" spans="1:19" x14ac:dyDescent="0.35">
      <c r="A31" t="s">
        <v>160</v>
      </c>
      <c r="B31">
        <v>41370504</v>
      </c>
      <c r="C31" t="s">
        <v>189</v>
      </c>
      <c r="E31" s="19">
        <f t="shared" si="0"/>
        <v>-1</v>
      </c>
      <c r="G31" s="19">
        <f t="shared" si="1"/>
        <v>-1</v>
      </c>
      <c r="I31" s="19">
        <f t="shared" si="2"/>
        <v>-1</v>
      </c>
      <c r="K31" s="19">
        <f t="shared" si="3"/>
        <v>-1</v>
      </c>
      <c r="M31" s="19">
        <f t="shared" si="4"/>
        <v>-1</v>
      </c>
      <c r="N31" s="16">
        <v>-56.74</v>
      </c>
      <c r="O31" s="19">
        <f t="shared" si="5"/>
        <v>2.6677609555866448</v>
      </c>
      <c r="P31" s="16">
        <v>-51.549500000000002</v>
      </c>
      <c r="Q31" s="19">
        <f t="shared" si="6"/>
        <v>2.3322390444133547</v>
      </c>
      <c r="R31" s="21">
        <f t="shared" si="7"/>
        <v>-108.2895</v>
      </c>
      <c r="S31" s="7">
        <f t="shared" si="8"/>
        <v>-15.469928571428571</v>
      </c>
    </row>
    <row r="32" spans="1:19" x14ac:dyDescent="0.35">
      <c r="A32" t="s">
        <v>160</v>
      </c>
      <c r="B32">
        <v>41370505</v>
      </c>
      <c r="C32" t="s">
        <v>190</v>
      </c>
      <c r="E32" s="19">
        <f t="shared" si="0"/>
        <v>-1</v>
      </c>
      <c r="G32" s="19">
        <f t="shared" si="1"/>
        <v>-1</v>
      </c>
      <c r="I32" s="19">
        <f t="shared" si="2"/>
        <v>-1</v>
      </c>
      <c r="K32" s="19">
        <f t="shared" si="3"/>
        <v>-1</v>
      </c>
      <c r="M32" s="19">
        <f t="shared" si="4"/>
        <v>-1</v>
      </c>
      <c r="N32" s="16">
        <v>-10.6</v>
      </c>
      <c r="O32" s="19">
        <f t="shared" si="5"/>
        <v>3.222602876150261</v>
      </c>
      <c r="P32" s="16">
        <v>-6.9721000000000002</v>
      </c>
      <c r="Q32" s="19">
        <f t="shared" si="6"/>
        <v>1.7773971238497392</v>
      </c>
      <c r="R32" s="21">
        <f t="shared" si="7"/>
        <v>-17.572099999999999</v>
      </c>
      <c r="S32" s="7">
        <f t="shared" si="8"/>
        <v>-2.5103</v>
      </c>
    </row>
    <row r="33" spans="1:19" x14ac:dyDescent="0.35">
      <c r="A33" t="s">
        <v>160</v>
      </c>
      <c r="B33">
        <v>41370507</v>
      </c>
      <c r="C33" t="s">
        <v>191</v>
      </c>
      <c r="E33" s="19">
        <f t="shared" si="0"/>
        <v>-1</v>
      </c>
      <c r="G33" s="19">
        <f t="shared" si="1"/>
        <v>-1</v>
      </c>
      <c r="I33" s="19">
        <f t="shared" si="2"/>
        <v>-1</v>
      </c>
      <c r="K33" s="19">
        <f t="shared" si="3"/>
        <v>-1</v>
      </c>
      <c r="M33" s="19">
        <f t="shared" si="4"/>
        <v>-1</v>
      </c>
      <c r="N33" s="16">
        <v>-48.01</v>
      </c>
      <c r="O33" s="19">
        <f t="shared" si="5"/>
        <v>3.7570987741698043</v>
      </c>
      <c r="P33" s="16">
        <v>-22.635999999999999</v>
      </c>
      <c r="Q33" s="19">
        <f t="shared" si="6"/>
        <v>1.2429012258301957</v>
      </c>
      <c r="R33" s="21">
        <f t="shared" si="7"/>
        <v>-70.646000000000001</v>
      </c>
      <c r="S33" s="7">
        <f t="shared" si="8"/>
        <v>-10.092285714285714</v>
      </c>
    </row>
    <row r="34" spans="1:19" x14ac:dyDescent="0.35">
      <c r="A34" t="s">
        <v>160</v>
      </c>
      <c r="B34">
        <v>41370510</v>
      </c>
      <c r="C34" t="s">
        <v>192</v>
      </c>
      <c r="E34" s="19">
        <f t="shared" si="0"/>
        <v>-1</v>
      </c>
      <c r="G34" s="19">
        <f t="shared" si="1"/>
        <v>-1</v>
      </c>
      <c r="I34" s="19">
        <f t="shared" si="2"/>
        <v>-1</v>
      </c>
      <c r="J34" s="16">
        <v>-0.86</v>
      </c>
      <c r="K34" s="19">
        <f t="shared" si="3"/>
        <v>0.22027851539537427</v>
      </c>
      <c r="M34" s="19">
        <f t="shared" si="4"/>
        <v>-1</v>
      </c>
      <c r="O34" s="19">
        <f t="shared" si="5"/>
        <v>-1</v>
      </c>
      <c r="P34" s="16">
        <v>-4.0732999999999997</v>
      </c>
      <c r="Q34" s="19">
        <f t="shared" si="6"/>
        <v>4.7797214846046252</v>
      </c>
      <c r="R34" s="21">
        <f t="shared" si="7"/>
        <v>-4.9333</v>
      </c>
      <c r="S34" s="7">
        <f t="shared" si="8"/>
        <v>-0.70475714285714286</v>
      </c>
    </row>
    <row r="35" spans="1:19" x14ac:dyDescent="0.35">
      <c r="A35" t="s">
        <v>160</v>
      </c>
      <c r="B35">
        <v>41370511</v>
      </c>
      <c r="C35" t="s">
        <v>193</v>
      </c>
      <c r="E35" s="19">
        <f t="shared" si="0"/>
        <v>-1</v>
      </c>
      <c r="G35" s="19">
        <f t="shared" si="1"/>
        <v>-1</v>
      </c>
      <c r="I35" s="19">
        <f t="shared" si="2"/>
        <v>-1</v>
      </c>
      <c r="K35" s="19">
        <f t="shared" si="3"/>
        <v>-1</v>
      </c>
      <c r="M35" s="19">
        <f t="shared" si="4"/>
        <v>-1</v>
      </c>
      <c r="N35" s="16">
        <v>-53.66</v>
      </c>
      <c r="O35" s="19">
        <f t="shared" si="5"/>
        <v>0.26240152716909099</v>
      </c>
      <c r="P35" s="16">
        <v>-243.88399999999999</v>
      </c>
      <c r="Q35" s="19">
        <f t="shared" si="6"/>
        <v>4.7375984728309088</v>
      </c>
      <c r="R35" s="21">
        <f t="shared" si="7"/>
        <v>-297.54399999999998</v>
      </c>
      <c r="S35" s="7">
        <f t="shared" si="8"/>
        <v>-42.50628571428571</v>
      </c>
    </row>
    <row r="36" spans="1:19" x14ac:dyDescent="0.35">
      <c r="A36" t="s">
        <v>160</v>
      </c>
      <c r="B36">
        <v>41370703</v>
      </c>
      <c r="C36" t="s">
        <v>194</v>
      </c>
      <c r="E36" s="19">
        <f t="shared" si="0"/>
        <v>-1</v>
      </c>
      <c r="G36" s="19">
        <f t="shared" si="1"/>
        <v>-1</v>
      </c>
      <c r="I36" s="19">
        <f t="shared" si="2"/>
        <v>-1</v>
      </c>
      <c r="K36" s="19">
        <f t="shared" si="3"/>
        <v>-1</v>
      </c>
      <c r="M36" s="19">
        <f t="shared" si="4"/>
        <v>-1</v>
      </c>
      <c r="N36" s="16">
        <v>-11.61</v>
      </c>
      <c r="O36" s="19">
        <f t="shared" si="5"/>
        <v>-4.3478363214581248E-2</v>
      </c>
      <c r="P36" s="16">
        <v>-73.354100000000003</v>
      </c>
      <c r="Q36" s="19">
        <f t="shared" si="6"/>
        <v>5.0434783632145814</v>
      </c>
      <c r="R36" s="21">
        <f t="shared" si="7"/>
        <v>-84.964100000000002</v>
      </c>
      <c r="S36" s="7">
        <f t="shared" si="8"/>
        <v>-12.137728571428571</v>
      </c>
    </row>
    <row r="37" spans="1:19" x14ac:dyDescent="0.35">
      <c r="A37" t="s">
        <v>160</v>
      </c>
      <c r="B37">
        <v>41370704</v>
      </c>
      <c r="C37" t="s">
        <v>195</v>
      </c>
      <c r="E37" s="19">
        <f t="shared" si="0"/>
        <v>-1</v>
      </c>
      <c r="G37" s="19">
        <f t="shared" si="1"/>
        <v>-1</v>
      </c>
      <c r="I37" s="19">
        <f t="shared" si="2"/>
        <v>-1</v>
      </c>
      <c r="K37" s="19">
        <f t="shared" si="3"/>
        <v>-1</v>
      </c>
      <c r="M37" s="19">
        <f t="shared" si="4"/>
        <v>-1</v>
      </c>
      <c r="N37" s="16">
        <v>-6.59</v>
      </c>
      <c r="O37" s="19">
        <f t="shared" si="5"/>
        <v>0.71127557360933358</v>
      </c>
      <c r="P37" s="16">
        <v>-20.366499999999998</v>
      </c>
      <c r="Q37" s="19">
        <f t="shared" si="6"/>
        <v>4.2887244263906661</v>
      </c>
      <c r="R37" s="21">
        <f t="shared" si="7"/>
        <v>-26.956499999999998</v>
      </c>
      <c r="S37" s="7">
        <f t="shared" si="8"/>
        <v>-3.8509285714285713</v>
      </c>
    </row>
    <row r="38" spans="1:19" x14ac:dyDescent="0.35">
      <c r="A38" t="s">
        <v>160</v>
      </c>
      <c r="B38">
        <v>41370706</v>
      </c>
      <c r="C38" t="s">
        <v>196</v>
      </c>
      <c r="E38" s="19">
        <f t="shared" si="0"/>
        <v>-1</v>
      </c>
      <c r="G38" s="19">
        <f t="shared" si="1"/>
        <v>-1</v>
      </c>
      <c r="I38" s="19">
        <f t="shared" si="2"/>
        <v>-1</v>
      </c>
      <c r="J38" s="16">
        <v>-0.86</v>
      </c>
      <c r="K38" s="19">
        <f t="shared" si="3"/>
        <v>-0.99832213394906366</v>
      </c>
      <c r="M38" s="19">
        <f t="shared" si="4"/>
        <v>-1</v>
      </c>
      <c r="N38" s="16">
        <v>-870.01</v>
      </c>
      <c r="O38" s="19">
        <f t="shared" si="5"/>
        <v>0.6973956313663624</v>
      </c>
      <c r="P38" s="16">
        <v>-2717.0207</v>
      </c>
      <c r="Q38" s="19">
        <f t="shared" si="6"/>
        <v>4.3009265025827013</v>
      </c>
      <c r="R38" s="21">
        <f t="shared" si="7"/>
        <v>-3587.8907000000004</v>
      </c>
      <c r="S38" s="7">
        <f t="shared" si="8"/>
        <v>-512.55581428571429</v>
      </c>
    </row>
    <row r="39" spans="1:19" x14ac:dyDescent="0.35">
      <c r="A39" t="s">
        <v>160</v>
      </c>
      <c r="B39">
        <v>41370901</v>
      </c>
      <c r="C39" t="s">
        <v>197</v>
      </c>
      <c r="E39" s="19">
        <f t="shared" si="0"/>
        <v>-1</v>
      </c>
      <c r="G39" s="19">
        <f t="shared" si="1"/>
        <v>-1</v>
      </c>
      <c r="H39" s="16">
        <v>-1.72</v>
      </c>
      <c r="I39" s="19">
        <f t="shared" si="2"/>
        <v>-0.98527221809447452</v>
      </c>
      <c r="K39" s="19">
        <f t="shared" si="3"/>
        <v>-1</v>
      </c>
      <c r="L39" s="16">
        <v>-5.17</v>
      </c>
      <c r="M39" s="19">
        <f t="shared" si="4"/>
        <v>-0.95573102764443807</v>
      </c>
      <c r="N39" s="16">
        <v>-218.35</v>
      </c>
      <c r="O39" s="19">
        <f t="shared" si="5"/>
        <v>0.86965766225086005</v>
      </c>
      <c r="P39" s="16">
        <v>-592.26260000000002</v>
      </c>
      <c r="Q39" s="19">
        <f t="shared" si="6"/>
        <v>4.0713455834880525</v>
      </c>
      <c r="R39" s="21">
        <f t="shared" si="7"/>
        <v>-817.50260000000003</v>
      </c>
      <c r="S39" s="7">
        <f t="shared" si="8"/>
        <v>-116.78608571428572</v>
      </c>
    </row>
    <row r="40" spans="1:19" x14ac:dyDescent="0.35">
      <c r="A40" t="s">
        <v>160</v>
      </c>
      <c r="B40">
        <v>41370902</v>
      </c>
      <c r="C40" t="s">
        <v>198</v>
      </c>
      <c r="E40" s="19">
        <f t="shared" si="0"/>
        <v>-1</v>
      </c>
      <c r="G40" s="19">
        <f t="shared" si="1"/>
        <v>-1</v>
      </c>
      <c r="I40" s="19">
        <f t="shared" si="2"/>
        <v>-1</v>
      </c>
      <c r="K40" s="19">
        <f t="shared" si="3"/>
        <v>-1</v>
      </c>
      <c r="M40" s="19">
        <f t="shared" si="4"/>
        <v>-1</v>
      </c>
      <c r="N40" s="16">
        <v>-334.41</v>
      </c>
      <c r="O40" s="19">
        <f t="shared" si="5"/>
        <v>0.22319379475538947</v>
      </c>
      <c r="P40" s="16">
        <v>-1579.326</v>
      </c>
      <c r="Q40" s="19">
        <f t="shared" si="6"/>
        <v>4.7768062052446103</v>
      </c>
      <c r="R40" s="21">
        <f t="shared" si="7"/>
        <v>-1913.7360000000001</v>
      </c>
      <c r="S40" s="7">
        <f t="shared" si="8"/>
        <v>-273.39085714285716</v>
      </c>
    </row>
    <row r="41" spans="1:19" x14ac:dyDescent="0.35">
      <c r="A41" t="s">
        <v>160</v>
      </c>
      <c r="B41">
        <v>41370903</v>
      </c>
      <c r="C41" t="s">
        <v>199</v>
      </c>
      <c r="E41" s="19">
        <f t="shared" si="0"/>
        <v>-1</v>
      </c>
      <c r="G41" s="19">
        <f t="shared" si="1"/>
        <v>-1</v>
      </c>
      <c r="I41" s="19">
        <f t="shared" si="2"/>
        <v>-1</v>
      </c>
      <c r="K41" s="19">
        <f t="shared" si="3"/>
        <v>-1</v>
      </c>
      <c r="M41" s="19">
        <f t="shared" si="4"/>
        <v>-1</v>
      </c>
      <c r="N41" s="16">
        <v>-372.54</v>
      </c>
      <c r="O41" s="19">
        <f t="shared" si="5"/>
        <v>0.95749240882254993</v>
      </c>
      <c r="P41" s="16">
        <v>-959.6644</v>
      </c>
      <c r="Q41" s="19">
        <f t="shared" si="6"/>
        <v>4.0425075911774497</v>
      </c>
      <c r="R41" s="21">
        <f t="shared" si="7"/>
        <v>-1332.2044000000001</v>
      </c>
      <c r="S41" s="7">
        <f t="shared" si="8"/>
        <v>-190.31491428571431</v>
      </c>
    </row>
    <row r="42" spans="1:19" x14ac:dyDescent="0.35">
      <c r="A42" t="s">
        <v>160</v>
      </c>
      <c r="B42">
        <v>41371501</v>
      </c>
      <c r="C42" t="s">
        <v>200</v>
      </c>
      <c r="E42" s="19">
        <f t="shared" si="0"/>
        <v>-1</v>
      </c>
      <c r="G42" s="19">
        <f t="shared" si="1"/>
        <v>-1</v>
      </c>
      <c r="I42" s="19">
        <f t="shared" si="2"/>
        <v>-1</v>
      </c>
      <c r="J42" s="16">
        <v>-10.34</v>
      </c>
      <c r="K42" s="19">
        <f t="shared" si="3"/>
        <v>-0.94150609127021645</v>
      </c>
      <c r="L42" s="16">
        <v>-56.03</v>
      </c>
      <c r="M42" s="19">
        <f t="shared" si="4"/>
        <v>-0.68303542493909375</v>
      </c>
      <c r="N42" s="16">
        <v>-360.58</v>
      </c>
      <c r="O42" s="19">
        <f t="shared" si="5"/>
        <v>1.0398194980450042</v>
      </c>
      <c r="P42" s="16">
        <v>-810.44380000000001</v>
      </c>
      <c r="Q42" s="19">
        <f t="shared" si="6"/>
        <v>3.5847220181643071</v>
      </c>
      <c r="R42" s="21">
        <f t="shared" si="7"/>
        <v>-1237.3937999999998</v>
      </c>
      <c r="S42" s="7">
        <f t="shared" si="8"/>
        <v>-176.77054285714283</v>
      </c>
    </row>
    <row r="43" spans="1:19" x14ac:dyDescent="0.35">
      <c r="A43" t="s">
        <v>160</v>
      </c>
      <c r="B43">
        <v>41372003</v>
      </c>
      <c r="C43" t="s">
        <v>201</v>
      </c>
      <c r="E43" s="19">
        <f t="shared" si="0"/>
        <v>-1</v>
      </c>
      <c r="G43" s="19">
        <f t="shared" si="1"/>
        <v>-1</v>
      </c>
      <c r="I43" s="19">
        <f t="shared" si="2"/>
        <v>-1</v>
      </c>
      <c r="K43" s="19">
        <f t="shared" si="3"/>
        <v>-1</v>
      </c>
      <c r="M43" s="19">
        <f t="shared" si="4"/>
        <v>-1</v>
      </c>
      <c r="N43" s="16">
        <v>-2.11</v>
      </c>
      <c r="O43" s="19">
        <f t="shared" si="5"/>
        <v>1.2772826790835365</v>
      </c>
      <c r="P43" s="16">
        <v>-4.3757999999999999</v>
      </c>
      <c r="Q43" s="19">
        <f t="shared" si="6"/>
        <v>3.7227173209164643</v>
      </c>
      <c r="R43" s="21">
        <f t="shared" si="7"/>
        <v>-6.4857999999999993</v>
      </c>
      <c r="S43" s="7">
        <f t="shared" si="8"/>
        <v>-0.926542857142857</v>
      </c>
    </row>
    <row r="44" spans="1:19" x14ac:dyDescent="0.35">
      <c r="A44" t="s">
        <v>160</v>
      </c>
      <c r="B44">
        <v>41372005</v>
      </c>
      <c r="C44" t="s">
        <v>202</v>
      </c>
      <c r="E44" s="19">
        <f t="shared" si="0"/>
        <v>-1</v>
      </c>
      <c r="G44" s="19">
        <f t="shared" si="1"/>
        <v>-1</v>
      </c>
      <c r="I44" s="19">
        <f t="shared" si="2"/>
        <v>-1</v>
      </c>
      <c r="K44" s="19">
        <f t="shared" si="3"/>
        <v>-1</v>
      </c>
      <c r="M44" s="19">
        <f t="shared" si="4"/>
        <v>-1</v>
      </c>
      <c r="N44" s="16">
        <v>-75.099999999999994</v>
      </c>
      <c r="O44" s="19">
        <f t="shared" si="5"/>
        <v>1.6113668222790272</v>
      </c>
      <c r="P44" s="16">
        <v>-126.2122</v>
      </c>
      <c r="Q44" s="19">
        <f t="shared" si="6"/>
        <v>3.3886331777209726</v>
      </c>
      <c r="R44" s="21">
        <f t="shared" si="7"/>
        <v>-201.31219999999999</v>
      </c>
      <c r="S44" s="7">
        <f t="shared" si="8"/>
        <v>-28.758885714285714</v>
      </c>
    </row>
    <row r="45" spans="1:19" x14ac:dyDescent="0.35">
      <c r="A45" t="s">
        <v>160</v>
      </c>
      <c r="B45">
        <v>41372006</v>
      </c>
      <c r="C45" t="s">
        <v>203</v>
      </c>
      <c r="E45" s="19">
        <f t="shared" si="0"/>
        <v>-1</v>
      </c>
      <c r="G45" s="19">
        <f t="shared" si="1"/>
        <v>-1</v>
      </c>
      <c r="I45" s="19">
        <f t="shared" si="2"/>
        <v>-1</v>
      </c>
      <c r="J45" s="16">
        <v>-0.86</v>
      </c>
      <c r="K45" s="19">
        <f t="shared" si="3"/>
        <v>-0.99878647328130643</v>
      </c>
      <c r="M45" s="19">
        <f t="shared" si="4"/>
        <v>-1</v>
      </c>
      <c r="N45" s="16">
        <v>-1501.68</v>
      </c>
      <c r="O45" s="19">
        <f t="shared" si="5"/>
        <v>1.1189869801484364</v>
      </c>
      <c r="P45" s="16">
        <v>-3458.2078000000001</v>
      </c>
      <c r="Q45" s="19">
        <f t="shared" si="6"/>
        <v>3.8797994931328699</v>
      </c>
      <c r="R45" s="21">
        <f t="shared" si="7"/>
        <v>-4960.7478000000001</v>
      </c>
      <c r="S45" s="7">
        <f t="shared" si="8"/>
        <v>-708.67825714285721</v>
      </c>
    </row>
    <row r="46" spans="1:19" x14ac:dyDescent="0.35">
      <c r="A46" t="s">
        <v>160</v>
      </c>
      <c r="B46">
        <v>41372103</v>
      </c>
      <c r="C46" t="s">
        <v>204</v>
      </c>
      <c r="E46" s="19">
        <f t="shared" si="0"/>
        <v>-1</v>
      </c>
      <c r="G46" s="19">
        <f t="shared" si="1"/>
        <v>-1</v>
      </c>
      <c r="I46" s="19">
        <f t="shared" si="2"/>
        <v>-1</v>
      </c>
      <c r="K46" s="19">
        <f t="shared" si="3"/>
        <v>-1</v>
      </c>
      <c r="M46" s="19">
        <f t="shared" si="4"/>
        <v>-1</v>
      </c>
      <c r="N46" s="16">
        <v>-3.3</v>
      </c>
      <c r="O46" s="19">
        <f t="shared" si="5"/>
        <v>0.29429892141756542</v>
      </c>
      <c r="P46" s="16">
        <v>-14.547499999999999</v>
      </c>
      <c r="Q46" s="19">
        <f t="shared" si="6"/>
        <v>4.7057010785824342</v>
      </c>
      <c r="R46" s="21">
        <f t="shared" si="7"/>
        <v>-17.8475</v>
      </c>
      <c r="S46" s="7">
        <f t="shared" si="8"/>
        <v>-2.5496428571428571</v>
      </c>
    </row>
    <row r="47" spans="1:19" x14ac:dyDescent="0.35">
      <c r="A47" t="s">
        <v>160</v>
      </c>
      <c r="B47">
        <v>41372503</v>
      </c>
      <c r="C47" t="s">
        <v>205</v>
      </c>
      <c r="E47" s="19">
        <f t="shared" si="0"/>
        <v>-1</v>
      </c>
      <c r="G47" s="19">
        <f t="shared" si="1"/>
        <v>-1</v>
      </c>
      <c r="I47" s="19">
        <f t="shared" si="2"/>
        <v>-1</v>
      </c>
      <c r="K47" s="19">
        <f t="shared" si="3"/>
        <v>-1</v>
      </c>
      <c r="M47" s="19">
        <f t="shared" si="4"/>
        <v>-1</v>
      </c>
      <c r="N47" s="16">
        <v>-65.11</v>
      </c>
      <c r="O47" s="19">
        <f t="shared" si="5"/>
        <v>1.534381554626802</v>
      </c>
      <c r="P47" s="16">
        <v>-114.7248</v>
      </c>
      <c r="Q47" s="19">
        <f t="shared" si="6"/>
        <v>3.465618445373198</v>
      </c>
      <c r="R47" s="21">
        <f t="shared" si="7"/>
        <v>-179.8348</v>
      </c>
      <c r="S47" s="7">
        <f t="shared" si="8"/>
        <v>-25.690685714285713</v>
      </c>
    </row>
    <row r="48" spans="1:19" x14ac:dyDescent="0.35">
      <c r="A48" t="s">
        <v>160</v>
      </c>
      <c r="B48">
        <v>41372507</v>
      </c>
      <c r="C48" t="s">
        <v>206</v>
      </c>
      <c r="E48" s="19">
        <f t="shared" si="0"/>
        <v>-1</v>
      </c>
      <c r="G48" s="19">
        <f t="shared" si="1"/>
        <v>-1</v>
      </c>
      <c r="I48" s="19">
        <f t="shared" si="2"/>
        <v>-1</v>
      </c>
      <c r="K48" s="19">
        <f t="shared" si="3"/>
        <v>-1</v>
      </c>
      <c r="M48" s="19">
        <f t="shared" si="4"/>
        <v>-1</v>
      </c>
      <c r="N48" s="16">
        <v>-552.04</v>
      </c>
      <c r="O48" s="19">
        <f t="shared" si="5"/>
        <v>0.41664005465546805</v>
      </c>
      <c r="P48" s="16">
        <v>-2175.7383</v>
      </c>
      <c r="Q48" s="19">
        <f t="shared" si="6"/>
        <v>4.5833599453445313</v>
      </c>
      <c r="R48" s="21">
        <f t="shared" si="7"/>
        <v>-2727.7782999999999</v>
      </c>
      <c r="S48" s="7">
        <f t="shared" si="8"/>
        <v>-389.68261428571429</v>
      </c>
    </row>
    <row r="49" spans="1:21" x14ac:dyDescent="0.35">
      <c r="A49" t="s">
        <v>160</v>
      </c>
      <c r="B49">
        <v>41372701</v>
      </c>
      <c r="C49" t="s">
        <v>207</v>
      </c>
      <c r="E49" s="19">
        <f t="shared" si="0"/>
        <v>-1</v>
      </c>
      <c r="G49" s="19">
        <f t="shared" si="1"/>
        <v>-1</v>
      </c>
      <c r="I49" s="19">
        <f t="shared" si="2"/>
        <v>-1</v>
      </c>
      <c r="K49" s="19">
        <f t="shared" si="3"/>
        <v>-1</v>
      </c>
      <c r="M49" s="19">
        <f t="shared" si="4"/>
        <v>-1</v>
      </c>
      <c r="N49" s="16">
        <v>-256.60000000000002</v>
      </c>
      <c r="O49" s="19">
        <f t="shared" si="5"/>
        <v>1.8798035538526634</v>
      </c>
      <c r="P49" s="16">
        <v>-367.12310000000002</v>
      </c>
      <c r="Q49" s="19">
        <f t="shared" si="6"/>
        <v>3.1201964461473373</v>
      </c>
      <c r="R49" s="21">
        <f t="shared" si="7"/>
        <v>-623.72310000000004</v>
      </c>
      <c r="S49" s="7">
        <f t="shared" si="8"/>
        <v>-89.103300000000004</v>
      </c>
    </row>
    <row r="50" spans="1:21" x14ac:dyDescent="0.35">
      <c r="A50" t="s">
        <v>160</v>
      </c>
      <c r="B50">
        <v>41373001</v>
      </c>
      <c r="C50" t="s">
        <v>208</v>
      </c>
      <c r="E50" s="19">
        <f t="shared" si="0"/>
        <v>-1</v>
      </c>
      <c r="G50" s="19">
        <f t="shared" si="1"/>
        <v>-1</v>
      </c>
      <c r="I50" s="19">
        <f t="shared" si="2"/>
        <v>-1</v>
      </c>
      <c r="K50" s="19">
        <f t="shared" si="3"/>
        <v>-1</v>
      </c>
      <c r="M50" s="19">
        <f t="shared" si="4"/>
        <v>-1</v>
      </c>
      <c r="O50" s="19">
        <f t="shared" si="5"/>
        <v>-1</v>
      </c>
      <c r="P50" s="16">
        <v>-3.2585999999999999</v>
      </c>
      <c r="Q50" s="19">
        <f t="shared" si="6"/>
        <v>6</v>
      </c>
      <c r="R50" s="21">
        <f t="shared" si="7"/>
        <v>-3.2585999999999999</v>
      </c>
      <c r="S50" s="7">
        <f t="shared" si="8"/>
        <v>-0.46551428571428571</v>
      </c>
    </row>
    <row r="51" spans="1:21" x14ac:dyDescent="0.35">
      <c r="A51" t="s">
        <v>160</v>
      </c>
      <c r="B51">
        <v>41373002</v>
      </c>
      <c r="C51" t="s">
        <v>209</v>
      </c>
      <c r="E51" s="19">
        <f t="shared" si="0"/>
        <v>-1</v>
      </c>
      <c r="G51" s="19">
        <f t="shared" si="1"/>
        <v>-1</v>
      </c>
      <c r="I51" s="19">
        <f t="shared" si="2"/>
        <v>-1</v>
      </c>
      <c r="K51" s="19">
        <f t="shared" si="3"/>
        <v>-1</v>
      </c>
      <c r="M51" s="19">
        <f t="shared" si="4"/>
        <v>-1</v>
      </c>
      <c r="O51" s="19">
        <f t="shared" si="5"/>
        <v>-1</v>
      </c>
      <c r="P51" s="16">
        <v>-45.7256</v>
      </c>
      <c r="Q51" s="19">
        <f t="shared" si="6"/>
        <v>6.0000000000000009</v>
      </c>
      <c r="R51" s="21">
        <f t="shared" si="7"/>
        <v>-45.7256</v>
      </c>
      <c r="S51" s="7">
        <f t="shared" si="8"/>
        <v>-6.5322285714285711</v>
      </c>
    </row>
    <row r="52" spans="1:21" x14ac:dyDescent="0.35">
      <c r="A52" t="s">
        <v>160</v>
      </c>
      <c r="B52">
        <v>41373003</v>
      </c>
      <c r="C52" t="s">
        <v>210</v>
      </c>
      <c r="E52" s="19">
        <f t="shared" si="0"/>
        <v>-1</v>
      </c>
      <c r="G52" s="19">
        <f t="shared" si="1"/>
        <v>-1</v>
      </c>
      <c r="I52" s="19">
        <f t="shared" si="2"/>
        <v>-1</v>
      </c>
      <c r="K52" s="19">
        <f t="shared" si="3"/>
        <v>-1</v>
      </c>
      <c r="M52" s="19">
        <f t="shared" si="4"/>
        <v>-1</v>
      </c>
      <c r="N52" s="16">
        <v>-51.7</v>
      </c>
      <c r="O52" s="19">
        <f t="shared" si="5"/>
        <v>2.3005648078987377</v>
      </c>
      <c r="P52" s="16">
        <v>-57.947899999999997</v>
      </c>
      <c r="Q52" s="19">
        <f t="shared" si="6"/>
        <v>2.6994351921012623</v>
      </c>
      <c r="R52" s="21">
        <f t="shared" si="7"/>
        <v>-109.64789999999999</v>
      </c>
      <c r="S52" s="7">
        <f t="shared" si="8"/>
        <v>-15.663985714285714</v>
      </c>
    </row>
    <row r="53" spans="1:21" x14ac:dyDescent="0.35">
      <c r="A53" t="s">
        <v>160</v>
      </c>
      <c r="B53">
        <v>41373201</v>
      </c>
      <c r="C53" t="s">
        <v>211</v>
      </c>
      <c r="E53" s="19">
        <f t="shared" si="0"/>
        <v>-1</v>
      </c>
      <c r="G53" s="19">
        <f t="shared" si="1"/>
        <v>-1</v>
      </c>
      <c r="I53" s="19">
        <f t="shared" si="2"/>
        <v>-1</v>
      </c>
      <c r="J53" s="16">
        <v>-6.9</v>
      </c>
      <c r="K53" s="19">
        <f t="shared" si="3"/>
        <v>-0.99633945230385168</v>
      </c>
      <c r="L53" s="16">
        <v>-5131.76</v>
      </c>
      <c r="M53" s="19">
        <f t="shared" si="4"/>
        <v>1.7224713398820208</v>
      </c>
      <c r="N53" s="16">
        <v>-4967.22</v>
      </c>
      <c r="O53" s="19">
        <f t="shared" si="5"/>
        <v>1.6351805401828556</v>
      </c>
      <c r="P53" s="16">
        <v>-3088.8667999999998</v>
      </c>
      <c r="Q53" s="19">
        <f t="shared" si="6"/>
        <v>0.63868757223897621</v>
      </c>
      <c r="R53" s="21">
        <f t="shared" si="7"/>
        <v>-13194.746799999999</v>
      </c>
      <c r="S53" s="7">
        <f t="shared" si="8"/>
        <v>-1884.9638285714284</v>
      </c>
    </row>
    <row r="54" spans="1:21" x14ac:dyDescent="0.35">
      <c r="A54" t="s">
        <v>160</v>
      </c>
      <c r="B54">
        <v>41650101</v>
      </c>
      <c r="C54" t="s">
        <v>212</v>
      </c>
      <c r="E54" s="19">
        <f t="shared" si="0"/>
        <v>-1</v>
      </c>
      <c r="G54" s="19">
        <f t="shared" si="1"/>
        <v>-1</v>
      </c>
      <c r="I54" s="19">
        <f t="shared" si="2"/>
        <v>-1</v>
      </c>
      <c r="J54" s="16">
        <v>-5.45</v>
      </c>
      <c r="K54" s="19">
        <f t="shared" si="3"/>
        <v>-0.31149611983396502</v>
      </c>
      <c r="L54" s="16">
        <v>-49.96</v>
      </c>
      <c r="M54" s="19">
        <f t="shared" si="4"/>
        <v>5.3114961198339641</v>
      </c>
      <c r="O54" s="19">
        <f t="shared" si="5"/>
        <v>-1</v>
      </c>
      <c r="Q54" s="19">
        <f t="shared" si="6"/>
        <v>-1</v>
      </c>
      <c r="R54" s="21">
        <f t="shared" si="7"/>
        <v>-55.410000000000004</v>
      </c>
      <c r="S54" s="7">
        <f t="shared" si="8"/>
        <v>-7.9157142857142864</v>
      </c>
    </row>
    <row r="55" spans="1:21" x14ac:dyDescent="0.35">
      <c r="A55" t="s">
        <v>160</v>
      </c>
      <c r="B55">
        <v>4170010100</v>
      </c>
      <c r="C55" t="s">
        <v>213</v>
      </c>
      <c r="E55" s="19">
        <f t="shared" si="0"/>
        <v>-1</v>
      </c>
      <c r="G55" s="19">
        <f t="shared" si="1"/>
        <v>-1</v>
      </c>
      <c r="I55" s="19">
        <f t="shared" si="2"/>
        <v>-1</v>
      </c>
      <c r="K55" s="19">
        <f t="shared" si="3"/>
        <v>-1</v>
      </c>
      <c r="M55" s="19">
        <f t="shared" si="4"/>
        <v>-1</v>
      </c>
      <c r="O55" s="19">
        <f t="shared" si="5"/>
        <v>-1</v>
      </c>
      <c r="P55" s="16">
        <v>-610.78800000000001</v>
      </c>
      <c r="Q55" s="19">
        <f t="shared" si="6"/>
        <v>6.0000000000000009</v>
      </c>
      <c r="R55" s="21">
        <f t="shared" si="7"/>
        <v>-610.78800000000001</v>
      </c>
      <c r="S55" s="7">
        <f t="shared" si="8"/>
        <v>-87.255428571428567</v>
      </c>
    </row>
    <row r="56" spans="1:21" x14ac:dyDescent="0.35">
      <c r="A56" t="s">
        <v>160</v>
      </c>
      <c r="B56">
        <v>4175010100</v>
      </c>
      <c r="C56" t="s">
        <v>214</v>
      </c>
      <c r="D56" s="16">
        <v>19.5</v>
      </c>
      <c r="E56" s="19">
        <f t="shared" si="0"/>
        <v>-0.8831583304772036</v>
      </c>
      <c r="G56" s="19">
        <f t="shared" si="1"/>
        <v>-1</v>
      </c>
      <c r="I56" s="19">
        <f t="shared" si="2"/>
        <v>-1</v>
      </c>
      <c r="J56" s="16">
        <v>40.32</v>
      </c>
      <c r="K56" s="19">
        <f t="shared" si="3"/>
        <v>-0.75840737870978725</v>
      </c>
      <c r="L56" s="16">
        <v>221</v>
      </c>
      <c r="M56" s="19">
        <f t="shared" si="4"/>
        <v>0.32420558792502563</v>
      </c>
      <c r="N56" s="16">
        <v>182</v>
      </c>
      <c r="O56" s="19">
        <f t="shared" si="5"/>
        <v>9.0522248879432846E-2</v>
      </c>
      <c r="P56" s="16">
        <v>705.42759999999998</v>
      </c>
      <c r="Q56" s="19">
        <f t="shared" si="6"/>
        <v>3.2268378723825331</v>
      </c>
      <c r="R56" s="21">
        <f t="shared" si="7"/>
        <v>1168.2475999999999</v>
      </c>
      <c r="S56" s="7">
        <f t="shared" si="8"/>
        <v>166.89251428571427</v>
      </c>
    </row>
    <row r="57" spans="1:21" x14ac:dyDescent="0.35">
      <c r="A57" t="s">
        <v>160</v>
      </c>
      <c r="B57">
        <v>4195000100</v>
      </c>
      <c r="C57" t="s">
        <v>215</v>
      </c>
      <c r="E57" s="19">
        <f t="shared" si="0"/>
        <v>-1</v>
      </c>
      <c r="G57" s="19">
        <f t="shared" si="1"/>
        <v>-1</v>
      </c>
      <c r="I57" s="19">
        <f t="shared" si="2"/>
        <v>-1</v>
      </c>
      <c r="J57" s="16">
        <v>-2001.57</v>
      </c>
      <c r="K57" s="19">
        <f t="shared" si="3"/>
        <v>3.0269635161616124</v>
      </c>
      <c r="M57" s="19">
        <f t="shared" si="4"/>
        <v>-1</v>
      </c>
      <c r="O57" s="19">
        <f t="shared" si="5"/>
        <v>-1</v>
      </c>
      <c r="P57" s="16">
        <v>-1477.7239999999999</v>
      </c>
      <c r="Q57" s="19">
        <f t="shared" si="6"/>
        <v>1.973036483838388</v>
      </c>
      <c r="R57" s="21">
        <f t="shared" si="7"/>
        <v>-3479.2939999999999</v>
      </c>
      <c r="S57" s="7">
        <f t="shared" si="8"/>
        <v>-497.04199999999997</v>
      </c>
    </row>
    <row r="58" spans="1:21" x14ac:dyDescent="0.35">
      <c r="A58" t="s">
        <v>160</v>
      </c>
      <c r="B58">
        <v>4195010100</v>
      </c>
      <c r="C58" t="s">
        <v>216</v>
      </c>
      <c r="D58" s="16">
        <v>-273005.01</v>
      </c>
      <c r="E58" s="19">
        <f t="shared" si="0"/>
        <v>-7.8208386604289581E-2</v>
      </c>
      <c r="F58" s="16">
        <v>-295101.71999999997</v>
      </c>
      <c r="G58" s="19">
        <f t="shared" si="1"/>
        <v>-3.5996387222009207E-3</v>
      </c>
      <c r="H58" s="16">
        <v>-349223.85</v>
      </c>
      <c r="I58" s="19">
        <f t="shared" si="2"/>
        <v>0.17914178984393558</v>
      </c>
      <c r="J58" s="16">
        <v>-288617.52</v>
      </c>
      <c r="K58" s="19">
        <f t="shared" si="3"/>
        <v>-2.5493307192169374E-2</v>
      </c>
      <c r="L58" s="16">
        <v>-319857.03999999998</v>
      </c>
      <c r="M58" s="19">
        <f t="shared" si="4"/>
        <v>7.998581036141518E-2</v>
      </c>
      <c r="N58" s="16">
        <v>-238456.59</v>
      </c>
      <c r="O58" s="19">
        <f t="shared" si="5"/>
        <v>-0.19485988619425182</v>
      </c>
      <c r="P58" s="16">
        <v>-308912.99</v>
      </c>
      <c r="Q58" s="19">
        <f t="shared" si="6"/>
        <v>4.3033618507561239E-2</v>
      </c>
      <c r="R58" s="21">
        <f t="shared" si="7"/>
        <v>-2073174.7199999997</v>
      </c>
      <c r="S58" s="7">
        <f t="shared" si="8"/>
        <v>-296167.81714285712</v>
      </c>
    </row>
    <row r="59" spans="1:21" x14ac:dyDescent="0.35">
      <c r="A59" t="s">
        <v>160</v>
      </c>
      <c r="B59">
        <v>4195020200</v>
      </c>
      <c r="C59" t="s">
        <v>217</v>
      </c>
      <c r="E59" s="19">
        <f t="shared" si="0"/>
        <v>-1</v>
      </c>
      <c r="F59" s="16">
        <v>-18000</v>
      </c>
      <c r="G59" s="19">
        <f t="shared" si="1"/>
        <v>5.9999999999999991</v>
      </c>
      <c r="I59" s="19">
        <f t="shared" si="2"/>
        <v>-1</v>
      </c>
      <c r="K59" s="19">
        <f t="shared" si="3"/>
        <v>-1</v>
      </c>
      <c r="M59" s="19">
        <v>0</v>
      </c>
      <c r="O59" s="19">
        <v>0</v>
      </c>
      <c r="Q59" s="19">
        <v>0</v>
      </c>
      <c r="R59" s="21">
        <f t="shared" si="7"/>
        <v>-18000</v>
      </c>
      <c r="S59" s="7">
        <f t="shared" si="8"/>
        <v>-2571.4285714285716</v>
      </c>
    </row>
    <row r="60" spans="1:21" x14ac:dyDescent="0.35">
      <c r="A60" t="s">
        <v>160</v>
      </c>
      <c r="B60">
        <v>4195050200</v>
      </c>
      <c r="C60" t="s">
        <v>218</v>
      </c>
      <c r="E60" s="19">
        <f t="shared" si="0"/>
        <v>-1</v>
      </c>
      <c r="G60" s="19">
        <f t="shared" si="1"/>
        <v>-1</v>
      </c>
      <c r="H60" s="16">
        <v>-36.21</v>
      </c>
      <c r="I60" s="19">
        <f t="shared" si="2"/>
        <v>-0.78316808814597461</v>
      </c>
      <c r="J60" s="16">
        <v>-98.28</v>
      </c>
      <c r="K60" s="19">
        <f t="shared" si="3"/>
        <v>-0.4114819028717589</v>
      </c>
      <c r="L60" s="16">
        <v>-258.62</v>
      </c>
      <c r="M60" s="19">
        <f t="shared" si="4"/>
        <v>0.54866249775443343</v>
      </c>
      <c r="N60" s="16">
        <v>-385.34</v>
      </c>
      <c r="O60" s="19">
        <f t="shared" si="5"/>
        <v>1.3074843665791251</v>
      </c>
      <c r="P60" s="16">
        <v>-390.52</v>
      </c>
      <c r="Q60" s="19">
        <f t="shared" si="6"/>
        <v>1.3385031266841749</v>
      </c>
      <c r="R60" s="21">
        <f t="shared" si="7"/>
        <v>-1168.97</v>
      </c>
      <c r="S60" s="7">
        <f t="shared" si="8"/>
        <v>-166.99571428571429</v>
      </c>
    </row>
    <row r="61" spans="1:21" x14ac:dyDescent="0.35">
      <c r="A61" t="s">
        <v>160</v>
      </c>
      <c r="B61">
        <v>4195050300</v>
      </c>
      <c r="C61" t="s">
        <v>219</v>
      </c>
      <c r="E61" s="19">
        <f t="shared" si="0"/>
        <v>-1</v>
      </c>
      <c r="F61" s="16">
        <v>-117</v>
      </c>
      <c r="G61" s="19">
        <f t="shared" si="1"/>
        <v>-0.97112436232966814</v>
      </c>
      <c r="I61" s="19">
        <f t="shared" si="2"/>
        <v>-1</v>
      </c>
      <c r="J61" s="16">
        <v>-3332</v>
      </c>
      <c r="K61" s="19">
        <f t="shared" si="3"/>
        <v>-0.17766132720046285</v>
      </c>
      <c r="M61" s="19">
        <f t="shared" si="4"/>
        <v>-1</v>
      </c>
      <c r="O61" s="19">
        <f t="shared" si="5"/>
        <v>-1</v>
      </c>
      <c r="P61" s="16">
        <v>-24914.01</v>
      </c>
      <c r="Q61" s="19">
        <f t="shared" si="6"/>
        <v>5.14878568953013</v>
      </c>
      <c r="R61" s="21">
        <f t="shared" si="7"/>
        <v>-28363.01</v>
      </c>
      <c r="S61" s="7">
        <f t="shared" si="8"/>
        <v>-4051.8585714285714</v>
      </c>
    </row>
    <row r="62" spans="1:21" s="11" customFormat="1" x14ac:dyDescent="0.35">
      <c r="A62" s="24" t="s">
        <v>160</v>
      </c>
      <c r="B62" s="24"/>
      <c r="C62" s="24"/>
      <c r="D62" s="25">
        <v>-5179318.26</v>
      </c>
      <c r="E62" s="26"/>
      <c r="F62" s="25">
        <v>-5895502.5099999998</v>
      </c>
      <c r="G62" s="26"/>
      <c r="H62" s="25">
        <v>-7637594.6600000001</v>
      </c>
      <c r="I62" s="26"/>
      <c r="J62" s="25">
        <v>-6724738.7599999998</v>
      </c>
      <c r="K62" s="26"/>
      <c r="L62" s="25">
        <v>-9855414.7200000007</v>
      </c>
      <c r="M62" s="26"/>
      <c r="N62" s="25">
        <v>-8716583.0399999991</v>
      </c>
      <c r="O62" s="26"/>
      <c r="P62" s="25">
        <v>-11678975.529999999</v>
      </c>
      <c r="Q62" s="26"/>
      <c r="R62" s="42">
        <f t="shared" si="7"/>
        <v>-55688127.479999989</v>
      </c>
      <c r="S62" s="12">
        <f t="shared" si="8"/>
        <v>-7955446.7828571415</v>
      </c>
      <c r="U62"/>
    </row>
    <row r="63" spans="1:21" x14ac:dyDescent="0.35">
      <c r="U63" s="11"/>
    </row>
  </sheetData>
  <conditionalFormatting sqref="E3:E61">
    <cfRule type="cellIs" dxfId="51" priority="4" operator="equal">
      <formula>-1</formula>
    </cfRule>
    <cfRule type="cellIs" dxfId="50" priority="5" operator="lessThan">
      <formula>-0.25</formula>
    </cfRule>
    <cfRule type="cellIs" dxfId="49" priority="6" operator="greaterThan">
      <formula>0.25</formula>
    </cfRule>
    <cfRule type="cellIs" dxfId="48" priority="23" operator="greaterThan">
      <formula>20%</formula>
    </cfRule>
    <cfRule type="cellIs" dxfId="47" priority="32" operator="equal">
      <formula>-1</formula>
    </cfRule>
    <cfRule type="cellIs" dxfId="46" priority="33" operator="lessThan">
      <formula>-5%</formula>
    </cfRule>
    <cfRule type="cellIs" dxfId="45" priority="34" operator="between">
      <formula>-0.05</formula>
      <formula>0.05</formula>
    </cfRule>
    <cfRule type="cellIs" dxfId="44" priority="35" operator="greaterThan">
      <formula>0.05</formula>
    </cfRule>
  </conditionalFormatting>
  <conditionalFormatting sqref="M3:M61 O3:O61 Q3:Q61">
    <cfRule type="cellIs" dxfId="43" priority="24" operator="equal">
      <formula>-1</formula>
    </cfRule>
    <cfRule type="cellIs" dxfId="42" priority="25" operator="lessThan">
      <formula>-5%</formula>
    </cfRule>
    <cfRule type="cellIs" dxfId="41" priority="26" operator="between">
      <formula>-0.05</formula>
      <formula>0.05</formula>
    </cfRule>
    <cfRule type="cellIs" dxfId="40" priority="27" operator="greaterThan">
      <formula>0.05</formula>
    </cfRule>
  </conditionalFormatting>
  <conditionalFormatting sqref="M3:M61 O3:O61 Q3:Q61">
    <cfRule type="cellIs" dxfId="39" priority="22" operator="greaterThan">
      <formula>0.25</formula>
    </cfRule>
  </conditionalFormatting>
  <conditionalFormatting sqref="G3:G61">
    <cfRule type="cellIs" dxfId="38" priority="17" operator="greaterThan">
      <formula>0.25</formula>
    </cfRule>
    <cfRule type="cellIs" dxfId="37" priority="18" operator="equal">
      <formula>-1</formula>
    </cfRule>
    <cfRule type="cellIs" dxfId="36" priority="19" operator="lessThan">
      <formula>-5%</formula>
    </cfRule>
    <cfRule type="cellIs" dxfId="35" priority="20" operator="between">
      <formula>-0.05</formula>
      <formula>0.05</formula>
    </cfRule>
    <cfRule type="cellIs" dxfId="34" priority="21" operator="greaterThan">
      <formula>0.05</formula>
    </cfRule>
  </conditionalFormatting>
  <conditionalFormatting sqref="I3:I61">
    <cfRule type="cellIs" dxfId="33" priority="12" operator="greaterThan">
      <formula>0.25</formula>
    </cfRule>
    <cfRule type="cellIs" dxfId="32" priority="13" operator="equal">
      <formula>-1</formula>
    </cfRule>
    <cfRule type="cellIs" dxfId="31" priority="14" operator="lessThan">
      <formula>-5%</formula>
    </cfRule>
    <cfRule type="cellIs" dxfId="30" priority="15" operator="between">
      <formula>-0.05</formula>
      <formula>0.05</formula>
    </cfRule>
    <cfRule type="cellIs" dxfId="29" priority="16" operator="greaterThan">
      <formula>0.05</formula>
    </cfRule>
  </conditionalFormatting>
  <conditionalFormatting sqref="K3:K61">
    <cfRule type="cellIs" dxfId="28" priority="7" operator="greaterThan">
      <formula>0.25</formula>
    </cfRule>
    <cfRule type="cellIs" dxfId="27" priority="8" operator="equal">
      <formula>-1</formula>
    </cfRule>
    <cfRule type="cellIs" dxfId="26" priority="9" operator="lessThan">
      <formula>-5%</formula>
    </cfRule>
    <cfRule type="cellIs" dxfId="25" priority="10" operator="between">
      <formula>-0.05</formula>
      <formula>0.05</formula>
    </cfRule>
    <cfRule type="cellIs" dxfId="24" priority="11" operator="greaterThan">
      <formula>0.05</formula>
    </cfRule>
  </conditionalFormatting>
  <conditionalFormatting sqref="G3:G61 I3:I61 K3:K61 M3:M61 O3:O61 Q3:Q61">
    <cfRule type="cellIs" dxfId="23" priority="1" operator="equal">
      <formula>-1</formula>
    </cfRule>
    <cfRule type="cellIs" dxfId="22" priority="2" operator="greaterThan">
      <formula>0.25</formula>
    </cfRule>
    <cfRule type="cellIs" dxfId="21" priority="3" operator="lessThan">
      <formula>-0.25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4F44-6C67-43A1-9AF0-66ECF7A60E11}">
  <dimension ref="A1:U55"/>
  <sheetViews>
    <sheetView topLeftCell="I1" workbookViewId="0">
      <selection activeCell="U8" sqref="U8"/>
    </sheetView>
  </sheetViews>
  <sheetFormatPr baseColWidth="10" defaultRowHeight="14.5" x14ac:dyDescent="0.35"/>
  <cols>
    <col min="1" max="1" width="17.08984375" customWidth="1"/>
    <col min="2" max="2" width="15.453125" customWidth="1"/>
    <col min="3" max="3" width="34.08984375" customWidth="1"/>
    <col min="4" max="4" width="12.453125" style="16" bestFit="1" customWidth="1"/>
    <col min="5" max="5" width="9.1796875" customWidth="1"/>
    <col min="6" max="6" width="12.453125" style="16" bestFit="1" customWidth="1"/>
    <col min="7" max="7" width="8.7265625" customWidth="1"/>
    <col min="8" max="8" width="12.453125" style="16" bestFit="1" customWidth="1"/>
    <col min="9" max="9" width="8.7265625" customWidth="1"/>
    <col min="10" max="10" width="12.453125" style="16" bestFit="1" customWidth="1"/>
    <col min="11" max="11" width="9.08984375" customWidth="1"/>
    <col min="12" max="12" width="12.453125" style="16" bestFit="1" customWidth="1"/>
    <col min="13" max="13" width="9.1796875" customWidth="1"/>
    <col min="14" max="14" width="12.453125" style="16" bestFit="1" customWidth="1"/>
    <col min="15" max="15" width="8.7265625" customWidth="1"/>
    <col min="16" max="16" width="12.453125" style="16" bestFit="1" customWidth="1"/>
    <col min="17" max="17" width="8.90625" customWidth="1"/>
    <col min="18" max="18" width="13.26953125" customWidth="1"/>
    <col min="19" max="19" width="12.453125" bestFit="1" customWidth="1"/>
    <col min="21" max="21" width="27.6328125" customWidth="1"/>
  </cols>
  <sheetData>
    <row r="1" spans="1:21" ht="15" thickBot="1" x14ac:dyDescent="0.4"/>
    <row r="2" spans="1:21" ht="15" thickBot="1" x14ac:dyDescent="0.4">
      <c r="A2" s="29" t="s">
        <v>223</v>
      </c>
      <c r="B2" s="29" t="s">
        <v>221</v>
      </c>
      <c r="C2" s="29" t="s">
        <v>222</v>
      </c>
      <c r="D2" s="27" t="s">
        <v>147</v>
      </c>
      <c r="E2" s="28" t="s">
        <v>0</v>
      </c>
      <c r="F2" s="27" t="s">
        <v>148</v>
      </c>
      <c r="G2" s="28" t="s">
        <v>0</v>
      </c>
      <c r="H2" s="27" t="s">
        <v>149</v>
      </c>
      <c r="I2" s="28" t="s">
        <v>0</v>
      </c>
      <c r="J2" s="27" t="s">
        <v>150</v>
      </c>
      <c r="K2" s="28" t="s">
        <v>0</v>
      </c>
      <c r="L2" s="27" t="s">
        <v>151</v>
      </c>
      <c r="M2" s="28" t="s">
        <v>0</v>
      </c>
      <c r="N2" s="27" t="s">
        <v>152</v>
      </c>
      <c r="O2" s="28" t="s">
        <v>0</v>
      </c>
      <c r="P2" s="27" t="s">
        <v>153</v>
      </c>
      <c r="Q2" s="28" t="s">
        <v>0</v>
      </c>
      <c r="R2" s="22" t="s">
        <v>1</v>
      </c>
      <c r="S2" s="23" t="s">
        <v>146</v>
      </c>
      <c r="U2" s="15" t="s">
        <v>225</v>
      </c>
    </row>
    <row r="3" spans="1:21" ht="15" thickBot="1" x14ac:dyDescent="0.4">
      <c r="A3" t="s">
        <v>229</v>
      </c>
      <c r="B3">
        <v>61350101</v>
      </c>
      <c r="C3" t="s">
        <v>230</v>
      </c>
      <c r="D3" s="16">
        <v>78700</v>
      </c>
      <c r="E3" s="9">
        <f>(D3-S3)/S3</f>
        <v>-0.20305872686136206</v>
      </c>
      <c r="F3" s="16">
        <v>-68756</v>
      </c>
      <c r="G3" s="9">
        <f>(F3-S3)/S3</f>
        <v>-1.6962451610663301</v>
      </c>
      <c r="H3" s="16">
        <v>122800</v>
      </c>
      <c r="I3" s="9">
        <f>(H3-S3)/S3</f>
        <v>0.24351192301683275</v>
      </c>
      <c r="J3" s="16">
        <v>94884</v>
      </c>
      <c r="K3" s="9">
        <f>(J3-S3)/S3</f>
        <v>-3.9174386779078509E-2</v>
      </c>
      <c r="L3" s="16">
        <v>194692</v>
      </c>
      <c r="M3" s="9">
        <f>(L3-S3)/S3</f>
        <v>0.9715132191856124</v>
      </c>
      <c r="N3" s="16">
        <v>162467</v>
      </c>
      <c r="O3" s="9">
        <f>(N3-S3)/S3</f>
        <v>0.6451926025796072</v>
      </c>
      <c r="P3" s="16">
        <v>106482</v>
      </c>
      <c r="Q3" s="9">
        <f>(P3-S3)/S3</f>
        <v>7.8270656243309325E-2</v>
      </c>
      <c r="R3" s="21">
        <v>691268</v>
      </c>
      <c r="S3" s="7">
        <f>R3/7</f>
        <v>98752.571428571435</v>
      </c>
      <c r="U3" s="14" t="s">
        <v>154</v>
      </c>
    </row>
    <row r="4" spans="1:21" x14ac:dyDescent="0.35">
      <c r="A4" t="s">
        <v>229</v>
      </c>
      <c r="B4">
        <v>61350102</v>
      </c>
      <c r="C4" t="s">
        <v>231</v>
      </c>
      <c r="D4" s="16">
        <v>55502</v>
      </c>
      <c r="E4" s="9">
        <f t="shared" ref="E4:E54" si="0">(D4-S4)/S4</f>
        <v>-0.16290724657041339</v>
      </c>
      <c r="F4" s="16">
        <v>106834</v>
      </c>
      <c r="G4" s="9">
        <f t="shared" ref="G4:G54" si="1">(F4-S4)/S4</f>
        <v>0.61129269611719317</v>
      </c>
      <c r="H4" s="16">
        <v>78468</v>
      </c>
      <c r="I4" s="9">
        <f t="shared" ref="I4:I54" si="2">(H4-S4)/S4</f>
        <v>0.18347076098361864</v>
      </c>
      <c r="J4" s="16">
        <v>33335</v>
      </c>
      <c r="K4" s="9">
        <f t="shared" ref="K4:K54" si="3">(J4-S4)/S4</f>
        <v>-0.49723456928443532</v>
      </c>
      <c r="L4" s="16">
        <v>60135</v>
      </c>
      <c r="M4" s="9">
        <f t="shared" ref="M4:M54" si="4">(L4-S4)/S4</f>
        <v>-9.3031373148928134E-2</v>
      </c>
      <c r="N4" s="16">
        <v>62200</v>
      </c>
      <c r="O4" s="9">
        <f t="shared" ref="O4:O54" si="5">(N4-S4)/S4</f>
        <v>-6.1886611954158642E-2</v>
      </c>
      <c r="P4" s="16">
        <v>67649</v>
      </c>
      <c r="Q4" s="9">
        <f t="shared" ref="Q4:Q54" si="6">(P4-S4)/S4</f>
        <v>2.0296343857124144E-2</v>
      </c>
      <c r="R4" s="21">
        <v>464123</v>
      </c>
      <c r="S4" s="7">
        <f t="shared" ref="S4:S54" si="7">R4/7</f>
        <v>66303.28571428571</v>
      </c>
      <c r="U4" s="36" t="s">
        <v>226</v>
      </c>
    </row>
    <row r="5" spans="1:21" x14ac:dyDescent="0.35">
      <c r="A5" t="s">
        <v>229</v>
      </c>
      <c r="B5">
        <v>61350104</v>
      </c>
      <c r="C5" t="s">
        <v>232</v>
      </c>
      <c r="D5" s="16">
        <v>54163</v>
      </c>
      <c r="E5" s="9">
        <f t="shared" si="0"/>
        <v>-0.19101744533397061</v>
      </c>
      <c r="F5" s="16">
        <v>64354</v>
      </c>
      <c r="G5" s="9">
        <f t="shared" si="1"/>
        <v>-3.8803919225713947E-2</v>
      </c>
      <c r="H5" s="16">
        <v>78357</v>
      </c>
      <c r="I5" s="9">
        <f t="shared" si="2"/>
        <v>0.17034591946469113</v>
      </c>
      <c r="J5" s="16">
        <v>56298</v>
      </c>
      <c r="K5" s="9">
        <f t="shared" si="3"/>
        <v>-0.1591289281873581</v>
      </c>
      <c r="L5" s="16">
        <v>61169</v>
      </c>
      <c r="M5" s="9">
        <f t="shared" si="4"/>
        <v>-8.6375313657545708E-2</v>
      </c>
      <c r="N5" s="16">
        <v>55911</v>
      </c>
      <c r="O5" s="9">
        <f t="shared" si="5"/>
        <v>-0.16490918867248178</v>
      </c>
      <c r="P5" s="16">
        <v>98412</v>
      </c>
      <c r="Q5" s="9">
        <f t="shared" si="6"/>
        <v>0.46988887561237902</v>
      </c>
      <c r="R5" s="21">
        <v>468664</v>
      </c>
      <c r="S5" s="7">
        <f t="shared" si="7"/>
        <v>66952</v>
      </c>
      <c r="U5" s="37" t="s">
        <v>220</v>
      </c>
    </row>
    <row r="6" spans="1:21" x14ac:dyDescent="0.35">
      <c r="A6" t="s">
        <v>229</v>
      </c>
      <c r="B6">
        <v>61350107</v>
      </c>
      <c r="C6" t="s">
        <v>233</v>
      </c>
      <c r="D6" s="16">
        <v>2</v>
      </c>
      <c r="E6" s="9">
        <f t="shared" si="0"/>
        <v>-0.73584905660377353</v>
      </c>
      <c r="F6" s="16">
        <v>6</v>
      </c>
      <c r="G6" s="9">
        <f t="shared" si="1"/>
        <v>-0.20754716981132074</v>
      </c>
      <c r="H6" s="16">
        <v>-2</v>
      </c>
      <c r="I6" s="9">
        <f t="shared" si="2"/>
        <v>-1.2641509433962264</v>
      </c>
      <c r="J6" s="16">
        <v>16</v>
      </c>
      <c r="K6" s="9">
        <f t="shared" si="3"/>
        <v>1.1132075471698113</v>
      </c>
      <c r="M6" s="9">
        <f t="shared" si="4"/>
        <v>-1</v>
      </c>
      <c r="N6" s="16">
        <v>7</v>
      </c>
      <c r="O6" s="9">
        <f t="shared" si="5"/>
        <v>-7.5471698113207517E-2</v>
      </c>
      <c r="P6" s="16">
        <v>24</v>
      </c>
      <c r="Q6" s="9">
        <f t="shared" si="6"/>
        <v>2.1698113207547172</v>
      </c>
      <c r="R6" s="21">
        <v>53</v>
      </c>
      <c r="S6" s="7">
        <f t="shared" si="7"/>
        <v>7.5714285714285712</v>
      </c>
      <c r="U6" s="39" t="s">
        <v>227</v>
      </c>
    </row>
    <row r="7" spans="1:21" x14ac:dyDescent="0.35">
      <c r="A7" t="s">
        <v>229</v>
      </c>
      <c r="B7">
        <v>61350108</v>
      </c>
      <c r="C7" t="s">
        <v>234</v>
      </c>
      <c r="D7" s="16">
        <v>94013</v>
      </c>
      <c r="E7" s="9">
        <f t="shared" si="0"/>
        <v>-3.4424322099675345E-2</v>
      </c>
      <c r="F7" s="16">
        <v>103784</v>
      </c>
      <c r="G7" s="9">
        <f t="shared" si="1"/>
        <v>6.5930309161576536E-2</v>
      </c>
      <c r="H7" s="16">
        <v>105229</v>
      </c>
      <c r="I7" s="9">
        <f t="shared" si="2"/>
        <v>8.0771414695555543E-2</v>
      </c>
      <c r="J7" s="16">
        <v>86216</v>
      </c>
      <c r="K7" s="9">
        <f t="shared" si="3"/>
        <v>-0.11450466801554689</v>
      </c>
      <c r="L7" s="16">
        <v>111545</v>
      </c>
      <c r="M7" s="9">
        <f t="shared" si="4"/>
        <v>0.14564091127175724</v>
      </c>
      <c r="N7" s="16">
        <v>93528</v>
      </c>
      <c r="O7" s="9">
        <f t="shared" si="5"/>
        <v>-3.9405592815232315E-2</v>
      </c>
      <c r="P7" s="16">
        <v>87238</v>
      </c>
      <c r="Q7" s="9">
        <f t="shared" si="6"/>
        <v>-0.10400805219843508</v>
      </c>
      <c r="R7" s="21">
        <v>681553</v>
      </c>
      <c r="S7" s="7">
        <f t="shared" si="7"/>
        <v>97364.71428571429</v>
      </c>
    </row>
    <row r="8" spans="1:21" x14ac:dyDescent="0.35">
      <c r="A8" t="s">
        <v>229</v>
      </c>
      <c r="B8">
        <v>61350110</v>
      </c>
      <c r="C8" t="s">
        <v>235</v>
      </c>
      <c r="D8" s="16">
        <v>62.19</v>
      </c>
      <c r="E8" s="9">
        <f t="shared" si="0"/>
        <v>-0.91501145987482002</v>
      </c>
      <c r="F8" s="16">
        <v>1.05</v>
      </c>
      <c r="G8" s="9">
        <f t="shared" si="1"/>
        <v>-0.99856507529938199</v>
      </c>
      <c r="H8" s="16">
        <v>27.97</v>
      </c>
      <c r="I8" s="9">
        <f t="shared" si="2"/>
        <v>-0.96177633916543992</v>
      </c>
      <c r="J8" s="16">
        <v>1428.1</v>
      </c>
      <c r="K8" s="9">
        <f t="shared" si="3"/>
        <v>0.95163425233590093</v>
      </c>
      <c r="L8" s="16">
        <v>3564.85</v>
      </c>
      <c r="M8" s="9">
        <f t="shared" si="4"/>
        <v>3.8717060180937168</v>
      </c>
      <c r="N8" s="16">
        <v>10.51</v>
      </c>
      <c r="O8" s="9">
        <f t="shared" si="5"/>
        <v>-0.98563708704428943</v>
      </c>
      <c r="P8" s="16">
        <v>27.55</v>
      </c>
      <c r="Q8" s="9">
        <f t="shared" si="6"/>
        <v>-0.9623503090456873</v>
      </c>
      <c r="R8" s="21">
        <v>5122.22</v>
      </c>
      <c r="S8" s="7">
        <f t="shared" si="7"/>
        <v>731.74571428571437</v>
      </c>
    </row>
    <row r="9" spans="1:21" x14ac:dyDescent="0.35">
      <c r="A9" t="s">
        <v>229</v>
      </c>
      <c r="B9">
        <v>61350117</v>
      </c>
      <c r="C9" t="s">
        <v>236</v>
      </c>
      <c r="D9" s="16">
        <v>43796.98</v>
      </c>
      <c r="E9" s="9">
        <f t="shared" si="0"/>
        <v>-0.61399196083458063</v>
      </c>
      <c r="F9" s="16">
        <v>75889.399999999994</v>
      </c>
      <c r="G9" s="9">
        <f t="shared" si="1"/>
        <v>-0.33114295808888722</v>
      </c>
      <c r="H9" s="16">
        <v>104346.43</v>
      </c>
      <c r="I9" s="9">
        <f t="shared" si="2"/>
        <v>-8.0334743669274025E-2</v>
      </c>
      <c r="J9" s="16">
        <v>100598.09</v>
      </c>
      <c r="K9" s="9">
        <f t="shared" si="3"/>
        <v>-0.11337102547512699</v>
      </c>
      <c r="L9" s="16">
        <v>185114.57</v>
      </c>
      <c r="M9" s="9">
        <f t="shared" si="4"/>
        <v>0.63152144706438096</v>
      </c>
      <c r="N9" s="16">
        <v>139540.13</v>
      </c>
      <c r="O9" s="9">
        <f t="shared" si="5"/>
        <v>0.22984762799142086</v>
      </c>
      <c r="P9" s="16">
        <v>144943.60999999999</v>
      </c>
      <c r="Q9" s="9">
        <f t="shared" si="6"/>
        <v>0.2774716130120673</v>
      </c>
      <c r="R9" s="21">
        <v>794229.21</v>
      </c>
      <c r="S9" s="7">
        <f t="shared" si="7"/>
        <v>113461.31571428571</v>
      </c>
    </row>
    <row r="10" spans="1:21" x14ac:dyDescent="0.35">
      <c r="A10" t="s">
        <v>229</v>
      </c>
      <c r="B10">
        <v>61350119</v>
      </c>
      <c r="C10" t="s">
        <v>237</v>
      </c>
      <c r="D10" s="16">
        <v>190263.03</v>
      </c>
      <c r="E10" s="9">
        <f t="shared" si="0"/>
        <v>-0.41327153782128556</v>
      </c>
      <c r="F10" s="16">
        <v>246375.95</v>
      </c>
      <c r="G10" s="9">
        <f t="shared" si="1"/>
        <v>-0.24023189233704603</v>
      </c>
      <c r="H10" s="16">
        <v>322901.83</v>
      </c>
      <c r="I10" s="9">
        <f t="shared" si="2"/>
        <v>-4.2432618118576028E-3</v>
      </c>
      <c r="J10" s="16">
        <v>293848.23</v>
      </c>
      <c r="K10" s="9">
        <f t="shared" si="3"/>
        <v>-9.3838040412595317E-2</v>
      </c>
      <c r="L10" s="16">
        <v>459957.02</v>
      </c>
      <c r="M10" s="9">
        <f t="shared" si="4"/>
        <v>0.41840416928556329</v>
      </c>
      <c r="N10" s="16">
        <v>299084.65999999997</v>
      </c>
      <c r="O10" s="9">
        <f t="shared" si="5"/>
        <v>-7.7690066099317112E-2</v>
      </c>
      <c r="P10" s="16">
        <v>457514.06</v>
      </c>
      <c r="Q10" s="9">
        <f t="shared" si="6"/>
        <v>0.41087062919653955</v>
      </c>
      <c r="R10" s="21">
        <v>2269944.7799999998</v>
      </c>
      <c r="S10" s="7">
        <f t="shared" si="7"/>
        <v>324277.82571428566</v>
      </c>
    </row>
    <row r="11" spans="1:21" x14ac:dyDescent="0.35">
      <c r="A11" t="s">
        <v>229</v>
      </c>
      <c r="B11">
        <v>61350120</v>
      </c>
      <c r="C11" t="s">
        <v>238</v>
      </c>
      <c r="D11" s="16">
        <v>6108.71</v>
      </c>
      <c r="E11" s="9">
        <f t="shared" si="0"/>
        <v>-0.52164485553912843</v>
      </c>
      <c r="F11" s="16">
        <v>10370.31</v>
      </c>
      <c r="G11" s="9">
        <f t="shared" si="1"/>
        <v>-0.18793147192221918</v>
      </c>
      <c r="H11" s="16">
        <v>9629.48</v>
      </c>
      <c r="I11" s="9">
        <f t="shared" si="2"/>
        <v>-0.24594369408875638</v>
      </c>
      <c r="J11" s="16">
        <v>29681.62</v>
      </c>
      <c r="K11" s="9">
        <f t="shared" si="3"/>
        <v>1.3242805146966696</v>
      </c>
      <c r="L11" s="16">
        <v>27588.17</v>
      </c>
      <c r="M11" s="9">
        <f t="shared" si="4"/>
        <v>1.1603485917257623</v>
      </c>
      <c r="N11" s="16">
        <v>2371.4299999999998</v>
      </c>
      <c r="O11" s="9">
        <f t="shared" si="5"/>
        <v>-0.81430027939960403</v>
      </c>
      <c r="P11" s="16">
        <v>3641.96</v>
      </c>
      <c r="Q11" s="9">
        <f t="shared" si="6"/>
        <v>-0.71480880547272396</v>
      </c>
      <c r="R11" s="21">
        <v>89391.679999999993</v>
      </c>
      <c r="S11" s="7">
        <f t="shared" si="7"/>
        <v>12770.24</v>
      </c>
    </row>
    <row r="12" spans="1:21" x14ac:dyDescent="0.35">
      <c r="A12" t="s">
        <v>229</v>
      </c>
      <c r="B12">
        <v>61350125</v>
      </c>
      <c r="C12" t="s">
        <v>239</v>
      </c>
      <c r="D12" s="16">
        <v>-7865.64</v>
      </c>
      <c r="E12" s="9">
        <f t="shared" si="0"/>
        <v>-1.8749454941629493</v>
      </c>
      <c r="F12" s="16">
        <v>14480.69</v>
      </c>
      <c r="G12" s="9">
        <f t="shared" si="1"/>
        <v>0.61077985616815378</v>
      </c>
      <c r="H12" s="16">
        <v>13285.3</v>
      </c>
      <c r="I12" s="9">
        <f t="shared" si="2"/>
        <v>0.47780897340877893</v>
      </c>
      <c r="J12" s="16">
        <v>9672.23</v>
      </c>
      <c r="K12" s="9">
        <f t="shared" si="3"/>
        <v>7.5904065912971025E-2</v>
      </c>
      <c r="L12" s="16">
        <v>14957.94</v>
      </c>
      <c r="M12" s="9">
        <f t="shared" si="4"/>
        <v>0.66386742909156082</v>
      </c>
      <c r="N12" s="16">
        <v>8865.06</v>
      </c>
      <c r="O12" s="9">
        <f t="shared" si="5"/>
        <v>-1.3882620805911067E-2</v>
      </c>
      <c r="P12" s="16">
        <v>9533.4599999999991</v>
      </c>
      <c r="Q12" s="9">
        <f t="shared" si="6"/>
        <v>6.0467790387394867E-2</v>
      </c>
      <c r="R12" s="21">
        <v>62929.04</v>
      </c>
      <c r="S12" s="7">
        <f t="shared" si="7"/>
        <v>8989.862857142858</v>
      </c>
    </row>
    <row r="13" spans="1:21" x14ac:dyDescent="0.35">
      <c r="A13" t="s">
        <v>229</v>
      </c>
      <c r="B13">
        <v>61350130</v>
      </c>
      <c r="C13" t="s">
        <v>240</v>
      </c>
      <c r="D13" s="16">
        <v>10862.58</v>
      </c>
      <c r="E13" s="9">
        <f t="shared" si="0"/>
        <v>-6.277312343385813E-2</v>
      </c>
      <c r="F13" s="16">
        <v>12543.31</v>
      </c>
      <c r="G13" s="9">
        <f t="shared" si="1"/>
        <v>8.2240798512034211E-2</v>
      </c>
      <c r="H13" s="16">
        <v>10364.43</v>
      </c>
      <c r="I13" s="9">
        <f t="shared" si="2"/>
        <v>-0.10575366475658469</v>
      </c>
      <c r="J13" s="16">
        <v>9000.25</v>
      </c>
      <c r="K13" s="9">
        <f t="shared" si="3"/>
        <v>-0.22345555146066418</v>
      </c>
      <c r="L13" s="16">
        <v>14903.28</v>
      </c>
      <c r="M13" s="9">
        <f t="shared" si="4"/>
        <v>0.28585976489845427</v>
      </c>
      <c r="N13" s="16">
        <v>11759.78</v>
      </c>
      <c r="O13" s="9">
        <f t="shared" si="5"/>
        <v>1.4637579516559104E-2</v>
      </c>
      <c r="P13" s="16">
        <v>11697.27</v>
      </c>
      <c r="Q13" s="9">
        <f t="shared" si="6"/>
        <v>9.244196724059555E-3</v>
      </c>
      <c r="R13" s="21">
        <v>81130.899999999994</v>
      </c>
      <c r="S13" s="7">
        <f t="shared" si="7"/>
        <v>11590.128571428571</v>
      </c>
    </row>
    <row r="14" spans="1:21" x14ac:dyDescent="0.35">
      <c r="A14" t="s">
        <v>229</v>
      </c>
      <c r="B14">
        <v>61350132</v>
      </c>
      <c r="C14" t="s">
        <v>241</v>
      </c>
      <c r="D14" s="16">
        <v>11747.53</v>
      </c>
      <c r="E14" s="9">
        <f t="shared" si="0"/>
        <v>-0.24791679451720788</v>
      </c>
      <c r="F14" s="16">
        <v>15309.78</v>
      </c>
      <c r="G14" s="9">
        <f t="shared" si="1"/>
        <v>-1.9859628565635404E-2</v>
      </c>
      <c r="H14" s="16">
        <v>16021.25</v>
      </c>
      <c r="I14" s="9">
        <f t="shared" si="2"/>
        <v>2.5689064496211774E-2</v>
      </c>
      <c r="J14" s="16">
        <v>22817.62</v>
      </c>
      <c r="K14" s="9">
        <f t="shared" si="3"/>
        <v>0.46079633685449328</v>
      </c>
      <c r="L14" s="16">
        <v>19361.39</v>
      </c>
      <c r="M14" s="9">
        <f t="shared" si="4"/>
        <v>0.23952662847445169</v>
      </c>
      <c r="N14" s="16">
        <v>9298.86</v>
      </c>
      <c r="O14" s="9">
        <f t="shared" si="5"/>
        <v>-0.40468196836818321</v>
      </c>
      <c r="P14" s="16">
        <v>14783.48</v>
      </c>
      <c r="Q14" s="9">
        <f t="shared" si="6"/>
        <v>-5.3553638374130831E-2</v>
      </c>
      <c r="R14" s="21">
        <v>109339.91</v>
      </c>
      <c r="S14" s="7">
        <f t="shared" si="7"/>
        <v>15619.987142857144</v>
      </c>
    </row>
    <row r="15" spans="1:21" x14ac:dyDescent="0.35">
      <c r="A15" t="s">
        <v>229</v>
      </c>
      <c r="B15">
        <v>61350135</v>
      </c>
      <c r="C15" t="s">
        <v>242</v>
      </c>
      <c r="D15" s="16">
        <v>13070.2</v>
      </c>
      <c r="E15" s="9">
        <f t="shared" si="0"/>
        <v>-0.44081578893487394</v>
      </c>
      <c r="F15" s="16">
        <v>29476.77</v>
      </c>
      <c r="G15" s="9">
        <f t="shared" si="1"/>
        <v>0.26110881066840402</v>
      </c>
      <c r="H15" s="16">
        <v>33763.68</v>
      </c>
      <c r="I15" s="9">
        <f t="shared" si="2"/>
        <v>0.4445162861666519</v>
      </c>
      <c r="J15" s="16">
        <v>16879.02</v>
      </c>
      <c r="K15" s="9">
        <f t="shared" si="3"/>
        <v>-0.27786250537463208</v>
      </c>
      <c r="L15" s="16">
        <v>16648.96</v>
      </c>
      <c r="M15" s="9">
        <f t="shared" si="4"/>
        <v>-0.28770519482067297</v>
      </c>
      <c r="N15" s="16">
        <v>13945.63</v>
      </c>
      <c r="O15" s="9">
        <f t="shared" si="5"/>
        <v>-0.40336214370429274</v>
      </c>
      <c r="P15" s="16">
        <v>39831.589999999997</v>
      </c>
      <c r="Q15" s="9">
        <f t="shared" si="6"/>
        <v>0.70412053599941549</v>
      </c>
      <c r="R15" s="21">
        <v>163615.85</v>
      </c>
      <c r="S15" s="7">
        <f t="shared" si="7"/>
        <v>23373.692857142858</v>
      </c>
    </row>
    <row r="16" spans="1:21" x14ac:dyDescent="0.35">
      <c r="A16" t="s">
        <v>229</v>
      </c>
      <c r="B16">
        <v>61350201</v>
      </c>
      <c r="C16" t="s">
        <v>243</v>
      </c>
      <c r="D16" s="16">
        <v>25932.080000000002</v>
      </c>
      <c r="E16" s="9">
        <f t="shared" si="0"/>
        <v>-0.4040658418478012</v>
      </c>
      <c r="F16" s="16">
        <v>23998.2</v>
      </c>
      <c r="G16" s="9">
        <f t="shared" si="1"/>
        <v>-0.44850751986851434</v>
      </c>
      <c r="H16" s="16">
        <v>41003.120000000003</v>
      </c>
      <c r="I16" s="9">
        <f t="shared" si="2"/>
        <v>-5.7724648434927507E-2</v>
      </c>
      <c r="J16" s="16">
        <v>48362.62</v>
      </c>
      <c r="K16" s="9">
        <f t="shared" si="3"/>
        <v>0.11140090712872595</v>
      </c>
      <c r="L16" s="16">
        <v>55696.38</v>
      </c>
      <c r="M16" s="9">
        <f t="shared" si="4"/>
        <v>0.2799349426434346</v>
      </c>
      <c r="N16" s="16">
        <v>45239.9</v>
      </c>
      <c r="O16" s="9">
        <f t="shared" si="5"/>
        <v>3.9639000087523135E-2</v>
      </c>
      <c r="P16" s="16">
        <v>64372.76</v>
      </c>
      <c r="Q16" s="9">
        <f t="shared" si="6"/>
        <v>0.47932316029155914</v>
      </c>
      <c r="R16" s="21">
        <v>304605.06</v>
      </c>
      <c r="S16" s="7">
        <f t="shared" si="7"/>
        <v>43515.008571428574</v>
      </c>
    </row>
    <row r="17" spans="1:19" x14ac:dyDescent="0.35">
      <c r="A17" t="s">
        <v>229</v>
      </c>
      <c r="B17">
        <v>61350203</v>
      </c>
      <c r="C17" t="s">
        <v>244</v>
      </c>
      <c r="D17" s="16">
        <v>-705.3</v>
      </c>
      <c r="E17" s="9">
        <f t="shared" si="0"/>
        <v>-8.8387818935268232</v>
      </c>
      <c r="F17" s="16">
        <v>1</v>
      </c>
      <c r="G17" s="9">
        <f t="shared" si="1"/>
        <v>-0.98888588984329107</v>
      </c>
      <c r="H17" s="16">
        <v>111.15</v>
      </c>
      <c r="I17" s="9">
        <f t="shared" si="2"/>
        <v>0.23533334391820016</v>
      </c>
      <c r="J17" s="16">
        <v>804.65</v>
      </c>
      <c r="K17" s="9">
        <f t="shared" si="3"/>
        <v>7.9429687375958586</v>
      </c>
      <c r="L17" s="16">
        <v>45.74</v>
      </c>
      <c r="M17" s="9">
        <f t="shared" si="4"/>
        <v>-0.49164060143213251</v>
      </c>
      <c r="N17" s="16">
        <v>76.069999999999993</v>
      </c>
      <c r="O17" s="9">
        <f t="shared" si="5"/>
        <v>-0.15454964037915003</v>
      </c>
      <c r="P17" s="16">
        <v>296.52</v>
      </c>
      <c r="Q17" s="9">
        <f t="shared" si="6"/>
        <v>2.2955559436673387</v>
      </c>
      <c r="R17" s="21">
        <v>629.83000000000004</v>
      </c>
      <c r="S17" s="7">
        <f t="shared" si="7"/>
        <v>89.97571428571429</v>
      </c>
    </row>
    <row r="18" spans="1:19" x14ac:dyDescent="0.35">
      <c r="A18" t="s">
        <v>229</v>
      </c>
      <c r="B18">
        <v>61350205</v>
      </c>
      <c r="C18" t="s">
        <v>245</v>
      </c>
      <c r="D18" s="16">
        <v>5.64</v>
      </c>
      <c r="E18" s="9">
        <f t="shared" si="0"/>
        <v>-0.92530931930833549</v>
      </c>
      <c r="F18" s="16">
        <v>0</v>
      </c>
      <c r="G18" s="9">
        <f t="shared" si="1"/>
        <v>-1</v>
      </c>
      <c r="H18" s="16">
        <v>6.03</v>
      </c>
      <c r="I18" s="9">
        <f t="shared" si="2"/>
        <v>-0.92014453819667785</v>
      </c>
      <c r="J18" s="16">
        <v>50.04</v>
      </c>
      <c r="K18" s="9">
        <f t="shared" si="3"/>
        <v>-0.33731885428884945</v>
      </c>
      <c r="L18" s="16">
        <v>20.54</v>
      </c>
      <c r="M18" s="9">
        <f t="shared" si="4"/>
        <v>-0.7279881947860305</v>
      </c>
      <c r="N18" s="16">
        <v>47.78</v>
      </c>
      <c r="O18" s="9">
        <f t="shared" si="5"/>
        <v>-0.36724809867948094</v>
      </c>
      <c r="P18" s="16">
        <v>398.55</v>
      </c>
      <c r="Q18" s="9">
        <f t="shared" si="6"/>
        <v>4.2780090052593742</v>
      </c>
      <c r="R18" s="21">
        <v>528.58000000000004</v>
      </c>
      <c r="S18" s="7">
        <f t="shared" si="7"/>
        <v>75.511428571428581</v>
      </c>
    </row>
    <row r="19" spans="1:19" x14ac:dyDescent="0.35">
      <c r="A19" t="s">
        <v>229</v>
      </c>
      <c r="B19">
        <v>61350207</v>
      </c>
      <c r="C19" t="s">
        <v>246</v>
      </c>
      <c r="D19" s="16">
        <v>1368.77</v>
      </c>
      <c r="E19" s="9">
        <f t="shared" si="0"/>
        <v>0.60277785677125595</v>
      </c>
      <c r="F19" s="16">
        <v>0</v>
      </c>
      <c r="G19" s="9">
        <f t="shared" si="1"/>
        <v>-1</v>
      </c>
      <c r="H19" s="16">
        <v>1178.28</v>
      </c>
      <c r="I19" s="9">
        <f t="shared" si="2"/>
        <v>0.37972127755315754</v>
      </c>
      <c r="J19" s="16">
        <v>2399.7800000000002</v>
      </c>
      <c r="K19" s="9">
        <f t="shared" si="3"/>
        <v>1.8100515390624614</v>
      </c>
      <c r="L19" s="16">
        <v>762.89</v>
      </c>
      <c r="M19" s="9">
        <f t="shared" si="4"/>
        <v>-0.10668468833169674</v>
      </c>
      <c r="N19" s="16">
        <v>18.29</v>
      </c>
      <c r="O19" s="9">
        <f t="shared" si="5"/>
        <v>-0.97858310234710999</v>
      </c>
      <c r="P19" s="16">
        <v>249.98</v>
      </c>
      <c r="Q19" s="9">
        <f t="shared" si="6"/>
        <v>-0.70728288270806738</v>
      </c>
      <c r="R19" s="21">
        <v>5977.99</v>
      </c>
      <c r="S19" s="7">
        <f t="shared" si="7"/>
        <v>853.99857142857138</v>
      </c>
    </row>
    <row r="20" spans="1:19" x14ac:dyDescent="0.35">
      <c r="A20" t="s">
        <v>229</v>
      </c>
      <c r="B20">
        <v>61350211</v>
      </c>
      <c r="C20" t="s">
        <v>247</v>
      </c>
      <c r="D20" s="16">
        <v>100312.56</v>
      </c>
      <c r="E20" s="9">
        <f t="shared" si="0"/>
        <v>-0.19454274625547119</v>
      </c>
      <c r="F20" s="16">
        <v>117421.74</v>
      </c>
      <c r="G20" s="9">
        <f t="shared" si="1"/>
        <v>-5.7165002764318906E-2</v>
      </c>
      <c r="H20" s="16">
        <v>142888.9</v>
      </c>
      <c r="I20" s="9">
        <f t="shared" si="2"/>
        <v>0.14732293727302542</v>
      </c>
      <c r="J20" s="16">
        <v>114613</v>
      </c>
      <c r="K20" s="9">
        <f t="shared" si="3"/>
        <v>-7.9717712084890646E-2</v>
      </c>
      <c r="L20" s="16">
        <v>141959.6</v>
      </c>
      <c r="M20" s="9">
        <f t="shared" si="4"/>
        <v>0.13986114559006188</v>
      </c>
      <c r="N20" s="16">
        <v>111227.95</v>
      </c>
      <c r="O20" s="9">
        <f t="shared" si="5"/>
        <v>-0.10689788849338744</v>
      </c>
      <c r="P20" s="16">
        <v>143364.19</v>
      </c>
      <c r="Q20" s="9">
        <f t="shared" si="6"/>
        <v>0.15113926673498157</v>
      </c>
      <c r="R20" s="21">
        <v>871787.94</v>
      </c>
      <c r="S20" s="7">
        <f t="shared" si="7"/>
        <v>124541.13428571427</v>
      </c>
    </row>
    <row r="21" spans="1:19" x14ac:dyDescent="0.35">
      <c r="A21" t="s">
        <v>229</v>
      </c>
      <c r="B21">
        <v>61350215</v>
      </c>
      <c r="C21" t="s">
        <v>248</v>
      </c>
      <c r="D21" s="16">
        <v>29.36</v>
      </c>
      <c r="E21" s="9">
        <f t="shared" si="0"/>
        <v>-0.91846321084829674</v>
      </c>
      <c r="F21" s="16">
        <v>0</v>
      </c>
      <c r="G21" s="9">
        <f t="shared" si="1"/>
        <v>-1</v>
      </c>
      <c r="H21" s="16">
        <v>-52.05</v>
      </c>
      <c r="I21" s="9">
        <f t="shared" si="2"/>
        <v>-1.1445500638741877</v>
      </c>
      <c r="J21" s="16">
        <v>951.21</v>
      </c>
      <c r="K21" s="9">
        <f t="shared" si="3"/>
        <v>1.6416420030310486</v>
      </c>
      <c r="L21" s="16">
        <v>-4.2</v>
      </c>
      <c r="M21" s="9">
        <f t="shared" si="4"/>
        <v>-1.011663982099358</v>
      </c>
      <c r="N21" s="16">
        <v>58.72</v>
      </c>
      <c r="O21" s="9">
        <f t="shared" si="5"/>
        <v>-0.8369264216965937</v>
      </c>
      <c r="P21" s="16">
        <v>1537.54</v>
      </c>
      <c r="Q21" s="9">
        <f t="shared" si="6"/>
        <v>3.2699616754873881</v>
      </c>
      <c r="R21" s="21">
        <v>2520.58</v>
      </c>
      <c r="S21" s="7">
        <f t="shared" si="7"/>
        <v>360.08285714285711</v>
      </c>
    </row>
    <row r="22" spans="1:19" x14ac:dyDescent="0.35">
      <c r="A22" t="s">
        <v>229</v>
      </c>
      <c r="B22">
        <v>61350218</v>
      </c>
      <c r="C22" t="s">
        <v>249</v>
      </c>
      <c r="D22" s="16">
        <v>112.98</v>
      </c>
      <c r="E22" s="9">
        <f t="shared" si="0"/>
        <v>-0.21079732561620604</v>
      </c>
      <c r="F22" s="16">
        <v>0</v>
      </c>
      <c r="G22" s="9">
        <f t="shared" si="1"/>
        <v>-1</v>
      </c>
      <c r="H22" s="16">
        <v>-196.29</v>
      </c>
      <c r="I22" s="9">
        <f t="shared" si="2"/>
        <v>-2.3711505837740741</v>
      </c>
      <c r="J22" s="16">
        <v>132.31</v>
      </c>
      <c r="K22" s="9">
        <f t="shared" si="3"/>
        <v>-7.5770881149585953E-2</v>
      </c>
      <c r="L22" s="16">
        <v>89.61</v>
      </c>
      <c r="M22" s="9">
        <f t="shared" si="4"/>
        <v>-0.37404450653627391</v>
      </c>
      <c r="N22" s="16">
        <v>600.12</v>
      </c>
      <c r="O22" s="9">
        <f t="shared" si="5"/>
        <v>3.1920367228819475</v>
      </c>
      <c r="P22" s="16">
        <v>263.37</v>
      </c>
      <c r="Q22" s="9">
        <f t="shared" si="6"/>
        <v>0.83972657419419205</v>
      </c>
      <c r="R22" s="21">
        <v>1002.1</v>
      </c>
      <c r="S22" s="7">
        <f t="shared" si="7"/>
        <v>143.15714285714287</v>
      </c>
    </row>
    <row r="23" spans="1:19" x14ac:dyDescent="0.35">
      <c r="A23" t="s">
        <v>229</v>
      </c>
      <c r="B23">
        <v>61350401</v>
      </c>
      <c r="C23" t="s">
        <v>250</v>
      </c>
      <c r="D23" s="16">
        <v>1914009.9</v>
      </c>
      <c r="E23" s="9">
        <f t="shared" si="0"/>
        <v>-0.39199589057058143</v>
      </c>
      <c r="F23" s="16">
        <v>2074717.77</v>
      </c>
      <c r="G23" s="9">
        <f t="shared" si="1"/>
        <v>-0.34094545171044344</v>
      </c>
      <c r="H23" s="16">
        <v>2764126.8</v>
      </c>
      <c r="I23" s="9">
        <f t="shared" si="2"/>
        <v>-0.12194787843887929</v>
      </c>
      <c r="J23" s="16">
        <v>2543652.77</v>
      </c>
      <c r="K23" s="9">
        <f t="shared" si="3"/>
        <v>-0.19198362708493633</v>
      </c>
      <c r="L23" s="16">
        <v>3887687.51</v>
      </c>
      <c r="M23" s="9">
        <f t="shared" si="4"/>
        <v>0.23496225503192211</v>
      </c>
      <c r="N23" s="16">
        <v>3459571.91</v>
      </c>
      <c r="O23" s="9">
        <f t="shared" si="5"/>
        <v>9.8967115136960757E-2</v>
      </c>
      <c r="P23" s="16">
        <v>5392382.5899999999</v>
      </c>
      <c r="Q23" s="9">
        <f t="shared" si="6"/>
        <v>0.71294347763595767</v>
      </c>
      <c r="R23" s="21">
        <v>22036149.25</v>
      </c>
      <c r="S23" s="7">
        <f t="shared" si="7"/>
        <v>3148021.3214285714</v>
      </c>
    </row>
    <row r="24" spans="1:19" x14ac:dyDescent="0.35">
      <c r="A24" t="s">
        <v>229</v>
      </c>
      <c r="B24">
        <v>61350405</v>
      </c>
      <c r="C24" t="s">
        <v>251</v>
      </c>
      <c r="D24" s="16">
        <v>23338.28</v>
      </c>
      <c r="E24" s="9">
        <f t="shared" si="0"/>
        <v>-0.30954627067704837</v>
      </c>
      <c r="F24" s="16">
        <v>35129.49</v>
      </c>
      <c r="G24" s="9">
        <f t="shared" si="1"/>
        <v>3.9291986372317719E-2</v>
      </c>
      <c r="H24" s="16">
        <v>27145.61</v>
      </c>
      <c r="I24" s="9">
        <f t="shared" si="2"/>
        <v>-0.19690792726600204</v>
      </c>
      <c r="J24" s="16">
        <v>19444.080000000002</v>
      </c>
      <c r="K24" s="9">
        <f t="shared" si="3"/>
        <v>-0.424754628479313</v>
      </c>
      <c r="L24" s="16">
        <v>38404.959999999999</v>
      </c>
      <c r="M24" s="9">
        <f t="shared" si="4"/>
        <v>0.13619546326887777</v>
      </c>
      <c r="N24" s="16">
        <v>45621.57</v>
      </c>
      <c r="O24" s="9">
        <f t="shared" si="5"/>
        <v>0.34969599919394623</v>
      </c>
      <c r="P24" s="16">
        <v>47525.58</v>
      </c>
      <c r="Q24" s="9">
        <f t="shared" si="6"/>
        <v>0.4060253775872209</v>
      </c>
      <c r="R24" s="21">
        <v>236609.57</v>
      </c>
      <c r="S24" s="7">
        <f t="shared" si="7"/>
        <v>33801.367142857147</v>
      </c>
    </row>
    <row r="25" spans="1:19" x14ac:dyDescent="0.35">
      <c r="A25" t="s">
        <v>229</v>
      </c>
      <c r="B25">
        <v>61350803</v>
      </c>
      <c r="C25" t="s">
        <v>252</v>
      </c>
      <c r="D25" s="16">
        <v>4194.1000000000004</v>
      </c>
      <c r="E25" s="9">
        <f t="shared" si="0"/>
        <v>-0.50129353470461024</v>
      </c>
      <c r="F25" s="16">
        <v>7108.29</v>
      </c>
      <c r="G25" s="9">
        <f t="shared" si="1"/>
        <v>-0.15477690560678911</v>
      </c>
      <c r="H25" s="16">
        <v>8488.48</v>
      </c>
      <c r="I25" s="9">
        <f t="shared" si="2"/>
        <v>9.3368914738822407E-3</v>
      </c>
      <c r="J25" s="16">
        <v>9580.39</v>
      </c>
      <c r="K25" s="9">
        <f t="shared" si="3"/>
        <v>0.1391722736823868</v>
      </c>
      <c r="L25" s="16">
        <v>7976.26</v>
      </c>
      <c r="M25" s="9">
        <f t="shared" si="4"/>
        <v>-5.1569483112704678E-2</v>
      </c>
      <c r="N25" s="16">
        <v>9142.4699999999993</v>
      </c>
      <c r="O25" s="9">
        <f t="shared" si="5"/>
        <v>8.7100664688286242E-2</v>
      </c>
      <c r="P25" s="16">
        <v>12379.71</v>
      </c>
      <c r="Q25" s="9">
        <f t="shared" si="6"/>
        <v>0.4720300935795495</v>
      </c>
      <c r="R25" s="21">
        <v>58869.7</v>
      </c>
      <c r="S25" s="7">
        <f t="shared" si="7"/>
        <v>8409.9571428571417</v>
      </c>
    </row>
    <row r="26" spans="1:19" x14ac:dyDescent="0.35">
      <c r="A26" t="s">
        <v>229</v>
      </c>
      <c r="B26">
        <v>61352001</v>
      </c>
      <c r="C26" t="s">
        <v>253</v>
      </c>
      <c r="D26" s="16">
        <v>3655.08</v>
      </c>
      <c r="E26" s="9">
        <f t="shared" si="0"/>
        <v>-0.68065010402203563</v>
      </c>
      <c r="F26" s="16">
        <v>2865.81</v>
      </c>
      <c r="G26" s="9">
        <f t="shared" si="1"/>
        <v>-0.74960982375416951</v>
      </c>
      <c r="H26" s="16">
        <v>6475.39</v>
      </c>
      <c r="I26" s="9">
        <f t="shared" si="2"/>
        <v>-0.4342353319443758</v>
      </c>
      <c r="J26" s="16">
        <v>10225.61</v>
      </c>
      <c r="K26" s="9">
        <f t="shared" si="3"/>
        <v>-0.10657290953652654</v>
      </c>
      <c r="L26" s="16">
        <v>13302.61</v>
      </c>
      <c r="M26" s="9">
        <f t="shared" si="4"/>
        <v>0.1622692580560286</v>
      </c>
      <c r="N26" s="16">
        <v>13421.36</v>
      </c>
      <c r="O26" s="9">
        <f t="shared" si="5"/>
        <v>0.17264462607735323</v>
      </c>
      <c r="P26" s="16">
        <v>30171.78</v>
      </c>
      <c r="Q26" s="9">
        <f t="shared" si="6"/>
        <v>1.6361542851237254</v>
      </c>
      <c r="R26" s="21">
        <v>80117.64</v>
      </c>
      <c r="S26" s="7">
        <f t="shared" si="7"/>
        <v>11445.377142857144</v>
      </c>
    </row>
    <row r="27" spans="1:19" x14ac:dyDescent="0.35">
      <c r="A27" t="s">
        <v>229</v>
      </c>
      <c r="B27">
        <v>61353006</v>
      </c>
      <c r="C27" t="s">
        <v>254</v>
      </c>
      <c r="E27" s="9">
        <f t="shared" si="0"/>
        <v>-1</v>
      </c>
      <c r="G27" s="9">
        <f t="shared" si="1"/>
        <v>-1</v>
      </c>
      <c r="I27" s="9">
        <f t="shared" si="2"/>
        <v>-1</v>
      </c>
      <c r="K27" s="9">
        <f t="shared" si="3"/>
        <v>-1</v>
      </c>
      <c r="M27" s="9">
        <f t="shared" si="4"/>
        <v>-1</v>
      </c>
      <c r="O27" s="9">
        <f t="shared" si="5"/>
        <v>-1</v>
      </c>
      <c r="P27" s="16">
        <v>111.58</v>
      </c>
      <c r="Q27" s="9">
        <f t="shared" si="6"/>
        <v>6</v>
      </c>
      <c r="R27" s="21">
        <v>111.58</v>
      </c>
      <c r="S27" s="7">
        <f t="shared" si="7"/>
        <v>15.94</v>
      </c>
    </row>
    <row r="28" spans="1:19" x14ac:dyDescent="0.35">
      <c r="A28" t="s">
        <v>229</v>
      </c>
      <c r="B28">
        <v>61353008</v>
      </c>
      <c r="C28" t="s">
        <v>255</v>
      </c>
      <c r="E28" s="9">
        <f t="shared" si="0"/>
        <v>-1</v>
      </c>
      <c r="G28" s="9">
        <f t="shared" si="1"/>
        <v>-1</v>
      </c>
      <c r="I28" s="9">
        <f t="shared" si="2"/>
        <v>-1</v>
      </c>
      <c r="K28" s="9">
        <f t="shared" si="3"/>
        <v>-1</v>
      </c>
      <c r="M28" s="9">
        <f t="shared" si="4"/>
        <v>-1</v>
      </c>
      <c r="O28" s="9">
        <f t="shared" si="5"/>
        <v>-1</v>
      </c>
      <c r="P28" s="16">
        <v>5</v>
      </c>
      <c r="Q28" s="9">
        <f t="shared" si="6"/>
        <v>6</v>
      </c>
      <c r="R28" s="21">
        <v>5</v>
      </c>
      <c r="S28" s="7">
        <f t="shared" si="7"/>
        <v>0.7142857142857143</v>
      </c>
    </row>
    <row r="29" spans="1:19" x14ac:dyDescent="0.35">
      <c r="A29" t="s">
        <v>229</v>
      </c>
      <c r="B29">
        <v>61353010</v>
      </c>
      <c r="C29" t="s">
        <v>256</v>
      </c>
      <c r="E29" s="9">
        <f t="shared" si="0"/>
        <v>-1</v>
      </c>
      <c r="G29" s="9">
        <f t="shared" si="1"/>
        <v>-1</v>
      </c>
      <c r="I29" s="9">
        <f t="shared" si="2"/>
        <v>-1</v>
      </c>
      <c r="K29" s="9">
        <f t="shared" si="3"/>
        <v>-1</v>
      </c>
      <c r="M29" s="9">
        <f t="shared" si="4"/>
        <v>-1</v>
      </c>
      <c r="O29" s="9">
        <f t="shared" si="5"/>
        <v>-1</v>
      </c>
      <c r="P29" s="16">
        <v>19.14</v>
      </c>
      <c r="Q29" s="9">
        <f t="shared" si="6"/>
        <v>6</v>
      </c>
      <c r="R29" s="21">
        <v>19.14</v>
      </c>
      <c r="S29" s="7">
        <f t="shared" si="7"/>
        <v>2.7342857142857144</v>
      </c>
    </row>
    <row r="30" spans="1:19" x14ac:dyDescent="0.35">
      <c r="A30" t="s">
        <v>229</v>
      </c>
      <c r="B30">
        <v>61370501</v>
      </c>
      <c r="C30" t="s">
        <v>257</v>
      </c>
      <c r="E30" s="9">
        <f t="shared" si="0"/>
        <v>-1</v>
      </c>
      <c r="G30" s="9">
        <f t="shared" si="1"/>
        <v>-1</v>
      </c>
      <c r="I30" s="9">
        <f t="shared" si="2"/>
        <v>-1</v>
      </c>
      <c r="J30" s="16">
        <v>94.5</v>
      </c>
      <c r="K30" s="9">
        <f t="shared" si="3"/>
        <v>4.628350208457416</v>
      </c>
      <c r="M30" s="9">
        <f t="shared" si="4"/>
        <v>-1</v>
      </c>
      <c r="N30" s="16">
        <v>0.52</v>
      </c>
      <c r="O30" s="9">
        <f t="shared" si="5"/>
        <v>-0.969029184038118</v>
      </c>
      <c r="P30" s="16">
        <v>22.51</v>
      </c>
      <c r="Q30" s="9">
        <f t="shared" si="6"/>
        <v>0.34067897558070298</v>
      </c>
      <c r="R30" s="21">
        <v>117.53</v>
      </c>
      <c r="S30" s="7">
        <f t="shared" si="7"/>
        <v>16.79</v>
      </c>
    </row>
    <row r="31" spans="1:19" x14ac:dyDescent="0.35">
      <c r="A31" t="s">
        <v>229</v>
      </c>
      <c r="B31">
        <v>61370503</v>
      </c>
      <c r="C31" t="s">
        <v>258</v>
      </c>
      <c r="E31" s="9">
        <f t="shared" si="0"/>
        <v>-1</v>
      </c>
      <c r="G31" s="9">
        <f t="shared" si="1"/>
        <v>-1</v>
      </c>
      <c r="I31" s="9">
        <f t="shared" si="2"/>
        <v>-1</v>
      </c>
      <c r="K31" s="9">
        <f t="shared" si="3"/>
        <v>-1</v>
      </c>
      <c r="M31" s="9">
        <f t="shared" si="4"/>
        <v>-1</v>
      </c>
      <c r="N31" s="16">
        <v>21.05</v>
      </c>
      <c r="O31" s="9">
        <f t="shared" si="5"/>
        <v>1.4407818452873946</v>
      </c>
      <c r="P31" s="16">
        <v>39.32</v>
      </c>
      <c r="Q31" s="9">
        <f t="shared" si="6"/>
        <v>3.5592181547126063</v>
      </c>
      <c r="R31" s="21">
        <v>60.37</v>
      </c>
      <c r="S31" s="7">
        <f t="shared" si="7"/>
        <v>8.6242857142857137</v>
      </c>
    </row>
    <row r="32" spans="1:19" x14ac:dyDescent="0.35">
      <c r="A32" t="s">
        <v>229</v>
      </c>
      <c r="B32">
        <v>61370504</v>
      </c>
      <c r="C32" t="s">
        <v>259</v>
      </c>
      <c r="E32" s="9">
        <f t="shared" si="0"/>
        <v>-1</v>
      </c>
      <c r="G32" s="9">
        <f t="shared" si="1"/>
        <v>-1</v>
      </c>
      <c r="I32" s="9">
        <f t="shared" si="2"/>
        <v>-1</v>
      </c>
      <c r="K32" s="9">
        <f t="shared" si="3"/>
        <v>-1</v>
      </c>
      <c r="M32" s="9">
        <f t="shared" si="4"/>
        <v>-1</v>
      </c>
      <c r="N32" s="16">
        <v>21.24</v>
      </c>
      <c r="O32" s="9">
        <f t="shared" si="5"/>
        <v>2.4991762767710046</v>
      </c>
      <c r="P32" s="16">
        <v>21.25</v>
      </c>
      <c r="Q32" s="9">
        <f t="shared" si="6"/>
        <v>2.5008237232289949</v>
      </c>
      <c r="R32" s="21">
        <v>42.49</v>
      </c>
      <c r="S32" s="7">
        <f t="shared" si="7"/>
        <v>6.07</v>
      </c>
    </row>
    <row r="33" spans="1:19" x14ac:dyDescent="0.35">
      <c r="A33" t="s">
        <v>229</v>
      </c>
      <c r="B33">
        <v>61370505</v>
      </c>
      <c r="C33" t="s">
        <v>260</v>
      </c>
      <c r="E33" s="9">
        <f t="shared" si="0"/>
        <v>-1</v>
      </c>
      <c r="G33" s="9">
        <f t="shared" si="1"/>
        <v>-1</v>
      </c>
      <c r="I33" s="9">
        <f t="shared" si="2"/>
        <v>-1</v>
      </c>
      <c r="K33" s="9">
        <f t="shared" si="3"/>
        <v>-1</v>
      </c>
      <c r="M33" s="9">
        <f t="shared" si="4"/>
        <v>-1</v>
      </c>
      <c r="N33" s="16">
        <v>4.4000000000000004</v>
      </c>
      <c r="O33" s="9">
        <f t="shared" si="5"/>
        <v>3</v>
      </c>
      <c r="P33" s="16">
        <v>3.3</v>
      </c>
      <c r="Q33" s="9">
        <f t="shared" si="6"/>
        <v>1.9999999999999996</v>
      </c>
      <c r="R33" s="21">
        <v>7.7</v>
      </c>
      <c r="S33" s="7">
        <f t="shared" si="7"/>
        <v>1.1000000000000001</v>
      </c>
    </row>
    <row r="34" spans="1:19" x14ac:dyDescent="0.35">
      <c r="A34" t="s">
        <v>229</v>
      </c>
      <c r="B34">
        <v>61370507</v>
      </c>
      <c r="C34" t="s">
        <v>261</v>
      </c>
      <c r="E34" s="9">
        <f t="shared" si="0"/>
        <v>-1</v>
      </c>
      <c r="G34" s="9">
        <f t="shared" si="1"/>
        <v>-1</v>
      </c>
      <c r="I34" s="9">
        <f t="shared" si="2"/>
        <v>-1</v>
      </c>
      <c r="K34" s="9">
        <f t="shared" si="3"/>
        <v>-1</v>
      </c>
      <c r="M34" s="9">
        <f t="shared" si="4"/>
        <v>-1</v>
      </c>
      <c r="N34" s="16">
        <v>19.04</v>
      </c>
      <c r="O34" s="9">
        <f t="shared" si="5"/>
        <v>3.565947242206235</v>
      </c>
      <c r="P34" s="16">
        <v>10.15</v>
      </c>
      <c r="Q34" s="9">
        <f t="shared" si="6"/>
        <v>1.4340527577937652</v>
      </c>
      <c r="R34" s="21">
        <v>29.19</v>
      </c>
      <c r="S34" s="7">
        <f t="shared" si="7"/>
        <v>4.17</v>
      </c>
    </row>
    <row r="35" spans="1:19" x14ac:dyDescent="0.35">
      <c r="A35" t="s">
        <v>229</v>
      </c>
      <c r="B35">
        <v>61370510</v>
      </c>
      <c r="C35" t="s">
        <v>262</v>
      </c>
      <c r="E35" s="9">
        <f t="shared" si="0"/>
        <v>-1</v>
      </c>
      <c r="G35" s="9">
        <f t="shared" si="1"/>
        <v>-1</v>
      </c>
      <c r="I35" s="9">
        <f t="shared" si="2"/>
        <v>-1</v>
      </c>
      <c r="K35" s="9">
        <f t="shared" si="3"/>
        <v>-1</v>
      </c>
      <c r="L35" s="16">
        <v>6.5</v>
      </c>
      <c r="M35" s="9">
        <f t="shared" si="4"/>
        <v>5.0666666666666673</v>
      </c>
      <c r="O35" s="9">
        <f t="shared" si="5"/>
        <v>-1</v>
      </c>
      <c r="P35" s="16">
        <v>1</v>
      </c>
      <c r="Q35" s="9">
        <f t="shared" si="6"/>
        <v>-6.6666666666666638E-2</v>
      </c>
      <c r="R35" s="21">
        <v>7.5</v>
      </c>
      <c r="S35" s="7">
        <f t="shared" si="7"/>
        <v>1.0714285714285714</v>
      </c>
    </row>
    <row r="36" spans="1:19" x14ac:dyDescent="0.35">
      <c r="A36" t="s">
        <v>229</v>
      </c>
      <c r="B36">
        <v>61370511</v>
      </c>
      <c r="C36" t="s">
        <v>263</v>
      </c>
      <c r="E36" s="9">
        <f t="shared" si="0"/>
        <v>-1</v>
      </c>
      <c r="G36" s="9">
        <f t="shared" si="1"/>
        <v>-1</v>
      </c>
      <c r="I36" s="9">
        <f t="shared" si="2"/>
        <v>-1</v>
      </c>
      <c r="K36" s="9">
        <f t="shared" si="3"/>
        <v>-1</v>
      </c>
      <c r="M36" s="9">
        <f t="shared" si="4"/>
        <v>-1</v>
      </c>
      <c r="N36" s="16">
        <v>19.850000000000001</v>
      </c>
      <c r="O36" s="9">
        <f t="shared" si="5"/>
        <v>0.36573619028897203</v>
      </c>
      <c r="P36" s="16">
        <v>81.89</v>
      </c>
      <c r="Q36" s="9">
        <f t="shared" si="6"/>
        <v>4.6342638097110278</v>
      </c>
      <c r="R36" s="21">
        <v>101.74</v>
      </c>
      <c r="S36" s="7">
        <f t="shared" si="7"/>
        <v>14.534285714285714</v>
      </c>
    </row>
    <row r="37" spans="1:19" x14ac:dyDescent="0.35">
      <c r="A37" t="s">
        <v>229</v>
      </c>
      <c r="B37">
        <v>61370703</v>
      </c>
      <c r="C37" t="s">
        <v>264</v>
      </c>
      <c r="E37" s="9">
        <f t="shared" si="0"/>
        <v>-1</v>
      </c>
      <c r="G37" s="9">
        <f t="shared" si="1"/>
        <v>-1</v>
      </c>
      <c r="I37" s="9">
        <f t="shared" si="2"/>
        <v>-1</v>
      </c>
      <c r="K37" s="9">
        <f t="shared" si="3"/>
        <v>-1</v>
      </c>
      <c r="M37" s="9">
        <f t="shared" si="4"/>
        <v>-1</v>
      </c>
      <c r="N37" s="16">
        <v>3.83</v>
      </c>
      <c r="O37" s="9">
        <f t="shared" si="5"/>
        <v>-5.5653399084184631E-2</v>
      </c>
      <c r="P37" s="16">
        <v>24.56</v>
      </c>
      <c r="Q37" s="9">
        <f t="shared" si="6"/>
        <v>5.0556533990841839</v>
      </c>
      <c r="R37" s="21">
        <v>28.39</v>
      </c>
      <c r="S37" s="7">
        <f t="shared" si="7"/>
        <v>4.055714285714286</v>
      </c>
    </row>
    <row r="38" spans="1:19" x14ac:dyDescent="0.35">
      <c r="A38" t="s">
        <v>229</v>
      </c>
      <c r="B38">
        <v>61370704</v>
      </c>
      <c r="C38" t="s">
        <v>265</v>
      </c>
      <c r="E38" s="9">
        <f t="shared" si="0"/>
        <v>-1</v>
      </c>
      <c r="G38" s="9">
        <f t="shared" si="1"/>
        <v>-1</v>
      </c>
      <c r="I38" s="9">
        <f t="shared" si="2"/>
        <v>-1</v>
      </c>
      <c r="K38" s="9">
        <f t="shared" si="3"/>
        <v>-1</v>
      </c>
      <c r="M38" s="9">
        <f t="shared" si="4"/>
        <v>-1</v>
      </c>
      <c r="N38" s="16">
        <v>2.6</v>
      </c>
      <c r="O38" s="9">
        <f t="shared" si="5"/>
        <v>0.5555555555555558</v>
      </c>
      <c r="P38" s="16">
        <v>9.1</v>
      </c>
      <c r="Q38" s="9">
        <f t="shared" si="6"/>
        <v>4.4444444444444446</v>
      </c>
      <c r="R38" s="21">
        <v>11.7</v>
      </c>
      <c r="S38" s="7">
        <f t="shared" si="7"/>
        <v>1.6714285714285713</v>
      </c>
    </row>
    <row r="39" spans="1:19" x14ac:dyDescent="0.35">
      <c r="A39" t="s">
        <v>229</v>
      </c>
      <c r="B39">
        <v>61370706</v>
      </c>
      <c r="C39" t="s">
        <v>266</v>
      </c>
      <c r="E39" s="9">
        <f t="shared" si="0"/>
        <v>-1</v>
      </c>
      <c r="G39" s="9">
        <f t="shared" si="1"/>
        <v>-1</v>
      </c>
      <c r="I39" s="9">
        <f t="shared" si="2"/>
        <v>-1</v>
      </c>
      <c r="J39" s="16">
        <v>0.11</v>
      </c>
      <c r="K39" s="9">
        <f t="shared" si="3"/>
        <v>-0.99931505630770867</v>
      </c>
      <c r="L39" s="16">
        <v>-0.11</v>
      </c>
      <c r="M39" s="9">
        <f t="shared" si="4"/>
        <v>-1.0006849436922913</v>
      </c>
      <c r="N39" s="16">
        <v>291.39999999999998</v>
      </c>
      <c r="O39" s="9">
        <f t="shared" si="5"/>
        <v>0.81447810848796431</v>
      </c>
      <c r="P39" s="16">
        <v>832.78</v>
      </c>
      <c r="Q39" s="9">
        <f t="shared" si="6"/>
        <v>4.1855218915120345</v>
      </c>
      <c r="R39" s="21">
        <v>1124.18</v>
      </c>
      <c r="S39" s="7">
        <f t="shared" si="7"/>
        <v>160.59714285714287</v>
      </c>
    </row>
    <row r="40" spans="1:19" x14ac:dyDescent="0.35">
      <c r="A40" t="s">
        <v>229</v>
      </c>
      <c r="B40">
        <v>61370901</v>
      </c>
      <c r="C40" t="s">
        <v>267</v>
      </c>
      <c r="E40" s="9">
        <f t="shared" si="0"/>
        <v>-1</v>
      </c>
      <c r="G40" s="9">
        <f t="shared" si="1"/>
        <v>-1</v>
      </c>
      <c r="I40" s="9">
        <f t="shared" si="2"/>
        <v>-1</v>
      </c>
      <c r="K40" s="9">
        <f t="shared" si="3"/>
        <v>-1</v>
      </c>
      <c r="L40" s="16">
        <v>1.31</v>
      </c>
      <c r="M40" s="9">
        <f t="shared" si="4"/>
        <v>-0.94902440380232367</v>
      </c>
      <c r="N40" s="16">
        <v>34.79</v>
      </c>
      <c r="O40" s="9">
        <f t="shared" si="5"/>
        <v>0.35377174940241263</v>
      </c>
      <c r="P40" s="16">
        <v>143.79</v>
      </c>
      <c r="Q40" s="9">
        <f t="shared" si="6"/>
        <v>4.5952526543999115</v>
      </c>
      <c r="R40" s="21">
        <v>179.89</v>
      </c>
      <c r="S40" s="7">
        <f t="shared" si="7"/>
        <v>25.698571428571427</v>
      </c>
    </row>
    <row r="41" spans="1:19" x14ac:dyDescent="0.35">
      <c r="A41" t="s">
        <v>229</v>
      </c>
      <c r="B41">
        <v>61370902</v>
      </c>
      <c r="C41" t="s">
        <v>268</v>
      </c>
      <c r="E41" s="9">
        <f t="shared" si="0"/>
        <v>-1</v>
      </c>
      <c r="G41" s="9">
        <f t="shared" si="1"/>
        <v>-1</v>
      </c>
      <c r="I41" s="9">
        <f t="shared" si="2"/>
        <v>-1</v>
      </c>
      <c r="K41" s="9">
        <f t="shared" si="3"/>
        <v>-1</v>
      </c>
      <c r="M41" s="9">
        <f t="shared" si="4"/>
        <v>-1</v>
      </c>
      <c r="N41" s="16">
        <v>80.319999999999993</v>
      </c>
      <c r="O41" s="9">
        <f t="shared" si="5"/>
        <v>3.0290813802202506E-2</v>
      </c>
      <c r="P41" s="16">
        <v>465.39</v>
      </c>
      <c r="Q41" s="9">
        <f t="shared" si="6"/>
        <v>4.9697091861977976</v>
      </c>
      <c r="R41" s="21">
        <v>545.71</v>
      </c>
      <c r="S41" s="7">
        <f t="shared" si="7"/>
        <v>77.958571428571432</v>
      </c>
    </row>
    <row r="42" spans="1:19" x14ac:dyDescent="0.35">
      <c r="A42" t="s">
        <v>229</v>
      </c>
      <c r="B42">
        <v>61370903</v>
      </c>
      <c r="C42" t="s">
        <v>269</v>
      </c>
      <c r="E42" s="9">
        <f t="shared" si="0"/>
        <v>-1</v>
      </c>
      <c r="G42" s="9">
        <f t="shared" si="1"/>
        <v>-1</v>
      </c>
      <c r="I42" s="9">
        <f t="shared" si="2"/>
        <v>-1</v>
      </c>
      <c r="K42" s="9">
        <f t="shared" si="3"/>
        <v>-1</v>
      </c>
      <c r="M42" s="9">
        <f t="shared" si="4"/>
        <v>-1</v>
      </c>
      <c r="N42" s="16">
        <v>117.01</v>
      </c>
      <c r="O42" s="9">
        <f t="shared" si="5"/>
        <v>0.81688516226348151</v>
      </c>
      <c r="P42" s="16">
        <v>333.8</v>
      </c>
      <c r="Q42" s="9">
        <f t="shared" si="6"/>
        <v>4.1831148377365199</v>
      </c>
      <c r="R42" s="21">
        <v>450.81</v>
      </c>
      <c r="S42" s="7">
        <f t="shared" si="7"/>
        <v>64.401428571428568</v>
      </c>
    </row>
    <row r="43" spans="1:19" x14ac:dyDescent="0.35">
      <c r="A43" t="s">
        <v>229</v>
      </c>
      <c r="B43">
        <v>61371501</v>
      </c>
      <c r="C43" t="s">
        <v>270</v>
      </c>
      <c r="E43" s="9">
        <f t="shared" si="0"/>
        <v>-1</v>
      </c>
      <c r="G43" s="9">
        <f t="shared" si="1"/>
        <v>-1</v>
      </c>
      <c r="I43" s="9">
        <f t="shared" si="2"/>
        <v>-1</v>
      </c>
      <c r="J43" s="16">
        <v>37.9</v>
      </c>
      <c r="K43" s="9">
        <f t="shared" si="3"/>
        <v>-0.60906532278266501</v>
      </c>
      <c r="L43" s="16">
        <v>90.58</v>
      </c>
      <c r="M43" s="9">
        <f t="shared" si="4"/>
        <v>-6.5676436349704506E-2</v>
      </c>
      <c r="N43" s="16">
        <v>167.11</v>
      </c>
      <c r="O43" s="9">
        <f t="shared" si="5"/>
        <v>0.7237227944535316</v>
      </c>
      <c r="P43" s="16">
        <v>383.04</v>
      </c>
      <c r="Q43" s="9">
        <f t="shared" si="6"/>
        <v>2.9510189646788385</v>
      </c>
      <c r="R43" s="21">
        <v>678.63</v>
      </c>
      <c r="S43" s="7">
        <f t="shared" si="7"/>
        <v>96.94714285714285</v>
      </c>
    </row>
    <row r="44" spans="1:19" x14ac:dyDescent="0.35">
      <c r="A44" t="s">
        <v>229</v>
      </c>
      <c r="B44">
        <v>61372003</v>
      </c>
      <c r="C44" t="s">
        <v>271</v>
      </c>
      <c r="E44" s="9">
        <f t="shared" si="0"/>
        <v>-1</v>
      </c>
      <c r="G44" s="9">
        <f t="shared" si="1"/>
        <v>-1</v>
      </c>
      <c r="I44" s="9">
        <f t="shared" si="2"/>
        <v>-1</v>
      </c>
      <c r="K44" s="9">
        <f t="shared" si="3"/>
        <v>-1</v>
      </c>
      <c r="M44" s="9">
        <f t="shared" si="4"/>
        <v>-1</v>
      </c>
      <c r="N44" s="16">
        <v>0.6</v>
      </c>
      <c r="O44" s="9">
        <f t="shared" si="5"/>
        <v>1</v>
      </c>
      <c r="P44" s="16">
        <v>1.5</v>
      </c>
      <c r="Q44" s="9">
        <f t="shared" si="6"/>
        <v>4</v>
      </c>
      <c r="R44" s="21">
        <v>2.1</v>
      </c>
      <c r="S44" s="7">
        <f t="shared" si="7"/>
        <v>0.3</v>
      </c>
    </row>
    <row r="45" spans="1:19" x14ac:dyDescent="0.35">
      <c r="A45" t="s">
        <v>229</v>
      </c>
      <c r="B45">
        <v>61372005</v>
      </c>
      <c r="C45" t="s">
        <v>272</v>
      </c>
      <c r="E45" s="9">
        <f t="shared" si="0"/>
        <v>-1</v>
      </c>
      <c r="G45" s="9">
        <f t="shared" si="1"/>
        <v>-1</v>
      </c>
      <c r="I45" s="9">
        <f t="shared" si="2"/>
        <v>-1</v>
      </c>
      <c r="K45" s="9">
        <f t="shared" si="3"/>
        <v>-1</v>
      </c>
      <c r="M45" s="9">
        <f t="shared" si="4"/>
        <v>-1</v>
      </c>
      <c r="N45" s="16">
        <v>29.67</v>
      </c>
      <c r="O45" s="9">
        <f t="shared" si="5"/>
        <v>1.4373899777021482</v>
      </c>
      <c r="P45" s="16">
        <v>55.54</v>
      </c>
      <c r="Q45" s="9">
        <f t="shared" si="6"/>
        <v>3.5626100222978527</v>
      </c>
      <c r="R45" s="21">
        <v>85.21</v>
      </c>
      <c r="S45" s="7">
        <f t="shared" si="7"/>
        <v>12.172857142857142</v>
      </c>
    </row>
    <row r="46" spans="1:19" x14ac:dyDescent="0.35">
      <c r="A46" t="s">
        <v>229</v>
      </c>
      <c r="B46">
        <v>61372006</v>
      </c>
      <c r="C46" t="s">
        <v>273</v>
      </c>
      <c r="E46" s="9">
        <f t="shared" si="0"/>
        <v>-1</v>
      </c>
      <c r="G46" s="9">
        <f t="shared" si="1"/>
        <v>-1</v>
      </c>
      <c r="I46" s="9">
        <f t="shared" si="2"/>
        <v>-1</v>
      </c>
      <c r="J46" s="16">
        <v>0.55000000000000004</v>
      </c>
      <c r="K46" s="9">
        <f t="shared" si="3"/>
        <v>-0.99805405186836293</v>
      </c>
      <c r="L46" s="16">
        <v>-0.55000000000000004</v>
      </c>
      <c r="M46" s="9">
        <f t="shared" si="4"/>
        <v>-1.0019459481316371</v>
      </c>
      <c r="N46" s="16">
        <v>539.64</v>
      </c>
      <c r="O46" s="9">
        <f t="shared" si="5"/>
        <v>0.90929354501205473</v>
      </c>
      <c r="P46" s="16">
        <v>1438.83</v>
      </c>
      <c r="Q46" s="9">
        <f t="shared" si="6"/>
        <v>4.0907064549879451</v>
      </c>
      <c r="R46" s="21">
        <v>1978.47</v>
      </c>
      <c r="S46" s="7">
        <f t="shared" si="7"/>
        <v>282.63857142857142</v>
      </c>
    </row>
    <row r="47" spans="1:19" x14ac:dyDescent="0.35">
      <c r="A47" t="s">
        <v>229</v>
      </c>
      <c r="B47">
        <v>61372103</v>
      </c>
      <c r="C47" t="s">
        <v>274</v>
      </c>
      <c r="E47" s="9">
        <f t="shared" si="0"/>
        <v>-1</v>
      </c>
      <c r="G47" s="9">
        <f t="shared" si="1"/>
        <v>-1</v>
      </c>
      <c r="I47" s="9">
        <f t="shared" si="2"/>
        <v>-1</v>
      </c>
      <c r="K47" s="9">
        <f t="shared" si="3"/>
        <v>-1</v>
      </c>
      <c r="L47" s="16">
        <v>36</v>
      </c>
      <c r="M47" s="9">
        <f t="shared" si="4"/>
        <v>4.7534246575342465</v>
      </c>
      <c r="N47" s="16">
        <v>1.3</v>
      </c>
      <c r="O47" s="9">
        <f t="shared" si="5"/>
        <v>-0.79223744292237441</v>
      </c>
      <c r="P47" s="16">
        <v>6.5</v>
      </c>
      <c r="Q47" s="9">
        <f t="shared" si="6"/>
        <v>3.8812785388127859E-2</v>
      </c>
      <c r="R47" s="21">
        <v>43.8</v>
      </c>
      <c r="S47" s="7">
        <f t="shared" si="7"/>
        <v>6.2571428571428571</v>
      </c>
    </row>
    <row r="48" spans="1:19" x14ac:dyDescent="0.35">
      <c r="A48" t="s">
        <v>229</v>
      </c>
      <c r="B48">
        <v>61372503</v>
      </c>
      <c r="C48" t="s">
        <v>275</v>
      </c>
      <c r="E48" s="9">
        <f t="shared" si="0"/>
        <v>-1</v>
      </c>
      <c r="G48" s="9">
        <f t="shared" si="1"/>
        <v>-1</v>
      </c>
      <c r="I48" s="9">
        <f t="shared" si="2"/>
        <v>-1</v>
      </c>
      <c r="K48" s="9">
        <f t="shared" si="3"/>
        <v>-1</v>
      </c>
      <c r="M48" s="9">
        <f t="shared" si="4"/>
        <v>-1</v>
      </c>
      <c r="N48" s="16">
        <v>27.12</v>
      </c>
      <c r="O48" s="9">
        <f t="shared" si="5"/>
        <v>1.8547368421052632</v>
      </c>
      <c r="P48" s="16">
        <v>39.380000000000003</v>
      </c>
      <c r="Q48" s="9">
        <f t="shared" si="6"/>
        <v>3.1452631578947372</v>
      </c>
      <c r="R48" s="21">
        <v>66.5</v>
      </c>
      <c r="S48" s="7">
        <f t="shared" si="7"/>
        <v>9.5</v>
      </c>
    </row>
    <row r="49" spans="1:19" x14ac:dyDescent="0.35">
      <c r="A49" t="s">
        <v>229</v>
      </c>
      <c r="B49">
        <v>61372507</v>
      </c>
      <c r="C49" t="s">
        <v>276</v>
      </c>
      <c r="E49" s="9">
        <f t="shared" si="0"/>
        <v>-1</v>
      </c>
      <c r="G49" s="9">
        <f t="shared" si="1"/>
        <v>-1</v>
      </c>
      <c r="I49" s="9">
        <f t="shared" si="2"/>
        <v>-1</v>
      </c>
      <c r="K49" s="9">
        <f t="shared" si="3"/>
        <v>-1</v>
      </c>
      <c r="M49" s="9">
        <f t="shared" si="4"/>
        <v>-1</v>
      </c>
      <c r="N49" s="16">
        <v>221.9</v>
      </c>
      <c r="O49" s="9">
        <f t="shared" si="5"/>
        <v>0.40890166804234046</v>
      </c>
      <c r="P49" s="16">
        <v>880.59</v>
      </c>
      <c r="Q49" s="9">
        <f t="shared" si="6"/>
        <v>4.5910983319576602</v>
      </c>
      <c r="R49" s="21">
        <v>1102.49</v>
      </c>
      <c r="S49" s="7">
        <f t="shared" si="7"/>
        <v>157.49857142857144</v>
      </c>
    </row>
    <row r="50" spans="1:19" x14ac:dyDescent="0.35">
      <c r="A50" t="s">
        <v>229</v>
      </c>
      <c r="B50">
        <v>61372701</v>
      </c>
      <c r="C50" t="s">
        <v>277</v>
      </c>
      <c r="E50" s="9">
        <f t="shared" si="0"/>
        <v>-1</v>
      </c>
      <c r="G50" s="9">
        <f t="shared" si="1"/>
        <v>-1</v>
      </c>
      <c r="I50" s="9">
        <f t="shared" si="2"/>
        <v>-1</v>
      </c>
      <c r="K50" s="9">
        <f t="shared" si="3"/>
        <v>-1</v>
      </c>
      <c r="M50" s="9">
        <f t="shared" si="4"/>
        <v>-1</v>
      </c>
      <c r="N50" s="16">
        <v>78.400000000000006</v>
      </c>
      <c r="O50" s="9">
        <f t="shared" si="5"/>
        <v>1.6097294212753819</v>
      </c>
      <c r="P50" s="16">
        <v>131.88999999999999</v>
      </c>
      <c r="Q50" s="9">
        <f t="shared" si="6"/>
        <v>3.3902705787246181</v>
      </c>
      <c r="R50" s="21">
        <v>210.29</v>
      </c>
      <c r="S50" s="7">
        <f t="shared" si="7"/>
        <v>30.041428571428572</v>
      </c>
    </row>
    <row r="51" spans="1:19" x14ac:dyDescent="0.35">
      <c r="A51" t="s">
        <v>229</v>
      </c>
      <c r="B51">
        <v>61373001</v>
      </c>
      <c r="C51" t="s">
        <v>278</v>
      </c>
      <c r="E51" s="9">
        <f t="shared" si="0"/>
        <v>-1</v>
      </c>
      <c r="G51" s="9">
        <f t="shared" si="1"/>
        <v>-1</v>
      </c>
      <c r="I51" s="9">
        <f t="shared" si="2"/>
        <v>-1</v>
      </c>
      <c r="J51" s="16">
        <v>10.5</v>
      </c>
      <c r="K51" s="9">
        <f t="shared" si="3"/>
        <v>2.2783229259589648</v>
      </c>
      <c r="M51" s="9">
        <f t="shared" si="4"/>
        <v>-1</v>
      </c>
      <c r="O51" s="9">
        <f t="shared" si="5"/>
        <v>-1</v>
      </c>
      <c r="P51" s="16">
        <v>11.92</v>
      </c>
      <c r="Q51" s="9">
        <f t="shared" si="6"/>
        <v>2.7216770740410343</v>
      </c>
      <c r="R51" s="21">
        <v>22.42</v>
      </c>
      <c r="S51" s="7">
        <f t="shared" si="7"/>
        <v>3.2028571428571433</v>
      </c>
    </row>
    <row r="52" spans="1:19" x14ac:dyDescent="0.35">
      <c r="A52" t="s">
        <v>229</v>
      </c>
      <c r="B52">
        <v>61373002</v>
      </c>
      <c r="C52" t="s">
        <v>279</v>
      </c>
      <c r="E52" s="9">
        <f t="shared" si="0"/>
        <v>-1</v>
      </c>
      <c r="G52" s="9">
        <f t="shared" si="1"/>
        <v>-1</v>
      </c>
      <c r="I52" s="9">
        <f t="shared" si="2"/>
        <v>-1</v>
      </c>
      <c r="K52" s="9">
        <f t="shared" si="3"/>
        <v>-1</v>
      </c>
      <c r="M52" s="9">
        <f t="shared" si="4"/>
        <v>-1</v>
      </c>
      <c r="O52" s="9">
        <f t="shared" si="5"/>
        <v>-1</v>
      </c>
      <c r="P52" s="16">
        <v>17.600000000000001</v>
      </c>
      <c r="Q52" s="9">
        <f t="shared" si="6"/>
        <v>6</v>
      </c>
      <c r="R52" s="21">
        <v>17.600000000000001</v>
      </c>
      <c r="S52" s="7">
        <f t="shared" si="7"/>
        <v>2.5142857142857147</v>
      </c>
    </row>
    <row r="53" spans="1:19" x14ac:dyDescent="0.35">
      <c r="A53" t="s">
        <v>229</v>
      </c>
      <c r="B53">
        <v>61373003</v>
      </c>
      <c r="C53" t="s">
        <v>280</v>
      </c>
      <c r="E53" s="9">
        <f t="shared" si="0"/>
        <v>-1</v>
      </c>
      <c r="G53" s="9">
        <f t="shared" si="1"/>
        <v>-1</v>
      </c>
      <c r="I53" s="9">
        <f t="shared" si="2"/>
        <v>-1</v>
      </c>
      <c r="J53" s="16">
        <v>1.1000000000000001</v>
      </c>
      <c r="K53" s="9">
        <f t="shared" si="3"/>
        <v>-0.81916392672616245</v>
      </c>
      <c r="M53" s="9">
        <f t="shared" si="4"/>
        <v>-1</v>
      </c>
      <c r="N53" s="16">
        <v>15.6</v>
      </c>
      <c r="O53" s="9">
        <f t="shared" si="5"/>
        <v>1.5645843118835134</v>
      </c>
      <c r="P53" s="16">
        <v>25.88</v>
      </c>
      <c r="Q53" s="9">
        <f t="shared" si="6"/>
        <v>3.2545796148426489</v>
      </c>
      <c r="R53" s="21">
        <v>42.58</v>
      </c>
      <c r="S53" s="7">
        <f t="shared" si="7"/>
        <v>6.0828571428571427</v>
      </c>
    </row>
    <row r="54" spans="1:19" x14ac:dyDescent="0.35">
      <c r="A54" t="s">
        <v>229</v>
      </c>
      <c r="B54">
        <v>61373201</v>
      </c>
      <c r="C54" t="s">
        <v>281</v>
      </c>
      <c r="E54" s="9">
        <f t="shared" si="0"/>
        <v>-1</v>
      </c>
      <c r="G54" s="9">
        <f t="shared" si="1"/>
        <v>-1</v>
      </c>
      <c r="I54" s="9">
        <f t="shared" si="2"/>
        <v>-1</v>
      </c>
      <c r="J54" s="16">
        <v>24.56</v>
      </c>
      <c r="K54" s="9">
        <f t="shared" si="3"/>
        <v>-0.96342337780595588</v>
      </c>
      <c r="L54" s="16">
        <v>1686.81</v>
      </c>
      <c r="M54" s="9">
        <f t="shared" si="4"/>
        <v>1.512125899150474</v>
      </c>
      <c r="N54" s="16">
        <v>1878.66</v>
      </c>
      <c r="O54" s="9">
        <f t="shared" si="5"/>
        <v>1.797843528137745</v>
      </c>
      <c r="P54" s="16">
        <v>1110.24</v>
      </c>
      <c r="Q54" s="9">
        <f t="shared" si="6"/>
        <v>0.65345395051773614</v>
      </c>
      <c r="R54" s="21">
        <v>4700.2700000000004</v>
      </c>
      <c r="S54" s="7">
        <f t="shared" si="7"/>
        <v>671.4671428571429</v>
      </c>
    </row>
    <row r="55" spans="1:19" x14ac:dyDescent="0.35">
      <c r="A55" s="40"/>
      <c r="B55" s="40"/>
      <c r="C55" s="40"/>
      <c r="D55" s="41">
        <f>SUM(D3:D54)</f>
        <v>2622679.0299999998</v>
      </c>
      <c r="E55" s="40"/>
      <c r="F55" s="41">
        <f>SUM(F3:F54)</f>
        <v>2871911.56</v>
      </c>
      <c r="G55" s="40"/>
      <c r="H55" s="41">
        <f>SUM(H3:H54)</f>
        <v>3886367.7899999996</v>
      </c>
      <c r="I55" s="40"/>
      <c r="J55" s="41">
        <f>SUM(J3:J54)</f>
        <v>3505059.8399999999</v>
      </c>
      <c r="K55" s="40"/>
      <c r="L55" s="41">
        <f>SUM(L3:L54)</f>
        <v>5317399.6199999992</v>
      </c>
      <c r="M55" s="40"/>
      <c r="N55" s="41">
        <f>SUM(N3:N54)</f>
        <v>4547591.2500000009</v>
      </c>
      <c r="O55" s="40"/>
      <c r="P55" s="41">
        <f>SUM(P3:P54)</f>
        <v>6740948.0199999977</v>
      </c>
      <c r="Q55" s="40"/>
      <c r="R55" s="42">
        <f>SUM(R3:R54)</f>
        <v>29491956.109999999</v>
      </c>
      <c r="S55" s="12">
        <f>SUM(S3:S54)</f>
        <v>4213136.5871428568</v>
      </c>
    </row>
  </sheetData>
  <phoneticPr fontId="9" type="noConversion"/>
  <conditionalFormatting sqref="E3:E54 G3:G54 I3:I54 K3:K54 M3:M54 O3:O54 Q3:Q54">
    <cfRule type="cellIs" dxfId="0" priority="6" operator="greaterThan">
      <formula>0.05</formula>
    </cfRule>
    <cfRule type="cellIs" dxfId="1" priority="5" operator="between">
      <formula>-0.05</formula>
      <formula>0.05</formula>
    </cfRule>
    <cfRule type="cellIs" dxfId="2" priority="4" operator="lessThan">
      <formula>-0.05</formula>
    </cfRule>
    <cfRule type="cellIs" dxfId="3" priority="3" operator="lessThan">
      <formula>-0.25</formula>
    </cfRule>
    <cfRule type="cellIs" dxfId="4" priority="2" operator="lessThan">
      <formula>-0.25</formula>
    </cfRule>
    <cfRule type="cellIs" dxfId="5" priority="1" operator="equal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Gastos %</vt:lpstr>
      <vt:lpstr>Hoja 4 i</vt:lpstr>
      <vt:lpstr>Ingresos %</vt:lpstr>
      <vt:lpstr>Costos 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Valentina</dc:creator>
  <cp:lastModifiedBy>Michelle Valentina</cp:lastModifiedBy>
  <dcterms:created xsi:type="dcterms:W3CDTF">2026-08-06T19:12:56Z</dcterms:created>
  <dcterms:modified xsi:type="dcterms:W3CDTF">2026-08-07T16:16:22Z</dcterms:modified>
</cp:coreProperties>
</file>