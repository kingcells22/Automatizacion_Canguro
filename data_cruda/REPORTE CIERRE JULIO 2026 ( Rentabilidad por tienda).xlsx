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ector Velasquez\Documents\Estado de Resultado\Julio 2026\"/>
    </mc:Choice>
  </mc:AlternateContent>
  <xr:revisionPtr revIDLastSave="0" documentId="13_ncr:1_{2F8A4FC5-7533-4F56-A12D-36D7B49B14F7}" xr6:coauthVersionLast="47" xr6:coauthVersionMax="47" xr10:uidLastSave="{00000000-0000-0000-0000-000000000000}"/>
  <bookViews>
    <workbookView xWindow="-108" yWindow="-108" windowWidth="23256" windowHeight="12456" tabRatio="824" activeTab="3" xr2:uid="{B85E768F-F9C7-4D04-93B8-BB474D2861F5}"/>
  </bookViews>
  <sheets>
    <sheet name="INVENTARIO JULIO " sheetId="1" r:id="rId1"/>
    <sheet name="INV GARANTIAS JULIO" sheetId="24" r:id="rId2"/>
    <sheet name="EDR JULIO" sheetId="3" r:id="rId3"/>
    <sheet name="RSM JULIO" sheetId="2" r:id="rId4"/>
    <sheet name="Sr. Wilson 4" sheetId="23" r:id="rId5"/>
    <sheet name="Sr Wilson 3" sheetId="22" state="hidden" r:id="rId6"/>
    <sheet name="Sr Wilson" sheetId="17" state="hidden" r:id="rId7"/>
    <sheet name="Sr Wilson 2" sheetId="20" state="hidden" r:id="rId8"/>
    <sheet name="Analisis JULIO" sheetId="4" r:id="rId9"/>
  </sheets>
  <definedNames>
    <definedName name="_xlnm._FilterDatabase" localSheetId="8" hidden="1">'Analisis JULIO'!$D$245:$E$245</definedName>
    <definedName name="_xlnm._FilterDatabase" localSheetId="2" hidden="1">'EDR JULIO'!$A$1:$H$301</definedName>
    <definedName name="_xlnm._FilterDatabase" localSheetId="3" hidden="1">'RSM JULIO'!$A$1:$AS$225</definedName>
    <definedName name="_xlnm._FilterDatabase" localSheetId="6" hidden="1">'Sr Wilson'!$B$5:$F$5</definedName>
  </definedName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9" i="2" l="1"/>
  <c r="AR218" i="2"/>
  <c r="AH225" i="2"/>
  <c r="L235" i="4"/>
  <c r="J235" i="4"/>
  <c r="H235" i="4"/>
  <c r="B234" i="3"/>
  <c r="B14" i="23"/>
  <c r="E234" i="3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B234" i="2"/>
  <c r="B229" i="2"/>
  <c r="E229" i="2"/>
  <c r="B260" i="2"/>
  <c r="G234" i="2"/>
  <c r="J234" i="2" s="1"/>
  <c r="BC6" i="2"/>
  <c r="B224" i="2"/>
  <c r="B225" i="2" s="1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246" i="4"/>
  <c r="D466" i="4"/>
  <c r="D467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246" i="4"/>
  <c r="K235" i="4"/>
  <c r="I235" i="4"/>
  <c r="G235" i="4"/>
  <c r="E235" i="4"/>
  <c r="G236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E302" i="3"/>
  <c r="D302" i="3"/>
  <c r="C302" i="3"/>
  <c r="B302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198" i="3"/>
  <c r="H197" i="3"/>
  <c r="H196" i="3"/>
  <c r="H195" i="3"/>
  <c r="H194" i="3"/>
  <c r="H193" i="3"/>
  <c r="H192" i="3"/>
  <c r="H191" i="3"/>
  <c r="H190" i="3"/>
  <c r="H189" i="3"/>
  <c r="H188" i="3"/>
  <c r="H187" i="3"/>
  <c r="H186" i="3"/>
  <c r="H185" i="3"/>
  <c r="H184" i="3"/>
  <c r="H183" i="3"/>
  <c r="H182" i="3"/>
  <c r="H181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H144" i="3"/>
  <c r="H143" i="3"/>
  <c r="H142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5" i="3"/>
  <c r="H6" i="3"/>
  <c r="G6" i="3"/>
  <c r="H7" i="3"/>
  <c r="G7" i="3"/>
  <c r="H8" i="3"/>
  <c r="G8" i="3"/>
  <c r="H9" i="3"/>
  <c r="G9" i="3"/>
  <c r="H10" i="3"/>
  <c r="G10" i="3"/>
  <c r="H11" i="3"/>
  <c r="G11" i="3"/>
  <c r="H12" i="3"/>
  <c r="G12" i="3"/>
  <c r="H13" i="3"/>
  <c r="G13" i="3"/>
  <c r="H14" i="3"/>
  <c r="G14" i="3"/>
  <c r="H15" i="3"/>
  <c r="G15" i="3"/>
  <c r="H16" i="3"/>
  <c r="G16" i="3"/>
  <c r="H17" i="3"/>
  <c r="G17" i="3"/>
  <c r="AW24" i="2"/>
  <c r="G230" i="2"/>
  <c r="J230" i="2" s="1"/>
  <c r="G231" i="2"/>
  <c r="G232" i="2"/>
  <c r="J232" i="2" s="1"/>
  <c r="G233" i="2"/>
  <c r="J233" i="2" s="1"/>
  <c r="G235" i="2"/>
  <c r="J235" i="2" s="1"/>
  <c r="G236" i="2"/>
  <c r="J236" i="2" s="1"/>
  <c r="G237" i="2"/>
  <c r="J237" i="2" s="1"/>
  <c r="G238" i="2"/>
  <c r="J238" i="2" s="1"/>
  <c r="G229" i="2"/>
  <c r="F311" i="2"/>
  <c r="G311" i="2"/>
  <c r="B313" i="2"/>
  <c r="F258" i="2"/>
  <c r="G258" i="2"/>
  <c r="H258" i="2"/>
  <c r="J258" i="2"/>
  <c r="K258" i="2" s="1"/>
  <c r="V224" i="2"/>
  <c r="V225" i="2" s="1"/>
  <c r="F224" i="2"/>
  <c r="F225" i="2" s="1"/>
  <c r="H224" i="2"/>
  <c r="H225" i="2" s="1"/>
  <c r="J224" i="2"/>
  <c r="J225" i="2" s="1"/>
  <c r="T224" i="2"/>
  <c r="T225" i="2" s="1"/>
  <c r="X224" i="2"/>
  <c r="X225" i="2" s="1"/>
  <c r="Z224" i="2"/>
  <c r="Z225" i="2" s="1"/>
  <c r="AH3" i="2"/>
  <c r="AQ3" i="2" s="1"/>
  <c r="AH4" i="2"/>
  <c r="AQ4" i="2" s="1"/>
  <c r="AH5" i="2"/>
  <c r="AQ5" i="2" s="1"/>
  <c r="AH6" i="2"/>
  <c r="AQ6" i="2" s="1"/>
  <c r="AH7" i="2"/>
  <c r="AQ7" i="2" s="1"/>
  <c r="AH8" i="2"/>
  <c r="AQ8" i="2" s="1"/>
  <c r="AH9" i="2"/>
  <c r="AQ9" i="2" s="1"/>
  <c r="AH10" i="2"/>
  <c r="AQ10" i="2" s="1"/>
  <c r="AH11" i="2"/>
  <c r="AQ11" i="2" s="1"/>
  <c r="AH12" i="2"/>
  <c r="AQ12" i="2" s="1"/>
  <c r="AH13" i="2"/>
  <c r="AQ13" i="2" s="1"/>
  <c r="AH14" i="2"/>
  <c r="AQ14" i="2" s="1"/>
  <c r="AH15" i="2"/>
  <c r="AQ15" i="2" s="1"/>
  <c r="AH16" i="2"/>
  <c r="AQ16" i="2" s="1"/>
  <c r="AH17" i="2"/>
  <c r="AQ17" i="2" s="1"/>
  <c r="AH18" i="2"/>
  <c r="AQ18" i="2" s="1"/>
  <c r="AH19" i="2"/>
  <c r="AQ19" i="2" s="1"/>
  <c r="AH20" i="2"/>
  <c r="AQ20" i="2" s="1"/>
  <c r="AH21" i="2"/>
  <c r="AQ21" i="2" s="1"/>
  <c r="AH22" i="2"/>
  <c r="AQ22" i="2" s="1"/>
  <c r="AH23" i="2"/>
  <c r="AQ23" i="2" s="1"/>
  <c r="AH24" i="2"/>
  <c r="AQ24" i="2" s="1"/>
  <c r="AH25" i="2"/>
  <c r="AQ25" i="2" s="1"/>
  <c r="AH26" i="2"/>
  <c r="AQ26" i="2" s="1"/>
  <c r="AH27" i="2"/>
  <c r="AQ27" i="2" s="1"/>
  <c r="AH28" i="2"/>
  <c r="AQ28" i="2" s="1"/>
  <c r="AH29" i="2"/>
  <c r="AQ29" i="2" s="1"/>
  <c r="AH30" i="2"/>
  <c r="AQ30" i="2" s="1"/>
  <c r="AH31" i="2"/>
  <c r="AQ31" i="2" s="1"/>
  <c r="AH32" i="2"/>
  <c r="AQ32" i="2" s="1"/>
  <c r="AH33" i="2"/>
  <c r="AQ33" i="2" s="1"/>
  <c r="AH34" i="2"/>
  <c r="AQ34" i="2" s="1"/>
  <c r="AH35" i="2"/>
  <c r="AQ35" i="2" s="1"/>
  <c r="AH36" i="2"/>
  <c r="AQ36" i="2" s="1"/>
  <c r="AH37" i="2"/>
  <c r="AQ37" i="2" s="1"/>
  <c r="AH38" i="2"/>
  <c r="AQ38" i="2" s="1"/>
  <c r="AH39" i="2"/>
  <c r="AQ39" i="2" s="1"/>
  <c r="AH40" i="2"/>
  <c r="AQ40" i="2" s="1"/>
  <c r="AH41" i="2"/>
  <c r="AQ41" i="2" s="1"/>
  <c r="AH42" i="2"/>
  <c r="AQ42" i="2" s="1"/>
  <c r="AH43" i="2"/>
  <c r="AQ43" i="2" s="1"/>
  <c r="AH44" i="2"/>
  <c r="AQ44" i="2" s="1"/>
  <c r="AH45" i="2"/>
  <c r="AQ45" i="2" s="1"/>
  <c r="AH46" i="2"/>
  <c r="AQ46" i="2" s="1"/>
  <c r="AH47" i="2"/>
  <c r="AQ47" i="2" s="1"/>
  <c r="AH48" i="2"/>
  <c r="AQ48" i="2" s="1"/>
  <c r="AH49" i="2"/>
  <c r="AQ49" i="2" s="1"/>
  <c r="AH50" i="2"/>
  <c r="AQ50" i="2" s="1"/>
  <c r="AH51" i="2"/>
  <c r="AQ51" i="2" s="1"/>
  <c r="AH52" i="2"/>
  <c r="AQ52" i="2" s="1"/>
  <c r="AH53" i="2"/>
  <c r="AQ53" i="2" s="1"/>
  <c r="AH54" i="2"/>
  <c r="AQ54" i="2" s="1"/>
  <c r="AH55" i="2"/>
  <c r="AQ55" i="2" s="1"/>
  <c r="AH56" i="2"/>
  <c r="AQ56" i="2" s="1"/>
  <c r="AH57" i="2"/>
  <c r="AQ57" i="2" s="1"/>
  <c r="AH58" i="2"/>
  <c r="AQ58" i="2" s="1"/>
  <c r="AH59" i="2"/>
  <c r="AQ59" i="2" s="1"/>
  <c r="AH60" i="2"/>
  <c r="AQ60" i="2" s="1"/>
  <c r="AH61" i="2"/>
  <c r="AQ61" i="2" s="1"/>
  <c r="AH62" i="2"/>
  <c r="AQ62" i="2" s="1"/>
  <c r="AH63" i="2"/>
  <c r="AQ63" i="2" s="1"/>
  <c r="AH64" i="2"/>
  <c r="AQ64" i="2" s="1"/>
  <c r="AH65" i="2"/>
  <c r="AQ65" i="2" s="1"/>
  <c r="AH66" i="2"/>
  <c r="AQ66" i="2" s="1"/>
  <c r="AH67" i="2"/>
  <c r="AQ67" i="2" s="1"/>
  <c r="AH68" i="2"/>
  <c r="AQ68" i="2" s="1"/>
  <c r="AH69" i="2"/>
  <c r="AQ69" i="2" s="1"/>
  <c r="AH70" i="2"/>
  <c r="AQ70" i="2" s="1"/>
  <c r="AH71" i="2"/>
  <c r="AQ71" i="2" s="1"/>
  <c r="AH72" i="2"/>
  <c r="AQ72" i="2" s="1"/>
  <c r="AH73" i="2"/>
  <c r="AQ73" i="2" s="1"/>
  <c r="AH74" i="2"/>
  <c r="AQ74" i="2" s="1"/>
  <c r="AH75" i="2"/>
  <c r="AQ75" i="2" s="1"/>
  <c r="AH76" i="2"/>
  <c r="AQ76" i="2" s="1"/>
  <c r="AH77" i="2"/>
  <c r="AQ77" i="2" s="1"/>
  <c r="AH78" i="2"/>
  <c r="AQ78" i="2" s="1"/>
  <c r="AH79" i="2"/>
  <c r="AQ79" i="2" s="1"/>
  <c r="AH80" i="2"/>
  <c r="AQ80" i="2" s="1"/>
  <c r="AH81" i="2"/>
  <c r="AQ81" i="2" s="1"/>
  <c r="AH82" i="2"/>
  <c r="AQ82" i="2" s="1"/>
  <c r="AH83" i="2"/>
  <c r="AQ83" i="2" s="1"/>
  <c r="AH84" i="2"/>
  <c r="AQ84" i="2" s="1"/>
  <c r="AH85" i="2"/>
  <c r="AQ85" i="2" s="1"/>
  <c r="AH86" i="2"/>
  <c r="AQ86" i="2" s="1"/>
  <c r="AH87" i="2"/>
  <c r="AQ87" i="2" s="1"/>
  <c r="AH88" i="2"/>
  <c r="AQ88" i="2" s="1"/>
  <c r="AH89" i="2"/>
  <c r="AQ89" i="2" s="1"/>
  <c r="AH90" i="2"/>
  <c r="AQ90" i="2" s="1"/>
  <c r="AH91" i="2"/>
  <c r="AQ91" i="2" s="1"/>
  <c r="AH92" i="2"/>
  <c r="AQ92" i="2" s="1"/>
  <c r="AH93" i="2"/>
  <c r="AQ93" i="2" s="1"/>
  <c r="AH94" i="2"/>
  <c r="AQ94" i="2" s="1"/>
  <c r="AH95" i="2"/>
  <c r="AQ95" i="2" s="1"/>
  <c r="AH96" i="2"/>
  <c r="AQ96" i="2" s="1"/>
  <c r="AH97" i="2"/>
  <c r="AQ97" i="2" s="1"/>
  <c r="AH98" i="2"/>
  <c r="AQ98" i="2" s="1"/>
  <c r="AH99" i="2"/>
  <c r="AQ99" i="2" s="1"/>
  <c r="AH100" i="2"/>
  <c r="AQ100" i="2" s="1"/>
  <c r="AH101" i="2"/>
  <c r="AQ101" i="2" s="1"/>
  <c r="AH102" i="2"/>
  <c r="AQ102" i="2" s="1"/>
  <c r="AH103" i="2"/>
  <c r="AQ103" i="2" s="1"/>
  <c r="AH104" i="2"/>
  <c r="AQ104" i="2" s="1"/>
  <c r="AH105" i="2"/>
  <c r="AQ105" i="2" s="1"/>
  <c r="AH106" i="2"/>
  <c r="AQ106" i="2" s="1"/>
  <c r="AH107" i="2"/>
  <c r="AQ107" i="2" s="1"/>
  <c r="AH108" i="2"/>
  <c r="AQ108" i="2" s="1"/>
  <c r="AH109" i="2"/>
  <c r="AQ109" i="2" s="1"/>
  <c r="AH110" i="2"/>
  <c r="AQ110" i="2" s="1"/>
  <c r="AH111" i="2"/>
  <c r="AQ111" i="2" s="1"/>
  <c r="AH112" i="2"/>
  <c r="AQ112" i="2" s="1"/>
  <c r="AH113" i="2"/>
  <c r="AQ113" i="2" s="1"/>
  <c r="AH114" i="2"/>
  <c r="AQ114" i="2" s="1"/>
  <c r="AH115" i="2"/>
  <c r="AQ115" i="2" s="1"/>
  <c r="AH116" i="2"/>
  <c r="AQ116" i="2" s="1"/>
  <c r="AH117" i="2"/>
  <c r="AQ117" i="2" s="1"/>
  <c r="AH118" i="2"/>
  <c r="AQ118" i="2" s="1"/>
  <c r="AH119" i="2"/>
  <c r="AQ119" i="2" s="1"/>
  <c r="AH120" i="2"/>
  <c r="AQ120" i="2" s="1"/>
  <c r="AH121" i="2"/>
  <c r="AQ121" i="2" s="1"/>
  <c r="AH122" i="2"/>
  <c r="AQ122" i="2" s="1"/>
  <c r="AH123" i="2"/>
  <c r="AQ123" i="2" s="1"/>
  <c r="AH124" i="2"/>
  <c r="AQ124" i="2" s="1"/>
  <c r="AH125" i="2"/>
  <c r="AQ125" i="2" s="1"/>
  <c r="AH126" i="2"/>
  <c r="AQ126" i="2" s="1"/>
  <c r="AH127" i="2"/>
  <c r="AQ127" i="2" s="1"/>
  <c r="AH128" i="2"/>
  <c r="AQ128" i="2" s="1"/>
  <c r="AH129" i="2"/>
  <c r="AQ129" i="2" s="1"/>
  <c r="AH130" i="2"/>
  <c r="AQ130" i="2" s="1"/>
  <c r="AH131" i="2"/>
  <c r="AQ131" i="2" s="1"/>
  <c r="AH132" i="2"/>
  <c r="AQ132" i="2" s="1"/>
  <c r="AH133" i="2"/>
  <c r="AQ133" i="2" s="1"/>
  <c r="AH134" i="2"/>
  <c r="AQ134" i="2" s="1"/>
  <c r="AH135" i="2"/>
  <c r="AQ135" i="2" s="1"/>
  <c r="AH136" i="2"/>
  <c r="AQ136" i="2" s="1"/>
  <c r="AH137" i="2"/>
  <c r="AQ137" i="2" s="1"/>
  <c r="AH138" i="2"/>
  <c r="AQ138" i="2" s="1"/>
  <c r="AH139" i="2"/>
  <c r="AQ139" i="2" s="1"/>
  <c r="AH140" i="2"/>
  <c r="AQ140" i="2" s="1"/>
  <c r="AH141" i="2"/>
  <c r="AQ141" i="2" s="1"/>
  <c r="AH142" i="2"/>
  <c r="AQ142" i="2" s="1"/>
  <c r="AH143" i="2"/>
  <c r="AQ143" i="2" s="1"/>
  <c r="AH144" i="2"/>
  <c r="AQ144" i="2" s="1"/>
  <c r="AH145" i="2"/>
  <c r="AQ145" i="2" s="1"/>
  <c r="AH146" i="2"/>
  <c r="AQ146" i="2" s="1"/>
  <c r="AH147" i="2"/>
  <c r="AQ147" i="2" s="1"/>
  <c r="AH148" i="2"/>
  <c r="AQ148" i="2" s="1"/>
  <c r="AH149" i="2"/>
  <c r="AQ149" i="2" s="1"/>
  <c r="AH150" i="2"/>
  <c r="AQ150" i="2" s="1"/>
  <c r="AH151" i="2"/>
  <c r="AQ151" i="2" s="1"/>
  <c r="AH152" i="2"/>
  <c r="AQ152" i="2" s="1"/>
  <c r="AH153" i="2"/>
  <c r="AQ153" i="2" s="1"/>
  <c r="AH154" i="2"/>
  <c r="AQ154" i="2" s="1"/>
  <c r="AH155" i="2"/>
  <c r="AQ155" i="2" s="1"/>
  <c r="AH156" i="2"/>
  <c r="AQ156" i="2" s="1"/>
  <c r="AH157" i="2"/>
  <c r="AQ157" i="2" s="1"/>
  <c r="AH158" i="2"/>
  <c r="AQ158" i="2" s="1"/>
  <c r="AH159" i="2"/>
  <c r="AQ159" i="2" s="1"/>
  <c r="AH160" i="2"/>
  <c r="AQ160" i="2" s="1"/>
  <c r="AH161" i="2"/>
  <c r="AQ161" i="2" s="1"/>
  <c r="AH162" i="2"/>
  <c r="AQ162" i="2" s="1"/>
  <c r="AH163" i="2"/>
  <c r="AQ163" i="2" s="1"/>
  <c r="AH164" i="2"/>
  <c r="AQ164" i="2" s="1"/>
  <c r="AH165" i="2"/>
  <c r="AQ165" i="2" s="1"/>
  <c r="AH166" i="2"/>
  <c r="AQ166" i="2" s="1"/>
  <c r="AH167" i="2"/>
  <c r="AQ167" i="2" s="1"/>
  <c r="AH168" i="2"/>
  <c r="AQ168" i="2" s="1"/>
  <c r="AH169" i="2"/>
  <c r="AQ169" i="2" s="1"/>
  <c r="AH170" i="2"/>
  <c r="AQ170" i="2" s="1"/>
  <c r="AH171" i="2"/>
  <c r="AQ171" i="2" s="1"/>
  <c r="AH172" i="2"/>
  <c r="AQ172" i="2" s="1"/>
  <c r="AH173" i="2"/>
  <c r="AQ173" i="2" s="1"/>
  <c r="AH174" i="2"/>
  <c r="AQ174" i="2" s="1"/>
  <c r="AH175" i="2"/>
  <c r="AQ175" i="2" s="1"/>
  <c r="AH176" i="2"/>
  <c r="AQ176" i="2" s="1"/>
  <c r="AH177" i="2"/>
  <c r="AQ177" i="2" s="1"/>
  <c r="AH178" i="2"/>
  <c r="AQ178" i="2" s="1"/>
  <c r="AH179" i="2"/>
  <c r="AQ179" i="2" s="1"/>
  <c r="AH180" i="2"/>
  <c r="AQ180" i="2" s="1"/>
  <c r="AH181" i="2"/>
  <c r="AQ181" i="2" s="1"/>
  <c r="AH182" i="2"/>
  <c r="AQ182" i="2" s="1"/>
  <c r="AH183" i="2"/>
  <c r="AQ183" i="2" s="1"/>
  <c r="AH184" i="2"/>
  <c r="AQ184" i="2" s="1"/>
  <c r="AH185" i="2"/>
  <c r="AQ185" i="2" s="1"/>
  <c r="AH186" i="2"/>
  <c r="AQ186" i="2" s="1"/>
  <c r="AH187" i="2"/>
  <c r="AQ187" i="2" s="1"/>
  <c r="AH188" i="2"/>
  <c r="AQ188" i="2" s="1"/>
  <c r="AH189" i="2"/>
  <c r="AQ189" i="2" s="1"/>
  <c r="AH190" i="2"/>
  <c r="AQ190" i="2" s="1"/>
  <c r="AH191" i="2"/>
  <c r="AQ191" i="2" s="1"/>
  <c r="AH192" i="2"/>
  <c r="AQ192" i="2" s="1"/>
  <c r="AH193" i="2"/>
  <c r="AQ193" i="2" s="1"/>
  <c r="AH194" i="2"/>
  <c r="AQ194" i="2" s="1"/>
  <c r="AH195" i="2"/>
  <c r="AQ195" i="2" s="1"/>
  <c r="AH196" i="2"/>
  <c r="AQ196" i="2" s="1"/>
  <c r="AH197" i="2"/>
  <c r="AQ197" i="2" s="1"/>
  <c r="AH198" i="2"/>
  <c r="AQ198" i="2" s="1"/>
  <c r="AH199" i="2"/>
  <c r="AQ199" i="2" s="1"/>
  <c r="AH200" i="2"/>
  <c r="AQ200" i="2" s="1"/>
  <c r="AH201" i="2"/>
  <c r="AQ201" i="2" s="1"/>
  <c r="AH202" i="2"/>
  <c r="AQ202" i="2" s="1"/>
  <c r="AH203" i="2"/>
  <c r="AQ203" i="2" s="1"/>
  <c r="AH204" i="2"/>
  <c r="AQ204" i="2" s="1"/>
  <c r="AH205" i="2"/>
  <c r="AQ205" i="2" s="1"/>
  <c r="AH206" i="2"/>
  <c r="AQ206" i="2" s="1"/>
  <c r="AH207" i="2"/>
  <c r="AQ207" i="2" s="1"/>
  <c r="AH208" i="2"/>
  <c r="AQ208" i="2" s="1"/>
  <c r="AH209" i="2"/>
  <c r="AQ209" i="2" s="1"/>
  <c r="AH210" i="2"/>
  <c r="AQ210" i="2" s="1"/>
  <c r="AH211" i="2"/>
  <c r="AQ211" i="2" s="1"/>
  <c r="AH212" i="2"/>
  <c r="AQ212" i="2" s="1"/>
  <c r="AH213" i="2"/>
  <c r="AQ213" i="2" s="1"/>
  <c r="AH214" i="2"/>
  <c r="AQ214" i="2" s="1"/>
  <c r="AH215" i="2"/>
  <c r="AQ215" i="2" s="1"/>
  <c r="AH216" i="2"/>
  <c r="AQ216" i="2" s="1"/>
  <c r="AH217" i="2"/>
  <c r="AQ217" i="2" s="1"/>
  <c r="AH218" i="2"/>
  <c r="AQ218" i="2" s="1"/>
  <c r="AH219" i="2"/>
  <c r="AQ219" i="2" s="1"/>
  <c r="AH220" i="2"/>
  <c r="AQ220" i="2" s="1"/>
  <c r="AH221" i="2"/>
  <c r="AQ221" i="2" s="1"/>
  <c r="AH222" i="2"/>
  <c r="AQ222" i="2" s="1"/>
  <c r="AH223" i="2"/>
  <c r="AQ223" i="2" s="1"/>
  <c r="AH2" i="2"/>
  <c r="AQ2" i="2" s="1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23" i="2"/>
  <c r="AI222" i="2"/>
  <c r="AI221" i="2"/>
  <c r="AI220" i="2"/>
  <c r="AI219" i="2"/>
  <c r="AI218" i="2"/>
  <c r="AI217" i="2"/>
  <c r="AI216" i="2"/>
  <c r="AI215" i="2"/>
  <c r="AI198" i="2"/>
  <c r="AI197" i="2"/>
  <c r="AI196" i="2"/>
  <c r="AI195" i="2"/>
  <c r="AI194" i="2"/>
  <c r="AI193" i="2"/>
  <c r="AI192" i="2"/>
  <c r="AI191" i="2"/>
  <c r="AI190" i="2"/>
  <c r="AI189" i="2"/>
  <c r="AI188" i="2"/>
  <c r="AI187" i="2"/>
  <c r="AI186" i="2"/>
  <c r="AI185" i="2"/>
  <c r="AI184" i="2"/>
  <c r="AI183" i="2"/>
  <c r="AI182" i="2"/>
  <c r="AI181" i="2"/>
  <c r="AI180" i="2"/>
  <c r="AI179" i="2"/>
  <c r="AI178" i="2"/>
  <c r="AI177" i="2"/>
  <c r="AI176" i="2"/>
  <c r="AI175" i="2"/>
  <c r="AI174" i="2"/>
  <c r="AI173" i="2"/>
  <c r="AI172" i="2"/>
  <c r="AI171" i="2"/>
  <c r="AI170" i="2"/>
  <c r="AI169" i="2"/>
  <c r="AI168" i="2"/>
  <c r="AI167" i="2"/>
  <c r="AI166" i="2"/>
  <c r="AI165" i="2"/>
  <c r="AI164" i="2"/>
  <c r="AI163" i="2"/>
  <c r="AI162" i="2"/>
  <c r="AI161" i="2"/>
  <c r="AI160" i="2"/>
  <c r="AI159" i="2"/>
  <c r="AI158" i="2"/>
  <c r="AI157" i="2"/>
  <c r="AI156" i="2"/>
  <c r="AI155" i="2"/>
  <c r="AI154" i="2"/>
  <c r="AI153" i="2"/>
  <c r="AI152" i="2"/>
  <c r="AI151" i="2"/>
  <c r="AI150" i="2"/>
  <c r="AI149" i="2"/>
  <c r="AI148" i="2"/>
  <c r="AI147" i="2"/>
  <c r="AI146" i="2"/>
  <c r="AI145" i="2"/>
  <c r="AI144" i="2"/>
  <c r="AI143" i="2"/>
  <c r="AI142" i="2"/>
  <c r="AI141" i="2"/>
  <c r="AI140" i="2"/>
  <c r="AI139" i="2"/>
  <c r="AI138" i="2"/>
  <c r="AI137" i="2"/>
  <c r="AI136" i="2"/>
  <c r="AI135" i="2"/>
  <c r="AI134" i="2"/>
  <c r="AI133" i="2"/>
  <c r="AI132" i="2"/>
  <c r="AI131" i="2"/>
  <c r="AI130" i="2"/>
  <c r="AI129" i="2"/>
  <c r="AI128" i="2"/>
  <c r="AI127" i="2"/>
  <c r="AI126" i="2"/>
  <c r="AI125" i="2"/>
  <c r="AI124" i="2"/>
  <c r="AI123" i="2"/>
  <c r="AI122" i="2"/>
  <c r="AI121" i="2"/>
  <c r="AI120" i="2"/>
  <c r="AI119" i="2"/>
  <c r="AI118" i="2"/>
  <c r="AI117" i="2"/>
  <c r="AI116" i="2"/>
  <c r="AI115" i="2"/>
  <c r="AI114" i="2"/>
  <c r="AI113" i="2"/>
  <c r="AI112" i="2"/>
  <c r="AI111" i="2"/>
  <c r="AI110" i="2"/>
  <c r="AI109" i="2"/>
  <c r="AI108" i="2"/>
  <c r="AI107" i="2"/>
  <c r="AI106" i="2"/>
  <c r="AI105" i="2"/>
  <c r="AI104" i="2"/>
  <c r="AI103" i="2"/>
  <c r="AI102" i="2"/>
  <c r="AI101" i="2"/>
  <c r="AI100" i="2"/>
  <c r="AI99" i="2"/>
  <c r="AI98" i="2"/>
  <c r="AI97" i="2"/>
  <c r="AI96" i="2"/>
  <c r="AI95" i="2"/>
  <c r="AI94" i="2"/>
  <c r="AI93" i="2"/>
  <c r="AI92" i="2"/>
  <c r="AI91" i="2"/>
  <c r="AI90" i="2"/>
  <c r="AI89" i="2"/>
  <c r="AI88" i="2"/>
  <c r="AI87" i="2"/>
  <c r="AI86" i="2"/>
  <c r="AI85" i="2"/>
  <c r="AI84" i="2"/>
  <c r="AI83" i="2"/>
  <c r="AI82" i="2"/>
  <c r="AI81" i="2"/>
  <c r="AI80" i="2"/>
  <c r="AI79" i="2"/>
  <c r="AI78" i="2"/>
  <c r="AI77" i="2"/>
  <c r="AI76" i="2"/>
  <c r="AI75" i="2"/>
  <c r="AI74" i="2"/>
  <c r="AI73" i="2"/>
  <c r="AI72" i="2"/>
  <c r="AI71" i="2"/>
  <c r="AI70" i="2"/>
  <c r="AI69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E25" i="2" s="1"/>
  <c r="AI24" i="2"/>
  <c r="AE24" i="2" s="1"/>
  <c r="AI23" i="2"/>
  <c r="AE23" i="2" s="1"/>
  <c r="AI22" i="2"/>
  <c r="AE22" i="2" s="1"/>
  <c r="AI21" i="2"/>
  <c r="AE21" i="2" s="1"/>
  <c r="AI20" i="2"/>
  <c r="AE20" i="2" s="1"/>
  <c r="AI19" i="2"/>
  <c r="AE19" i="2" s="1"/>
  <c r="AI18" i="2"/>
  <c r="AE18" i="2" s="1"/>
  <c r="AI17" i="2"/>
  <c r="AE17" i="2" s="1"/>
  <c r="AI16" i="2"/>
  <c r="AE16" i="2" s="1"/>
  <c r="AI15" i="2"/>
  <c r="AE15" i="2" s="1"/>
  <c r="AI14" i="2"/>
  <c r="AE14" i="2" s="1"/>
  <c r="AI13" i="2"/>
  <c r="AI12" i="2"/>
  <c r="AI11" i="2"/>
  <c r="AI10" i="2"/>
  <c r="AI9" i="2"/>
  <c r="AE9" i="2" s="1"/>
  <c r="AI8" i="2"/>
  <c r="AE8" i="2" s="1"/>
  <c r="AI7" i="2"/>
  <c r="AI6" i="2"/>
  <c r="AE6" i="2" s="1"/>
  <c r="AI5" i="2"/>
  <c r="AE5" i="2" s="1"/>
  <c r="AI4" i="2"/>
  <c r="AE4" i="2" s="1"/>
  <c r="AI3" i="2"/>
  <c r="AI2" i="2"/>
  <c r="G9" i="24"/>
  <c r="F9" i="24"/>
  <c r="C213" i="24"/>
  <c r="B213" i="24"/>
  <c r="H20" i="1"/>
  <c r="H26" i="1" s="1"/>
  <c r="G20" i="1"/>
  <c r="G26" i="1" s="1"/>
  <c r="C227" i="1"/>
  <c r="B227" i="1"/>
  <c r="AW18" i="2"/>
  <c r="AW12" i="2"/>
  <c r="AW6" i="2"/>
  <c r="R224" i="2"/>
  <c r="R225" i="2" s="1"/>
  <c r="P224" i="2"/>
  <c r="P225" i="2" s="1"/>
  <c r="L224" i="2"/>
  <c r="L225" i="2" s="1"/>
  <c r="D224" i="2"/>
  <c r="D225" i="2" s="1"/>
  <c r="M372" i="2"/>
  <c r="I382" i="2"/>
  <c r="I375" i="2"/>
  <c r="F310" i="2"/>
  <c r="G310" i="2"/>
  <c r="E260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9" i="2"/>
  <c r="G239" i="2"/>
  <c r="J239" i="2" s="1"/>
  <c r="G240" i="2"/>
  <c r="J240" i="2" s="1"/>
  <c r="G241" i="2"/>
  <c r="J241" i="2" s="1"/>
  <c r="G242" i="2"/>
  <c r="J242" i="2" s="1"/>
  <c r="G243" i="2"/>
  <c r="J243" i="2" s="1"/>
  <c r="G244" i="2"/>
  <c r="J244" i="2" s="1"/>
  <c r="G245" i="2"/>
  <c r="J245" i="2" s="1"/>
  <c r="G246" i="2"/>
  <c r="J246" i="2" s="1"/>
  <c r="G247" i="2"/>
  <c r="J247" i="2" s="1"/>
  <c r="G248" i="2"/>
  <c r="J248" i="2" s="1"/>
  <c r="G249" i="2"/>
  <c r="J249" i="2" s="1"/>
  <c r="G250" i="2"/>
  <c r="J250" i="2" s="1"/>
  <c r="G251" i="2"/>
  <c r="J251" i="2" s="1"/>
  <c r="G252" i="2"/>
  <c r="J252" i="2" s="1"/>
  <c r="G253" i="2"/>
  <c r="J253" i="2" s="1"/>
  <c r="G254" i="2"/>
  <c r="J254" i="2" s="1"/>
  <c r="G255" i="2"/>
  <c r="J255" i="2" s="1"/>
  <c r="G256" i="2"/>
  <c r="J256" i="2" s="1"/>
  <c r="G257" i="2"/>
  <c r="J257" i="2" s="1"/>
  <c r="G259" i="2"/>
  <c r="J259" i="2" s="1"/>
  <c r="F229" i="2"/>
  <c r="C260" i="2"/>
  <c r="D260" i="2"/>
  <c r="N224" i="2"/>
  <c r="N225" i="2" s="1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5" i="3"/>
  <c r="G4" i="3"/>
  <c r="G3" i="3"/>
  <c r="G2" i="3"/>
  <c r="H3" i="3"/>
  <c r="H4" i="3"/>
  <c r="G302" i="3" l="1"/>
  <c r="H2" i="3"/>
  <c r="H302" i="3" s="1"/>
  <c r="F302" i="3"/>
  <c r="W51" i="2"/>
  <c r="AE51" i="2"/>
  <c r="AC51" i="2"/>
  <c r="W50" i="2"/>
  <c r="AE50" i="2"/>
  <c r="AC50" i="2"/>
  <c r="W49" i="2"/>
  <c r="AE49" i="2"/>
  <c r="AC49" i="2"/>
  <c r="W48" i="2"/>
  <c r="AE48" i="2"/>
  <c r="AC48" i="2"/>
  <c r="W47" i="2"/>
  <c r="AE47" i="2"/>
  <c r="AC47" i="2"/>
  <c r="W46" i="2"/>
  <c r="AE46" i="2"/>
  <c r="AC46" i="2"/>
  <c r="W45" i="2"/>
  <c r="AC45" i="2"/>
  <c r="AE45" i="2"/>
  <c r="W44" i="2"/>
  <c r="AC44" i="2"/>
  <c r="AE44" i="2"/>
  <c r="W43" i="2"/>
  <c r="AC43" i="2"/>
  <c r="AE43" i="2"/>
  <c r="W42" i="2"/>
  <c r="AC42" i="2"/>
  <c r="AE42" i="2"/>
  <c r="W41" i="2"/>
  <c r="AC41" i="2"/>
  <c r="AE41" i="2"/>
  <c r="W40" i="2"/>
  <c r="AC40" i="2"/>
  <c r="AE40" i="2"/>
  <c r="W39" i="2"/>
  <c r="AC39" i="2"/>
  <c r="AE39" i="2"/>
  <c r="W38" i="2"/>
  <c r="AC38" i="2"/>
  <c r="AE38" i="2"/>
  <c r="W37" i="2"/>
  <c r="AC37" i="2"/>
  <c r="AE37" i="2"/>
  <c r="W36" i="2"/>
  <c r="AC36" i="2"/>
  <c r="AE36" i="2"/>
  <c r="W35" i="2"/>
  <c r="AC35" i="2"/>
  <c r="AE35" i="2"/>
  <c r="W34" i="2"/>
  <c r="AE34" i="2"/>
  <c r="AC34" i="2"/>
  <c r="W33" i="2"/>
  <c r="AE33" i="2"/>
  <c r="AC33" i="2"/>
  <c r="W32" i="2"/>
  <c r="AE32" i="2"/>
  <c r="AC32" i="2"/>
  <c r="W31" i="2"/>
  <c r="AE31" i="2"/>
  <c r="AC31" i="2"/>
  <c r="W30" i="2"/>
  <c r="AE30" i="2"/>
  <c r="AC30" i="2"/>
  <c r="W29" i="2"/>
  <c r="AC29" i="2"/>
  <c r="AE29" i="2"/>
  <c r="W28" i="2"/>
  <c r="AC28" i="2"/>
  <c r="AE28" i="2"/>
  <c r="W27" i="2"/>
  <c r="AE27" i="2"/>
  <c r="AC27" i="2"/>
  <c r="W26" i="2"/>
  <c r="AC26" i="2"/>
  <c r="AE26" i="2"/>
  <c r="AC10" i="2"/>
  <c r="AE10" i="2"/>
  <c r="W199" i="2"/>
  <c r="AE199" i="2"/>
  <c r="AC199" i="2"/>
  <c r="W201" i="2"/>
  <c r="AC201" i="2"/>
  <c r="AE201" i="2"/>
  <c r="W202" i="2"/>
  <c r="AC202" i="2"/>
  <c r="AE202" i="2"/>
  <c r="W203" i="2"/>
  <c r="AE203" i="2"/>
  <c r="AC203" i="2"/>
  <c r="W204" i="2"/>
  <c r="AE204" i="2"/>
  <c r="AC204" i="2"/>
  <c r="W205" i="2"/>
  <c r="AE205" i="2"/>
  <c r="AC205" i="2"/>
  <c r="AE206" i="2"/>
  <c r="AC206" i="2"/>
  <c r="W207" i="2"/>
  <c r="AE207" i="2"/>
  <c r="AC207" i="2"/>
  <c r="W209" i="2"/>
  <c r="AE209" i="2"/>
  <c r="AC209" i="2"/>
  <c r="W210" i="2"/>
  <c r="AE210" i="2"/>
  <c r="AC210" i="2"/>
  <c r="W211" i="2"/>
  <c r="AC211" i="2"/>
  <c r="AE211" i="2"/>
  <c r="W212" i="2"/>
  <c r="AC212" i="2"/>
  <c r="AE212" i="2"/>
  <c r="W213" i="2"/>
  <c r="AC213" i="2"/>
  <c r="AE213" i="2"/>
  <c r="W214" i="2"/>
  <c r="AE214" i="2"/>
  <c r="AC214" i="2"/>
  <c r="W223" i="2"/>
  <c r="AC223" i="2"/>
  <c r="AE223" i="2"/>
  <c r="W222" i="2"/>
  <c r="AE222" i="2"/>
  <c r="AC222" i="2"/>
  <c r="W221" i="2"/>
  <c r="AE221" i="2"/>
  <c r="AC221" i="2"/>
  <c r="W220" i="2"/>
  <c r="AE220" i="2"/>
  <c r="AC220" i="2"/>
  <c r="W219" i="2"/>
  <c r="AE219" i="2"/>
  <c r="AC219" i="2"/>
  <c r="W218" i="2"/>
  <c r="AE218" i="2"/>
  <c r="AC218" i="2"/>
  <c r="W217" i="2"/>
  <c r="AE217" i="2"/>
  <c r="AC217" i="2"/>
  <c r="W216" i="2"/>
  <c r="AE216" i="2"/>
  <c r="AC216" i="2"/>
  <c r="W215" i="2"/>
  <c r="AE215" i="2"/>
  <c r="AC215" i="2"/>
  <c r="W198" i="2"/>
  <c r="AE198" i="2"/>
  <c r="AC198" i="2"/>
  <c r="W197" i="2"/>
  <c r="AE197" i="2"/>
  <c r="AC197" i="2"/>
  <c r="W196" i="2"/>
  <c r="AE196" i="2"/>
  <c r="AC196" i="2"/>
  <c r="W195" i="2"/>
  <c r="AE195" i="2"/>
  <c r="AC195" i="2"/>
  <c r="W194" i="2"/>
  <c r="AC194" i="2"/>
  <c r="AE194" i="2"/>
  <c r="W193" i="2"/>
  <c r="AC193" i="2"/>
  <c r="AE193" i="2"/>
  <c r="W192" i="2"/>
  <c r="AC192" i="2"/>
  <c r="AE192" i="2"/>
  <c r="W191" i="2"/>
  <c r="AC191" i="2"/>
  <c r="AE191" i="2"/>
  <c r="W190" i="2"/>
  <c r="AC190" i="2"/>
  <c r="AE190" i="2"/>
  <c r="W189" i="2"/>
  <c r="AC189" i="2"/>
  <c r="AE189" i="2"/>
  <c r="W188" i="2"/>
  <c r="AC188" i="2"/>
  <c r="AE188" i="2"/>
  <c r="W187" i="2"/>
  <c r="AC187" i="2"/>
  <c r="AE187" i="2"/>
  <c r="W186" i="2"/>
  <c r="AE186" i="2"/>
  <c r="AC186" i="2"/>
  <c r="W185" i="2"/>
  <c r="AC185" i="2"/>
  <c r="AE185" i="2"/>
  <c r="W184" i="2"/>
  <c r="AE184" i="2"/>
  <c r="AC184" i="2"/>
  <c r="W183" i="2"/>
  <c r="AC183" i="2"/>
  <c r="AE183" i="2"/>
  <c r="W182" i="2"/>
  <c r="AE182" i="2"/>
  <c r="AC182" i="2"/>
  <c r="W181" i="2"/>
  <c r="AE181" i="2"/>
  <c r="AC181" i="2"/>
  <c r="W180" i="2"/>
  <c r="AE180" i="2"/>
  <c r="AC180" i="2"/>
  <c r="W179" i="2"/>
  <c r="AE179" i="2"/>
  <c r="AC179" i="2"/>
  <c r="W178" i="2"/>
  <c r="AE178" i="2"/>
  <c r="AC178" i="2"/>
  <c r="W177" i="2"/>
  <c r="AE177" i="2"/>
  <c r="AC177" i="2"/>
  <c r="W176" i="2"/>
  <c r="AC176" i="2"/>
  <c r="AE176" i="2"/>
  <c r="W175" i="2"/>
  <c r="AE175" i="2"/>
  <c r="AC175" i="2"/>
  <c r="W174" i="2"/>
  <c r="AE174" i="2"/>
  <c r="AC174" i="2"/>
  <c r="W172" i="2"/>
  <c r="AE172" i="2"/>
  <c r="AC172" i="2"/>
  <c r="W171" i="2"/>
  <c r="AE171" i="2"/>
  <c r="AC171" i="2"/>
  <c r="W170" i="2"/>
  <c r="AE170" i="2"/>
  <c r="AC170" i="2"/>
  <c r="W169" i="2"/>
  <c r="AC169" i="2"/>
  <c r="AE169" i="2"/>
  <c r="W168" i="2"/>
  <c r="AE168" i="2"/>
  <c r="AC168" i="2"/>
  <c r="W167" i="2"/>
  <c r="AC167" i="2"/>
  <c r="AE167" i="2"/>
  <c r="W166" i="2"/>
  <c r="AC166" i="2"/>
  <c r="AE166" i="2"/>
  <c r="W165" i="2"/>
  <c r="AC165" i="2"/>
  <c r="AE165" i="2"/>
  <c r="W164" i="2"/>
  <c r="AC164" i="2"/>
  <c r="AE164" i="2"/>
  <c r="W163" i="2"/>
  <c r="AC163" i="2"/>
  <c r="AE163" i="2"/>
  <c r="W162" i="2"/>
  <c r="AC162" i="2"/>
  <c r="AE162" i="2"/>
  <c r="W161" i="2"/>
  <c r="AE161" i="2"/>
  <c r="AC161" i="2"/>
  <c r="W160" i="2"/>
  <c r="AE160" i="2"/>
  <c r="AC160" i="2"/>
  <c r="W159" i="2"/>
  <c r="AE159" i="2"/>
  <c r="AC159" i="2"/>
  <c r="W158" i="2"/>
  <c r="AE158" i="2"/>
  <c r="AC158" i="2"/>
  <c r="W157" i="2"/>
  <c r="AE157" i="2"/>
  <c r="AC157" i="2"/>
  <c r="W156" i="2"/>
  <c r="AE156" i="2"/>
  <c r="AC156" i="2"/>
  <c r="W155" i="2"/>
  <c r="AE155" i="2"/>
  <c r="AC155" i="2"/>
  <c r="W154" i="2"/>
  <c r="AE154" i="2"/>
  <c r="AC154" i="2"/>
  <c r="W153" i="2"/>
  <c r="AE153" i="2"/>
  <c r="AC153" i="2"/>
  <c r="W152" i="2"/>
  <c r="AE152" i="2"/>
  <c r="AC152" i="2"/>
  <c r="W151" i="2"/>
  <c r="AC151" i="2"/>
  <c r="AE151" i="2"/>
  <c r="W150" i="2"/>
  <c r="AC150" i="2"/>
  <c r="AE150" i="2"/>
  <c r="W149" i="2"/>
  <c r="AC149" i="2"/>
  <c r="AE149" i="2"/>
  <c r="W148" i="2"/>
  <c r="AC148" i="2"/>
  <c r="AE148" i="2"/>
  <c r="W139" i="2"/>
  <c r="AC139" i="2"/>
  <c r="AE139" i="2"/>
  <c r="W138" i="2"/>
  <c r="AC138" i="2"/>
  <c r="AE138" i="2"/>
  <c r="W137" i="2"/>
  <c r="AE137" i="2"/>
  <c r="AC137" i="2"/>
  <c r="W136" i="2"/>
  <c r="AE136" i="2"/>
  <c r="AC136" i="2"/>
  <c r="W135" i="2"/>
  <c r="AC135" i="2"/>
  <c r="AE135" i="2"/>
  <c r="W134" i="2"/>
  <c r="AE134" i="2"/>
  <c r="AC134" i="2"/>
  <c r="W133" i="2"/>
  <c r="AC133" i="2"/>
  <c r="AE133" i="2"/>
  <c r="W132" i="2"/>
  <c r="AC132" i="2"/>
  <c r="AE132" i="2"/>
  <c r="W131" i="2"/>
  <c r="AC131" i="2"/>
  <c r="AE131" i="2"/>
  <c r="W130" i="2"/>
  <c r="AC130" i="2"/>
  <c r="AE130" i="2"/>
  <c r="W128" i="2"/>
  <c r="AC128" i="2"/>
  <c r="AE128" i="2"/>
  <c r="W127" i="2"/>
  <c r="AC127" i="2"/>
  <c r="AE127" i="2"/>
  <c r="W126" i="2"/>
  <c r="AC126" i="2"/>
  <c r="AE126" i="2"/>
  <c r="W125" i="2"/>
  <c r="AC125" i="2"/>
  <c r="AE125" i="2"/>
  <c r="W124" i="2"/>
  <c r="AC124" i="2"/>
  <c r="AE124" i="2"/>
  <c r="W123" i="2"/>
  <c r="AC123" i="2"/>
  <c r="AE123" i="2"/>
  <c r="W122" i="2"/>
  <c r="AE122" i="2"/>
  <c r="AC122" i="2"/>
  <c r="W121" i="2"/>
  <c r="AC121" i="2"/>
  <c r="AE121" i="2"/>
  <c r="W120" i="2"/>
  <c r="AC120" i="2"/>
  <c r="AE120" i="2"/>
  <c r="W119" i="2"/>
  <c r="AC119" i="2"/>
  <c r="AE119" i="2"/>
  <c r="W117" i="2"/>
  <c r="AE117" i="2"/>
  <c r="AC117" i="2"/>
  <c r="W116" i="2"/>
  <c r="AC116" i="2"/>
  <c r="AE116" i="2"/>
  <c r="W115" i="2"/>
  <c r="AC115" i="2"/>
  <c r="AE115" i="2"/>
  <c r="W114" i="2"/>
  <c r="AC114" i="2"/>
  <c r="AE114" i="2"/>
  <c r="W113" i="2"/>
  <c r="AC113" i="2"/>
  <c r="AE113" i="2"/>
  <c r="W112" i="2"/>
  <c r="AC112" i="2"/>
  <c r="AE112" i="2"/>
  <c r="W111" i="2"/>
  <c r="AC111" i="2"/>
  <c r="AE111" i="2"/>
  <c r="W110" i="2"/>
  <c r="AC110" i="2"/>
  <c r="AE110" i="2"/>
  <c r="W109" i="2"/>
  <c r="AE109" i="2"/>
  <c r="AC109" i="2"/>
  <c r="W108" i="2"/>
  <c r="AE108" i="2"/>
  <c r="AC108" i="2"/>
  <c r="W107" i="2"/>
  <c r="AE107" i="2"/>
  <c r="AC107" i="2"/>
  <c r="W106" i="2"/>
  <c r="AE106" i="2"/>
  <c r="AC106" i="2"/>
  <c r="W105" i="2"/>
  <c r="AE105" i="2"/>
  <c r="AC105" i="2"/>
  <c r="W104" i="2"/>
  <c r="AE104" i="2"/>
  <c r="AC104" i="2"/>
  <c r="W103" i="2"/>
  <c r="AE103" i="2"/>
  <c r="AC103" i="2"/>
  <c r="W102" i="2"/>
  <c r="AE102" i="2"/>
  <c r="AC102" i="2"/>
  <c r="W101" i="2"/>
  <c r="AE101" i="2"/>
  <c r="AC101" i="2"/>
  <c r="W100" i="2"/>
  <c r="AE100" i="2"/>
  <c r="AC100" i="2"/>
  <c r="W99" i="2"/>
  <c r="AE99" i="2"/>
  <c r="AC99" i="2"/>
  <c r="W98" i="2"/>
  <c r="AC98" i="2"/>
  <c r="AE98" i="2"/>
  <c r="W97" i="2"/>
  <c r="AC97" i="2"/>
  <c r="AE97" i="2"/>
  <c r="W96" i="2"/>
  <c r="AC96" i="2"/>
  <c r="AE96" i="2"/>
  <c r="W95" i="2"/>
  <c r="AC95" i="2"/>
  <c r="AE95" i="2"/>
  <c r="W94" i="2"/>
  <c r="AE94" i="2"/>
  <c r="AC94" i="2"/>
  <c r="W93" i="2"/>
  <c r="AE93" i="2"/>
  <c r="AC93" i="2"/>
  <c r="W92" i="2"/>
  <c r="AE92" i="2"/>
  <c r="AC92" i="2"/>
  <c r="W91" i="2"/>
  <c r="AE91" i="2"/>
  <c r="AC91" i="2"/>
  <c r="W90" i="2"/>
  <c r="AC90" i="2"/>
  <c r="AE90" i="2"/>
  <c r="W89" i="2"/>
  <c r="AC89" i="2"/>
  <c r="AE89" i="2"/>
  <c r="W88" i="2"/>
  <c r="AC88" i="2"/>
  <c r="AE88" i="2"/>
  <c r="W87" i="2"/>
  <c r="AC87" i="2"/>
  <c r="AE87" i="2"/>
  <c r="W86" i="2"/>
  <c r="AC86" i="2"/>
  <c r="AE86" i="2"/>
  <c r="W85" i="2"/>
  <c r="AC85" i="2"/>
  <c r="AE85" i="2"/>
  <c r="W84" i="2"/>
  <c r="AC84" i="2"/>
  <c r="AE84" i="2"/>
  <c r="W83" i="2"/>
  <c r="AC83" i="2"/>
  <c r="AE83" i="2"/>
  <c r="W82" i="2"/>
  <c r="AC82" i="2"/>
  <c r="AE82" i="2"/>
  <c r="W81" i="2"/>
  <c r="AE81" i="2"/>
  <c r="AC81" i="2"/>
  <c r="W80" i="2"/>
  <c r="AE80" i="2"/>
  <c r="AC80" i="2"/>
  <c r="W79" i="2"/>
  <c r="AE79" i="2"/>
  <c r="AC79" i="2"/>
  <c r="W78" i="2"/>
  <c r="AC78" i="2"/>
  <c r="AE78" i="2"/>
  <c r="W77" i="2"/>
  <c r="AC77" i="2"/>
  <c r="AE77" i="2"/>
  <c r="W76" i="2"/>
  <c r="AC76" i="2"/>
  <c r="AE76" i="2"/>
  <c r="W75" i="2"/>
  <c r="AC75" i="2"/>
  <c r="AE75" i="2"/>
  <c r="W74" i="2"/>
  <c r="AE74" i="2"/>
  <c r="AC74" i="2"/>
  <c r="W73" i="2"/>
  <c r="AE73" i="2"/>
  <c r="AC73" i="2"/>
  <c r="W72" i="2"/>
  <c r="AE72" i="2"/>
  <c r="AC72" i="2"/>
  <c r="W71" i="2"/>
  <c r="AE71" i="2"/>
  <c r="AC71" i="2"/>
  <c r="W70" i="2"/>
  <c r="AE70" i="2"/>
  <c r="AC70" i="2"/>
  <c r="W69" i="2"/>
  <c r="AE69" i="2"/>
  <c r="AC69" i="2"/>
  <c r="W68" i="2"/>
  <c r="AE68" i="2"/>
  <c r="AC68" i="2"/>
  <c r="W67" i="2"/>
  <c r="AC67" i="2"/>
  <c r="AE67" i="2"/>
  <c r="W66" i="2"/>
  <c r="AC66" i="2"/>
  <c r="AE66" i="2"/>
  <c r="W65" i="2"/>
  <c r="AE65" i="2"/>
  <c r="AC65" i="2"/>
  <c r="W64" i="2"/>
  <c r="AE64" i="2"/>
  <c r="AC64" i="2"/>
  <c r="W63" i="2"/>
  <c r="AE63" i="2"/>
  <c r="AC63" i="2"/>
  <c r="W62" i="2"/>
  <c r="AC62" i="2"/>
  <c r="AE62" i="2"/>
  <c r="W61" i="2"/>
  <c r="AC61" i="2"/>
  <c r="AE61" i="2"/>
  <c r="W60" i="2"/>
  <c r="AC60" i="2"/>
  <c r="AE60" i="2"/>
  <c r="W59" i="2"/>
  <c r="AC59" i="2"/>
  <c r="AE59" i="2"/>
  <c r="W58" i="2"/>
  <c r="AC58" i="2"/>
  <c r="AE58" i="2"/>
  <c r="W57" i="2"/>
  <c r="AE57" i="2"/>
  <c r="AC57" i="2"/>
  <c r="W56" i="2"/>
  <c r="AC56" i="2"/>
  <c r="AE56" i="2"/>
  <c r="W55" i="2"/>
  <c r="AC55" i="2"/>
  <c r="AE55" i="2"/>
  <c r="W54" i="2"/>
  <c r="AC54" i="2"/>
  <c r="AE54" i="2"/>
  <c r="W53" i="2"/>
  <c r="AC53" i="2"/>
  <c r="AE53" i="2"/>
  <c r="W52" i="2"/>
  <c r="AC52" i="2"/>
  <c r="AE52" i="2"/>
  <c r="W25" i="2"/>
  <c r="AC25" i="2"/>
  <c r="W24" i="2"/>
  <c r="AC24" i="2"/>
  <c r="W23" i="2"/>
  <c r="AC23" i="2"/>
  <c r="W22" i="2"/>
  <c r="AC22" i="2"/>
  <c r="W21" i="2"/>
  <c r="AC21" i="2"/>
  <c r="W20" i="2"/>
  <c r="AC20" i="2"/>
  <c r="W19" i="2"/>
  <c r="AC19" i="2"/>
  <c r="W18" i="2"/>
  <c r="AC18" i="2"/>
  <c r="W17" i="2"/>
  <c r="AC17" i="2"/>
  <c r="W16" i="2"/>
  <c r="AC16" i="2"/>
  <c r="W15" i="2"/>
  <c r="AC15" i="2"/>
  <c r="W14" i="2"/>
  <c r="AC14" i="2"/>
  <c r="W9" i="2"/>
  <c r="AC9" i="2"/>
  <c r="W8" i="2"/>
  <c r="AC8" i="2"/>
  <c r="W6" i="2"/>
  <c r="AC6" i="2"/>
  <c r="W5" i="2"/>
  <c r="AC5" i="2"/>
  <c r="W4" i="2"/>
  <c r="AC4" i="2"/>
  <c r="W3" i="2"/>
  <c r="AC3" i="2"/>
  <c r="K230" i="2"/>
  <c r="J231" i="2"/>
  <c r="K231" i="2" s="1"/>
  <c r="W10" i="2"/>
  <c r="E10" i="2"/>
  <c r="W206" i="2"/>
  <c r="C199" i="2"/>
  <c r="E199" i="2"/>
  <c r="G199" i="2"/>
  <c r="I199" i="2"/>
  <c r="K199" i="2"/>
  <c r="M199" i="2"/>
  <c r="O199" i="2"/>
  <c r="Q199" i="2"/>
  <c r="S199" i="2"/>
  <c r="U199" i="2"/>
  <c r="Y199" i="2"/>
  <c r="AA199" i="2"/>
  <c r="C201" i="2"/>
  <c r="E201" i="2"/>
  <c r="G201" i="2"/>
  <c r="I201" i="2"/>
  <c r="K201" i="2"/>
  <c r="M201" i="2"/>
  <c r="O201" i="2"/>
  <c r="Q201" i="2"/>
  <c r="S201" i="2"/>
  <c r="U201" i="2"/>
  <c r="Y201" i="2"/>
  <c r="AA201" i="2"/>
  <c r="C202" i="2"/>
  <c r="E202" i="2"/>
  <c r="G202" i="2"/>
  <c r="I202" i="2"/>
  <c r="K202" i="2"/>
  <c r="M202" i="2"/>
  <c r="O202" i="2"/>
  <c r="Q202" i="2"/>
  <c r="S202" i="2"/>
  <c r="U202" i="2"/>
  <c r="Y202" i="2"/>
  <c r="AA202" i="2"/>
  <c r="C203" i="2"/>
  <c r="E203" i="2"/>
  <c r="G203" i="2"/>
  <c r="I203" i="2"/>
  <c r="K203" i="2"/>
  <c r="M203" i="2"/>
  <c r="O203" i="2"/>
  <c r="Q203" i="2"/>
  <c r="S203" i="2"/>
  <c r="U203" i="2"/>
  <c r="Y203" i="2"/>
  <c r="AA203" i="2"/>
  <c r="C204" i="2"/>
  <c r="E204" i="2"/>
  <c r="G204" i="2"/>
  <c r="I204" i="2"/>
  <c r="K204" i="2"/>
  <c r="M204" i="2"/>
  <c r="O204" i="2"/>
  <c r="Q204" i="2"/>
  <c r="S204" i="2"/>
  <c r="U204" i="2"/>
  <c r="Y204" i="2"/>
  <c r="AA204" i="2"/>
  <c r="C205" i="2"/>
  <c r="E205" i="2"/>
  <c r="G205" i="2"/>
  <c r="I205" i="2"/>
  <c r="K205" i="2"/>
  <c r="M205" i="2"/>
  <c r="O205" i="2"/>
  <c r="Q205" i="2"/>
  <c r="S205" i="2"/>
  <c r="U205" i="2"/>
  <c r="Y205" i="2"/>
  <c r="AA205" i="2"/>
  <c r="C206" i="2"/>
  <c r="E206" i="2"/>
  <c r="G206" i="2"/>
  <c r="I206" i="2"/>
  <c r="K206" i="2"/>
  <c r="M206" i="2"/>
  <c r="O206" i="2"/>
  <c r="Q206" i="2"/>
  <c r="S206" i="2"/>
  <c r="Y206" i="2"/>
  <c r="AA206" i="2"/>
  <c r="U206" i="2"/>
  <c r="G207" i="2"/>
  <c r="I207" i="2"/>
  <c r="K207" i="2"/>
  <c r="O207" i="2"/>
  <c r="U207" i="2"/>
  <c r="Y207" i="2"/>
  <c r="C207" i="2"/>
  <c r="E207" i="2"/>
  <c r="M207" i="2"/>
  <c r="Q207" i="2"/>
  <c r="AA207" i="2"/>
  <c r="S207" i="2"/>
  <c r="O209" i="2"/>
  <c r="U209" i="2"/>
  <c r="AA209" i="2"/>
  <c r="C209" i="2"/>
  <c r="K209" i="2"/>
  <c r="Y209" i="2"/>
  <c r="Q209" i="2"/>
  <c r="M209" i="2"/>
  <c r="G209" i="2"/>
  <c r="E209" i="2"/>
  <c r="I209" i="2"/>
  <c r="S209" i="2"/>
  <c r="O210" i="2"/>
  <c r="C210" i="2"/>
  <c r="G210" i="2"/>
  <c r="M210" i="2"/>
  <c r="S210" i="2"/>
  <c r="AA210" i="2"/>
  <c r="E210" i="2"/>
  <c r="I210" i="2"/>
  <c r="Y210" i="2"/>
  <c r="K210" i="2"/>
  <c r="Q210" i="2"/>
  <c r="U210" i="2"/>
  <c r="AA211" i="2"/>
  <c r="U211" i="2"/>
  <c r="I211" i="2"/>
  <c r="O211" i="2"/>
  <c r="Y211" i="2"/>
  <c r="Q211" i="2"/>
  <c r="M211" i="2"/>
  <c r="E211" i="2"/>
  <c r="C211" i="2"/>
  <c r="G211" i="2"/>
  <c r="K211" i="2"/>
  <c r="S211" i="2"/>
  <c r="M212" i="2"/>
  <c r="Y212" i="2"/>
  <c r="G212" i="2"/>
  <c r="K212" i="2"/>
  <c r="Q212" i="2"/>
  <c r="U212" i="2"/>
  <c r="C212" i="2"/>
  <c r="E212" i="2"/>
  <c r="I212" i="2"/>
  <c r="O212" i="2"/>
  <c r="S212" i="2"/>
  <c r="AA212" i="2"/>
  <c r="U213" i="2"/>
  <c r="Y213" i="2"/>
  <c r="Q213" i="2"/>
  <c r="K213" i="2"/>
  <c r="E213" i="2"/>
  <c r="C213" i="2"/>
  <c r="I213" i="2"/>
  <c r="O213" i="2"/>
  <c r="G213" i="2"/>
  <c r="M213" i="2"/>
  <c r="S213" i="2"/>
  <c r="AA213" i="2"/>
  <c r="C214" i="2"/>
  <c r="G214" i="2"/>
  <c r="K214" i="2"/>
  <c r="O214" i="2"/>
  <c r="S214" i="2"/>
  <c r="Y214" i="2"/>
  <c r="E214" i="2"/>
  <c r="I214" i="2"/>
  <c r="M214" i="2"/>
  <c r="Q214" i="2"/>
  <c r="U214" i="2"/>
  <c r="AA214" i="2"/>
  <c r="G3" i="2"/>
  <c r="E3" i="2"/>
  <c r="C3" i="2"/>
  <c r="E52" i="2"/>
  <c r="C52" i="2"/>
  <c r="G4" i="2"/>
  <c r="E4" i="2"/>
  <c r="C4" i="2"/>
  <c r="AA3" i="2"/>
  <c r="S3" i="2"/>
  <c r="AE3" i="2"/>
  <c r="Y3" i="2"/>
  <c r="U3" i="2"/>
  <c r="Q3" i="2"/>
  <c r="O3" i="2"/>
  <c r="M3" i="2"/>
  <c r="K3" i="2"/>
  <c r="I3" i="2"/>
  <c r="S52" i="2"/>
  <c r="Q52" i="2"/>
  <c r="O52" i="2"/>
  <c r="M52" i="2"/>
  <c r="AA52" i="2"/>
  <c r="K52" i="2"/>
  <c r="Y52" i="2"/>
  <c r="I52" i="2"/>
  <c r="U52" i="2"/>
  <c r="G52" i="2"/>
  <c r="AA4" i="2"/>
  <c r="S4" i="2"/>
  <c r="M4" i="2"/>
  <c r="Y4" i="2"/>
  <c r="K4" i="2"/>
  <c r="Q4" i="2"/>
  <c r="U4" i="2"/>
  <c r="I4" i="2"/>
  <c r="O4" i="2"/>
  <c r="AB224" i="2"/>
  <c r="AB225" i="2" s="1"/>
  <c r="AE224" i="2" l="1"/>
  <c r="W224" i="2"/>
  <c r="AC224" i="2"/>
  <c r="H229" i="2"/>
  <c r="B416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I10" i="4"/>
  <c r="I9" i="4"/>
  <c r="I8" i="4"/>
  <c r="I7" i="4"/>
  <c r="I6" i="4"/>
  <c r="I5" i="4"/>
  <c r="I4" i="4"/>
  <c r="G10" i="4"/>
  <c r="G9" i="4"/>
  <c r="G8" i="4"/>
  <c r="G7" i="4"/>
  <c r="G6" i="4"/>
  <c r="G5" i="4"/>
  <c r="G4" i="4"/>
  <c r="E10" i="4"/>
  <c r="E9" i="4"/>
  <c r="E8" i="4"/>
  <c r="E7" i="4"/>
  <c r="E6" i="4"/>
  <c r="E5" i="4"/>
  <c r="E4" i="4"/>
  <c r="AD224" i="2"/>
  <c r="AD225" i="2" s="1"/>
  <c r="AF224" i="2"/>
  <c r="AG224" i="2"/>
  <c r="AL224" i="2"/>
  <c r="L226" i="4" l="1"/>
  <c r="L227" i="4"/>
  <c r="L228" i="4"/>
  <c r="L229" i="4"/>
  <c r="L230" i="4"/>
  <c r="L231" i="4"/>
  <c r="L232" i="4"/>
  <c r="L233" i="4"/>
  <c r="L234" i="4"/>
  <c r="J226" i="4"/>
  <c r="J227" i="4"/>
  <c r="J228" i="4"/>
  <c r="J229" i="4"/>
  <c r="J230" i="4"/>
  <c r="J231" i="4"/>
  <c r="J232" i="4"/>
  <c r="J233" i="4"/>
  <c r="J234" i="4"/>
  <c r="H226" i="4"/>
  <c r="H227" i="4"/>
  <c r="H228" i="4"/>
  <c r="H229" i="4"/>
  <c r="H230" i="4"/>
  <c r="H231" i="4"/>
  <c r="H232" i="4"/>
  <c r="H233" i="4"/>
  <c r="H234" i="4"/>
  <c r="F226" i="4"/>
  <c r="F229" i="4"/>
  <c r="F230" i="4"/>
  <c r="F232" i="4"/>
  <c r="F234" i="4"/>
  <c r="F227" i="4"/>
  <c r="F231" i="4"/>
  <c r="F233" i="4"/>
  <c r="F228" i="4"/>
  <c r="AM3" i="2"/>
  <c r="AN3" i="2" s="1"/>
  <c r="AM199" i="2"/>
  <c r="AN199" i="2" s="1"/>
  <c r="AM200" i="2"/>
  <c r="AN200" i="2" s="1"/>
  <c r="AM201" i="2"/>
  <c r="AN201" i="2" s="1"/>
  <c r="AM202" i="2"/>
  <c r="AN202" i="2" s="1"/>
  <c r="AM203" i="2"/>
  <c r="AN203" i="2" s="1"/>
  <c r="AM204" i="2"/>
  <c r="AN204" i="2" s="1"/>
  <c r="AM205" i="2"/>
  <c r="AN205" i="2" s="1"/>
  <c r="AM206" i="2"/>
  <c r="AN206" i="2" s="1"/>
  <c r="AM207" i="2"/>
  <c r="AN207" i="2" s="1"/>
  <c r="AM208" i="2"/>
  <c r="AN208" i="2" s="1"/>
  <c r="AM209" i="2"/>
  <c r="AN209" i="2" s="1"/>
  <c r="AM210" i="2"/>
  <c r="AN210" i="2" s="1"/>
  <c r="AM211" i="2"/>
  <c r="AN211" i="2" s="1"/>
  <c r="AM212" i="2"/>
  <c r="AN212" i="2" s="1"/>
  <c r="AM213" i="2"/>
  <c r="AN213" i="2" s="1"/>
  <c r="AM214" i="2"/>
  <c r="AN214" i="2" s="1"/>
  <c r="I6" i="2"/>
  <c r="AA6" i="2"/>
  <c r="Y6" i="2"/>
  <c r="S6" i="2"/>
  <c r="K6" i="2"/>
  <c r="O6" i="2"/>
  <c r="M6" i="2"/>
  <c r="U6" i="2"/>
  <c r="Q6" i="2"/>
  <c r="C6" i="2"/>
  <c r="E6" i="2"/>
  <c r="G6" i="2"/>
  <c r="Q223" i="2"/>
  <c r="S223" i="2"/>
  <c r="M223" i="2"/>
  <c r="O223" i="2"/>
  <c r="E223" i="2"/>
  <c r="Y223" i="2"/>
  <c r="I223" i="2"/>
  <c r="AA223" i="2"/>
  <c r="U223" i="2"/>
  <c r="C223" i="2"/>
  <c r="G223" i="2"/>
  <c r="K223" i="2"/>
  <c r="AM2" i="2"/>
  <c r="AN2" i="2" s="1"/>
  <c r="K8" i="4"/>
  <c r="K5" i="4"/>
  <c r="K10" i="4"/>
  <c r="K9" i="4"/>
  <c r="K7" i="4"/>
  <c r="K6" i="4"/>
  <c r="K4" i="4"/>
  <c r="J15" i="4"/>
  <c r="J153" i="4"/>
  <c r="J154" i="4"/>
  <c r="J155" i="4"/>
  <c r="J156" i="4"/>
  <c r="J157" i="4"/>
  <c r="J158" i="4"/>
  <c r="J159" i="4"/>
  <c r="J160" i="4"/>
  <c r="H15" i="4"/>
  <c r="F15" i="4"/>
  <c r="K246" i="2"/>
  <c r="K247" i="2"/>
  <c r="K248" i="2"/>
  <c r="K249" i="2"/>
  <c r="K250" i="2"/>
  <c r="K252" i="2"/>
  <c r="K253" i="2"/>
  <c r="K255" i="2"/>
  <c r="K251" i="2"/>
  <c r="K256" i="2"/>
  <c r="AM223" i="2"/>
  <c r="AN223" i="2" s="1"/>
  <c r="H153" i="4"/>
  <c r="H154" i="4"/>
  <c r="H155" i="4"/>
  <c r="H156" i="4"/>
  <c r="H157" i="4"/>
  <c r="H158" i="4"/>
  <c r="H159" i="4"/>
  <c r="H160" i="4"/>
  <c r="F153" i="4"/>
  <c r="F154" i="4"/>
  <c r="F155" i="4"/>
  <c r="F156" i="4"/>
  <c r="F157" i="4"/>
  <c r="F158" i="4"/>
  <c r="F159" i="4"/>
  <c r="F160" i="4"/>
  <c r="AM97" i="2"/>
  <c r="AM190" i="2"/>
  <c r="AM65" i="2"/>
  <c r="AM126" i="2"/>
  <c r="AM158" i="2"/>
  <c r="AM33" i="2"/>
  <c r="AM182" i="2"/>
  <c r="AM150" i="2"/>
  <c r="AM121" i="2"/>
  <c r="AM89" i="2"/>
  <c r="AM57" i="2"/>
  <c r="AM25" i="2"/>
  <c r="AM222" i="2"/>
  <c r="AM174" i="2"/>
  <c r="AM142" i="2"/>
  <c r="AM113" i="2"/>
  <c r="AM81" i="2"/>
  <c r="AM49" i="2"/>
  <c r="AM17" i="2"/>
  <c r="AM198" i="2"/>
  <c r="AM166" i="2"/>
  <c r="AM134" i="2"/>
  <c r="AM105" i="2"/>
  <c r="AM73" i="2"/>
  <c r="AM41" i="2"/>
  <c r="AM9" i="2"/>
  <c r="AM221" i="2"/>
  <c r="AM197" i="2"/>
  <c r="AM189" i="2"/>
  <c r="AM181" i="2"/>
  <c r="AM173" i="2"/>
  <c r="AM165" i="2"/>
  <c r="AM157" i="2"/>
  <c r="AM149" i="2"/>
  <c r="AM141" i="2"/>
  <c r="AM133" i="2"/>
  <c r="AM125" i="2"/>
  <c r="AM120" i="2"/>
  <c r="AM112" i="2"/>
  <c r="AM104" i="2"/>
  <c r="AM96" i="2"/>
  <c r="AM88" i="2"/>
  <c r="AM80" i="2"/>
  <c r="AM72" i="2"/>
  <c r="AM64" i="2"/>
  <c r="AM56" i="2"/>
  <c r="AM48" i="2"/>
  <c r="AM40" i="2"/>
  <c r="AM32" i="2"/>
  <c r="AM24" i="2"/>
  <c r="AM16" i="2"/>
  <c r="AM8" i="2"/>
  <c r="AM218" i="2"/>
  <c r="AM194" i="2"/>
  <c r="AM186" i="2"/>
  <c r="AM178" i="2"/>
  <c r="AM170" i="2"/>
  <c r="AM162" i="2"/>
  <c r="AM154" i="2"/>
  <c r="AM146" i="2"/>
  <c r="AM138" i="2"/>
  <c r="AM130" i="2"/>
  <c r="AM117" i="2"/>
  <c r="AM109" i="2"/>
  <c r="AM101" i="2"/>
  <c r="AM93" i="2"/>
  <c r="AM85" i="2"/>
  <c r="AM77" i="2"/>
  <c r="AM69" i="2"/>
  <c r="AM61" i="2"/>
  <c r="AM53" i="2"/>
  <c r="AM45" i="2"/>
  <c r="AM37" i="2"/>
  <c r="AM29" i="2"/>
  <c r="AM21" i="2"/>
  <c r="AM13" i="2"/>
  <c r="AM5" i="2"/>
  <c r="AM217" i="2"/>
  <c r="AM193" i="2"/>
  <c r="AM185" i="2"/>
  <c r="AM177" i="2"/>
  <c r="AM169" i="2"/>
  <c r="AM161" i="2"/>
  <c r="AM153" i="2"/>
  <c r="AM145" i="2"/>
  <c r="AM137" i="2"/>
  <c r="AM129" i="2"/>
  <c r="AM116" i="2"/>
  <c r="AM108" i="2"/>
  <c r="AM100" i="2"/>
  <c r="AM92" i="2"/>
  <c r="AM84" i="2"/>
  <c r="AM76" i="2"/>
  <c r="AM68" i="2"/>
  <c r="AM60" i="2"/>
  <c r="AM52" i="2"/>
  <c r="AM44" i="2"/>
  <c r="AM36" i="2"/>
  <c r="AM28" i="2"/>
  <c r="AM20" i="2"/>
  <c r="AM12" i="2"/>
  <c r="AM4" i="2"/>
  <c r="AN4" i="2" s="1"/>
  <c r="AM220" i="2"/>
  <c r="AM216" i="2"/>
  <c r="AM196" i="2"/>
  <c r="AM192" i="2"/>
  <c r="AM188" i="2"/>
  <c r="AM184" i="2"/>
  <c r="AM180" i="2"/>
  <c r="AM176" i="2"/>
  <c r="AM172" i="2"/>
  <c r="AM168" i="2"/>
  <c r="AM164" i="2"/>
  <c r="AM160" i="2"/>
  <c r="AM156" i="2"/>
  <c r="AM152" i="2"/>
  <c r="AM148" i="2"/>
  <c r="AM144" i="2"/>
  <c r="AM140" i="2"/>
  <c r="AM136" i="2"/>
  <c r="AM132" i="2"/>
  <c r="AM128" i="2"/>
  <c r="AM124" i="2"/>
  <c r="AM123" i="2"/>
  <c r="AM119" i="2"/>
  <c r="AM115" i="2"/>
  <c r="AM111" i="2"/>
  <c r="AM107" i="2"/>
  <c r="AM103" i="2"/>
  <c r="AM99" i="2"/>
  <c r="AM95" i="2"/>
  <c r="AM91" i="2"/>
  <c r="AM87" i="2"/>
  <c r="AM83" i="2"/>
  <c r="AM79" i="2"/>
  <c r="AM75" i="2"/>
  <c r="AM71" i="2"/>
  <c r="AM67" i="2"/>
  <c r="AM63" i="2"/>
  <c r="AM59" i="2"/>
  <c r="AM55" i="2"/>
  <c r="AM51" i="2"/>
  <c r="AM47" i="2"/>
  <c r="AM43" i="2"/>
  <c r="AM39" i="2"/>
  <c r="AM35" i="2"/>
  <c r="AM31" i="2"/>
  <c r="AM27" i="2"/>
  <c r="AM23" i="2"/>
  <c r="AM19" i="2"/>
  <c r="AM15" i="2"/>
  <c r="AM11" i="2"/>
  <c r="AM7" i="2"/>
  <c r="AM219" i="2"/>
  <c r="AM215" i="2"/>
  <c r="AM195" i="2"/>
  <c r="AM191" i="2"/>
  <c r="AM187" i="2"/>
  <c r="AM183" i="2"/>
  <c r="AM179" i="2"/>
  <c r="AM175" i="2"/>
  <c r="AM171" i="2"/>
  <c r="AM167" i="2"/>
  <c r="AM163" i="2"/>
  <c r="AM159" i="2"/>
  <c r="AM155" i="2"/>
  <c r="AM151" i="2"/>
  <c r="AM147" i="2"/>
  <c r="AM143" i="2"/>
  <c r="AM139" i="2"/>
  <c r="AM135" i="2"/>
  <c r="AM131" i="2"/>
  <c r="AM127" i="2"/>
  <c r="AM122" i="2"/>
  <c r="AM118" i="2"/>
  <c r="AM114" i="2"/>
  <c r="AM110" i="2"/>
  <c r="AM106" i="2"/>
  <c r="AM102" i="2"/>
  <c r="AM98" i="2"/>
  <c r="AM94" i="2"/>
  <c r="AM90" i="2"/>
  <c r="AM86" i="2"/>
  <c r="AM82" i="2"/>
  <c r="AM78" i="2"/>
  <c r="AM74" i="2"/>
  <c r="AM70" i="2"/>
  <c r="AM66" i="2"/>
  <c r="AM62" i="2"/>
  <c r="AM58" i="2"/>
  <c r="AM54" i="2"/>
  <c r="AM50" i="2"/>
  <c r="AM46" i="2"/>
  <c r="AM42" i="2"/>
  <c r="AM38" i="2"/>
  <c r="AM34" i="2"/>
  <c r="AM30" i="2"/>
  <c r="AM26" i="2"/>
  <c r="AM22" i="2"/>
  <c r="AM18" i="2"/>
  <c r="AM14" i="2"/>
  <c r="AM10" i="2"/>
  <c r="AM6" i="2"/>
  <c r="E11" i="4"/>
  <c r="K245" i="2" l="1"/>
  <c r="K254" i="2"/>
  <c r="AN9" i="2"/>
  <c r="K229" i="2" l="1"/>
  <c r="AN16" i="2"/>
  <c r="AN71" i="2"/>
  <c r="AN103" i="2"/>
  <c r="AN132" i="2"/>
  <c r="AN164" i="2"/>
  <c r="AN196" i="2"/>
  <c r="AN36" i="2"/>
  <c r="AN109" i="2"/>
  <c r="AN170" i="2"/>
  <c r="AN47" i="2"/>
  <c r="AN15" i="2"/>
  <c r="AN50" i="2"/>
  <c r="AN18" i="2"/>
  <c r="AN49" i="2"/>
  <c r="AN88" i="2"/>
  <c r="AN120" i="2"/>
  <c r="AN149" i="2"/>
  <c r="AN181" i="2"/>
  <c r="AN81" i="2"/>
  <c r="AN142" i="2"/>
  <c r="AN222" i="2"/>
  <c r="AN139" i="2"/>
  <c r="AN82" i="2"/>
  <c r="AN143" i="2"/>
  <c r="AN69" i="2"/>
  <c r="AN45" i="2"/>
  <c r="AN86" i="2"/>
  <c r="AN55" i="2"/>
  <c r="AN91" i="2"/>
  <c r="AN123" i="2"/>
  <c r="AN152" i="2"/>
  <c r="AN184" i="2"/>
  <c r="AN52" i="2"/>
  <c r="AN121" i="2"/>
  <c r="AN43" i="2"/>
  <c r="AN11" i="2"/>
  <c r="AN46" i="2"/>
  <c r="AN14" i="2"/>
  <c r="AN56" i="2"/>
  <c r="AN92" i="2"/>
  <c r="AN153" i="2"/>
  <c r="AN185" i="2"/>
  <c r="AN89" i="2"/>
  <c r="AN150" i="2"/>
  <c r="AN155" i="2"/>
  <c r="AN98" i="2"/>
  <c r="AN159" i="2"/>
  <c r="AN183" i="2"/>
  <c r="AN21" i="2"/>
  <c r="AN135" i="2"/>
  <c r="AN8" i="2"/>
  <c r="AN40" i="2"/>
  <c r="AN65" i="2"/>
  <c r="AN83" i="2"/>
  <c r="AN99" i="2"/>
  <c r="AN115" i="2"/>
  <c r="AN128" i="2"/>
  <c r="AN144" i="2"/>
  <c r="AN160" i="2"/>
  <c r="AN176" i="2"/>
  <c r="AN192" i="2"/>
  <c r="AN20" i="2"/>
  <c r="AN73" i="2"/>
  <c r="AN101" i="2"/>
  <c r="AN130" i="2"/>
  <c r="AN162" i="2"/>
  <c r="AN194" i="2"/>
  <c r="AN51" i="2"/>
  <c r="AN35" i="2"/>
  <c r="AN19" i="2"/>
  <c r="AN70" i="2"/>
  <c r="AN54" i="2"/>
  <c r="AN38" i="2"/>
  <c r="AN22" i="2"/>
  <c r="AN6" i="2"/>
  <c r="AN41" i="2"/>
  <c r="AN67" i="2"/>
  <c r="AN84" i="2"/>
  <c r="AN100" i="2"/>
  <c r="AN116" i="2"/>
  <c r="AN129" i="2"/>
  <c r="AN145" i="2"/>
  <c r="AN161" i="2"/>
  <c r="AN177" i="2"/>
  <c r="AN193" i="2"/>
  <c r="AN12" i="2"/>
  <c r="AN68" i="2"/>
  <c r="AN105" i="2"/>
  <c r="AN134" i="2"/>
  <c r="AN166" i="2"/>
  <c r="AN198" i="2"/>
  <c r="AN59" i="2"/>
  <c r="AN187" i="2"/>
  <c r="AN64" i="2"/>
  <c r="AN127" i="2"/>
  <c r="AN191" i="2"/>
  <c r="AN122" i="2"/>
  <c r="AN13" i="2"/>
  <c r="AN163" i="2"/>
  <c r="AN167" i="2"/>
  <c r="AN147" i="2"/>
  <c r="AN215" i="2"/>
  <c r="AN48" i="2"/>
  <c r="AN87" i="2"/>
  <c r="AN119" i="2"/>
  <c r="AN148" i="2"/>
  <c r="AN180" i="2"/>
  <c r="AN77" i="2"/>
  <c r="AN138" i="2"/>
  <c r="AN218" i="2"/>
  <c r="AN31" i="2"/>
  <c r="AN66" i="2"/>
  <c r="AN34" i="2"/>
  <c r="AN17" i="2"/>
  <c r="AN72" i="2"/>
  <c r="AN104" i="2"/>
  <c r="AN133" i="2"/>
  <c r="AN165" i="2"/>
  <c r="AN197" i="2"/>
  <c r="AN28" i="2"/>
  <c r="AN113" i="2"/>
  <c r="AN174" i="2"/>
  <c r="AN78" i="2"/>
  <c r="AN219" i="2"/>
  <c r="AN151" i="2"/>
  <c r="AN195" i="2"/>
  <c r="AN24" i="2"/>
  <c r="AN75" i="2"/>
  <c r="AN107" i="2"/>
  <c r="AN136" i="2"/>
  <c r="AN168" i="2"/>
  <c r="AN216" i="2"/>
  <c r="AN85" i="2"/>
  <c r="AN146" i="2"/>
  <c r="AN178" i="2"/>
  <c r="AN27" i="2"/>
  <c r="AN62" i="2"/>
  <c r="AN30" i="2"/>
  <c r="AN25" i="2"/>
  <c r="AN76" i="2"/>
  <c r="AN108" i="2"/>
  <c r="AN137" i="2"/>
  <c r="AN169" i="2"/>
  <c r="AN217" i="2"/>
  <c r="AN44" i="2"/>
  <c r="AN117" i="2"/>
  <c r="AN182" i="2"/>
  <c r="AN94" i="2"/>
  <c r="AN53" i="2"/>
  <c r="AN102" i="2"/>
  <c r="AN118" i="2"/>
  <c r="AN32" i="2"/>
  <c r="AN60" i="2"/>
  <c r="AN79" i="2"/>
  <c r="AN95" i="2"/>
  <c r="AN111" i="2"/>
  <c r="AN124" i="2"/>
  <c r="AN140" i="2"/>
  <c r="AN156" i="2"/>
  <c r="AN172" i="2"/>
  <c r="AN188" i="2"/>
  <c r="AN220" i="2"/>
  <c r="AN5" i="2"/>
  <c r="AN63" i="2"/>
  <c r="AN93" i="2"/>
  <c r="AN154" i="2"/>
  <c r="AN186" i="2"/>
  <c r="AN39" i="2"/>
  <c r="AN23" i="2"/>
  <c r="AN7" i="2"/>
  <c r="AN58" i="2"/>
  <c r="AN42" i="2"/>
  <c r="AN26" i="2"/>
  <c r="AN10" i="2"/>
  <c r="AN33" i="2"/>
  <c r="AN61" i="2"/>
  <c r="AN80" i="2"/>
  <c r="AN96" i="2"/>
  <c r="AN112" i="2"/>
  <c r="AN125" i="2"/>
  <c r="AN141" i="2"/>
  <c r="AN157" i="2"/>
  <c r="AN173" i="2"/>
  <c r="AN189" i="2"/>
  <c r="AN221" i="2"/>
  <c r="AN57" i="2"/>
  <c r="AN97" i="2"/>
  <c r="AN126" i="2"/>
  <c r="AN158" i="2"/>
  <c r="AN190" i="2"/>
  <c r="AN29" i="2"/>
  <c r="AN110" i="2"/>
  <c r="AN171" i="2"/>
  <c r="AN37" i="2"/>
  <c r="AN114" i="2"/>
  <c r="AN175" i="2"/>
  <c r="AN90" i="2"/>
  <c r="AN131" i="2"/>
  <c r="AN106" i="2"/>
  <c r="AN179" i="2"/>
  <c r="AN74" i="2"/>
  <c r="AM224" i="2"/>
  <c r="AN224" i="2" l="1"/>
  <c r="F234" i="2"/>
  <c r="F309" i="2"/>
  <c r="F312" i="2"/>
  <c r="C313" i="2"/>
  <c r="D313" i="2"/>
  <c r="F231" i="2"/>
  <c r="F232" i="2"/>
  <c r="F233" i="2"/>
  <c r="F235" i="2"/>
  <c r="F238" i="2"/>
  <c r="F239" i="2"/>
  <c r="F240" i="2"/>
  <c r="F241" i="2"/>
  <c r="F242" i="2"/>
  <c r="F243" i="2"/>
  <c r="F244" i="2"/>
  <c r="E5" i="2" l="1"/>
  <c r="M5" i="2"/>
  <c r="Y5" i="2"/>
  <c r="G5" i="2"/>
  <c r="U5" i="2"/>
  <c r="C5" i="2"/>
  <c r="S5" i="2"/>
  <c r="AA5" i="2"/>
  <c r="K5" i="2"/>
  <c r="O5" i="2"/>
  <c r="I5" i="2"/>
  <c r="Q5" i="2"/>
  <c r="U8" i="2"/>
  <c r="C8" i="2"/>
  <c r="S8" i="2"/>
  <c r="I8" i="2"/>
  <c r="O8" i="2"/>
  <c r="Y8" i="2"/>
  <c r="Q8" i="2"/>
  <c r="E8" i="2"/>
  <c r="K8" i="2"/>
  <c r="M8" i="2"/>
  <c r="G8" i="2"/>
  <c r="AA8" i="2"/>
  <c r="Y9" i="2"/>
  <c r="S9" i="2"/>
  <c r="AA9" i="2"/>
  <c r="G9" i="2"/>
  <c r="Q9" i="2"/>
  <c r="E9" i="2"/>
  <c r="K9" i="2"/>
  <c r="I9" i="2"/>
  <c r="C9" i="2"/>
  <c r="M9" i="2"/>
  <c r="O9" i="2"/>
  <c r="U9" i="2"/>
  <c r="S10" i="2"/>
  <c r="I10" i="2"/>
  <c r="O10" i="2"/>
  <c r="U10" i="2"/>
  <c r="Y10" i="2"/>
  <c r="K10" i="2"/>
  <c r="AA10" i="2"/>
  <c r="Q10" i="2"/>
  <c r="M10" i="2"/>
  <c r="G10" i="2"/>
  <c r="C10" i="2"/>
  <c r="Y14" i="2"/>
  <c r="M14" i="2"/>
  <c r="O14" i="2"/>
  <c r="K14" i="2"/>
  <c r="AA14" i="2"/>
  <c r="C14" i="2"/>
  <c r="I14" i="2"/>
  <c r="E14" i="2"/>
  <c r="S14" i="2"/>
  <c r="Q14" i="2"/>
  <c r="G14" i="2"/>
  <c r="U14" i="2"/>
  <c r="K15" i="2"/>
  <c r="I15" i="2"/>
  <c r="E15" i="2"/>
  <c r="S15" i="2"/>
  <c r="C15" i="2"/>
  <c r="G15" i="2"/>
  <c r="U15" i="2"/>
  <c r="M15" i="2"/>
  <c r="Y15" i="2"/>
  <c r="O15" i="2"/>
  <c r="AA15" i="2"/>
  <c r="Q15" i="2"/>
  <c r="Y16" i="2"/>
  <c r="M16" i="2"/>
  <c r="I16" i="2"/>
  <c r="E16" i="2"/>
  <c r="K16" i="2"/>
  <c r="O16" i="2"/>
  <c r="S16" i="2"/>
  <c r="U16" i="2"/>
  <c r="AA16" i="2"/>
  <c r="C16" i="2"/>
  <c r="G16" i="2"/>
  <c r="Q16" i="2"/>
  <c r="M17" i="2"/>
  <c r="Q17" i="2"/>
  <c r="E17" i="2"/>
  <c r="O17" i="2"/>
  <c r="K17" i="2"/>
  <c r="S17" i="2"/>
  <c r="Y17" i="2"/>
  <c r="C17" i="2"/>
  <c r="U17" i="2"/>
  <c r="G17" i="2"/>
  <c r="AA17" i="2"/>
  <c r="I17" i="2"/>
  <c r="M18" i="2"/>
  <c r="Y18" i="2"/>
  <c r="O18" i="2"/>
  <c r="C18" i="2"/>
  <c r="G18" i="2"/>
  <c r="U18" i="2"/>
  <c r="AA18" i="2"/>
  <c r="K18" i="2"/>
  <c r="E18" i="2"/>
  <c r="I18" i="2"/>
  <c r="S18" i="2"/>
  <c r="Q18" i="2"/>
  <c r="AA19" i="2"/>
  <c r="Y19" i="2"/>
  <c r="S19" i="2"/>
  <c r="U19" i="2"/>
  <c r="K19" i="2"/>
  <c r="I19" i="2"/>
  <c r="G19" i="2"/>
  <c r="O19" i="2"/>
  <c r="E19" i="2"/>
  <c r="C19" i="2"/>
  <c r="Q19" i="2"/>
  <c r="M19" i="2"/>
  <c r="S20" i="2"/>
  <c r="K20" i="2"/>
  <c r="E20" i="2"/>
  <c r="G20" i="2"/>
  <c r="Y20" i="2"/>
  <c r="U20" i="2"/>
  <c r="O20" i="2"/>
  <c r="AA20" i="2"/>
  <c r="M20" i="2"/>
  <c r="C20" i="2"/>
  <c r="Q20" i="2"/>
  <c r="I20" i="2"/>
  <c r="O21" i="2"/>
  <c r="S21" i="2"/>
  <c r="G21" i="2"/>
  <c r="I21" i="2"/>
  <c r="AA21" i="2"/>
  <c r="C21" i="2"/>
  <c r="Y21" i="2"/>
  <c r="Q21" i="2"/>
  <c r="K21" i="2"/>
  <c r="E21" i="2"/>
  <c r="U21" i="2"/>
  <c r="M21" i="2"/>
  <c r="O22" i="2"/>
  <c r="M22" i="2"/>
  <c r="I22" i="2"/>
  <c r="C22" i="2"/>
  <c r="AA22" i="2"/>
  <c r="Q22" i="2"/>
  <c r="K22" i="2"/>
  <c r="Y22" i="2"/>
  <c r="U22" i="2"/>
  <c r="G22" i="2"/>
  <c r="S22" i="2"/>
  <c r="E22" i="2"/>
  <c r="E23" i="2"/>
  <c r="K23" i="2"/>
  <c r="Q23" i="2"/>
  <c r="AA23" i="2"/>
  <c r="Y23" i="2"/>
  <c r="S23" i="2"/>
  <c r="O23" i="2"/>
  <c r="M23" i="2"/>
  <c r="I23" i="2"/>
  <c r="C23" i="2"/>
  <c r="G23" i="2"/>
  <c r="U23" i="2"/>
  <c r="Y24" i="2"/>
  <c r="S24" i="2"/>
  <c r="C24" i="2"/>
  <c r="K24" i="2"/>
  <c r="Q24" i="2"/>
  <c r="G24" i="2"/>
  <c r="U24" i="2"/>
  <c r="I24" i="2"/>
  <c r="E24" i="2"/>
  <c r="M24" i="2"/>
  <c r="O24" i="2"/>
  <c r="AA24" i="2"/>
  <c r="C25" i="2"/>
  <c r="Y25" i="2"/>
  <c r="S25" i="2"/>
  <c r="K25" i="2"/>
  <c r="G25" i="2"/>
  <c r="Q25" i="2"/>
  <c r="U25" i="2"/>
  <c r="O25" i="2"/>
  <c r="M25" i="2"/>
  <c r="AA25" i="2"/>
  <c r="I25" i="2"/>
  <c r="E25" i="2"/>
  <c r="O26" i="2"/>
  <c r="Y26" i="2"/>
  <c r="S26" i="2"/>
  <c r="I26" i="2"/>
  <c r="Q26" i="2"/>
  <c r="K26" i="2"/>
  <c r="AA26" i="2"/>
  <c r="U26" i="2"/>
  <c r="C26" i="2"/>
  <c r="M26" i="2"/>
  <c r="E26" i="2"/>
  <c r="G26" i="2"/>
  <c r="U27" i="2"/>
  <c r="S27" i="2"/>
  <c r="I27" i="2"/>
  <c r="Q27" i="2"/>
  <c r="K27" i="2"/>
  <c r="Y27" i="2"/>
  <c r="E27" i="2"/>
  <c r="G27" i="2"/>
  <c r="M27" i="2"/>
  <c r="AA27" i="2"/>
  <c r="C27" i="2"/>
  <c r="O27" i="2"/>
  <c r="I28" i="2"/>
  <c r="Q28" i="2"/>
  <c r="Y28" i="2"/>
  <c r="S28" i="2"/>
  <c r="U28" i="2"/>
  <c r="K28" i="2"/>
  <c r="C28" i="2"/>
  <c r="O28" i="2"/>
  <c r="M28" i="2"/>
  <c r="AA28" i="2"/>
  <c r="E28" i="2"/>
  <c r="G28" i="2"/>
  <c r="Q29" i="2"/>
  <c r="U29" i="2"/>
  <c r="M29" i="2"/>
  <c r="Y29" i="2"/>
  <c r="G29" i="2"/>
  <c r="K29" i="2"/>
  <c r="E29" i="2"/>
  <c r="O29" i="2"/>
  <c r="AA29" i="2"/>
  <c r="I29" i="2"/>
  <c r="S29" i="2"/>
  <c r="C29" i="2"/>
  <c r="K30" i="2"/>
  <c r="Q30" i="2"/>
  <c r="U30" i="2"/>
  <c r="Y30" i="2"/>
  <c r="S30" i="2"/>
  <c r="G30" i="2"/>
  <c r="O30" i="2"/>
  <c r="AA30" i="2"/>
  <c r="E30" i="2"/>
  <c r="M30" i="2"/>
  <c r="I30" i="2"/>
  <c r="C30" i="2"/>
  <c r="G31" i="2"/>
  <c r="E31" i="2"/>
  <c r="Q31" i="2"/>
  <c r="K31" i="2"/>
  <c r="C31" i="2"/>
  <c r="M31" i="2"/>
  <c r="S31" i="2"/>
  <c r="O31" i="2"/>
  <c r="U31" i="2"/>
  <c r="AA31" i="2"/>
  <c r="Y31" i="2"/>
  <c r="I31" i="2"/>
  <c r="G32" i="2"/>
  <c r="U32" i="2"/>
  <c r="M32" i="2"/>
  <c r="Y32" i="2"/>
  <c r="Q32" i="2"/>
  <c r="S32" i="2"/>
  <c r="AA32" i="2"/>
  <c r="C32" i="2"/>
  <c r="I32" i="2"/>
  <c r="K32" i="2"/>
  <c r="E32" i="2"/>
  <c r="O32" i="2"/>
  <c r="M33" i="2"/>
  <c r="E33" i="2"/>
  <c r="S33" i="2"/>
  <c r="K33" i="2"/>
  <c r="C33" i="2"/>
  <c r="Q33" i="2"/>
  <c r="AA33" i="2"/>
  <c r="G33" i="2"/>
  <c r="I33" i="2"/>
  <c r="Y33" i="2"/>
  <c r="O33" i="2"/>
  <c r="U33" i="2"/>
  <c r="M34" i="2"/>
  <c r="I34" i="2"/>
  <c r="E34" i="2"/>
  <c r="AA34" i="2"/>
  <c r="S34" i="2"/>
  <c r="Q34" i="2"/>
  <c r="C34" i="2"/>
  <c r="O34" i="2"/>
  <c r="K34" i="2"/>
  <c r="U34" i="2"/>
  <c r="G34" i="2"/>
  <c r="Y34" i="2"/>
  <c r="M35" i="2"/>
  <c r="O35" i="2"/>
  <c r="AA35" i="2"/>
  <c r="I35" i="2"/>
  <c r="S35" i="2"/>
  <c r="G35" i="2"/>
  <c r="K35" i="2"/>
  <c r="E35" i="2"/>
  <c r="C35" i="2"/>
  <c r="U35" i="2"/>
  <c r="Q35" i="2"/>
  <c r="Y35" i="2"/>
  <c r="AA36" i="2"/>
  <c r="G36" i="2"/>
  <c r="M36" i="2"/>
  <c r="K36" i="2"/>
  <c r="S36" i="2"/>
  <c r="O36" i="2"/>
  <c r="Q36" i="2"/>
  <c r="U36" i="2"/>
  <c r="C36" i="2"/>
  <c r="I36" i="2"/>
  <c r="E36" i="2"/>
  <c r="Y36" i="2"/>
  <c r="K37" i="2"/>
  <c r="C37" i="2"/>
  <c r="M37" i="2"/>
  <c r="I37" i="2"/>
  <c r="S37" i="2"/>
  <c r="O37" i="2"/>
  <c r="G37" i="2"/>
  <c r="Y37" i="2"/>
  <c r="E37" i="2"/>
  <c r="Q37" i="2"/>
  <c r="U37" i="2"/>
  <c r="AA37" i="2"/>
  <c r="M38" i="2"/>
  <c r="K38" i="2"/>
  <c r="C38" i="2"/>
  <c r="Q38" i="2"/>
  <c r="I38" i="2"/>
  <c r="Y38" i="2"/>
  <c r="S38" i="2"/>
  <c r="O38" i="2"/>
  <c r="G38" i="2"/>
  <c r="U38" i="2"/>
  <c r="E38" i="2"/>
  <c r="AA38" i="2"/>
  <c r="U39" i="2"/>
  <c r="E39" i="2"/>
  <c r="C39" i="2"/>
  <c r="K39" i="2"/>
  <c r="I39" i="2"/>
  <c r="Q39" i="2"/>
  <c r="S39" i="2"/>
  <c r="G39" i="2"/>
  <c r="O39" i="2"/>
  <c r="AA39" i="2"/>
  <c r="M39" i="2"/>
  <c r="Y39" i="2"/>
  <c r="C40" i="2"/>
  <c r="E40" i="2"/>
  <c r="G40" i="2"/>
  <c r="K40" i="2"/>
  <c r="I40" i="2"/>
  <c r="AA40" i="2"/>
  <c r="S40" i="2"/>
  <c r="O40" i="2"/>
  <c r="U40" i="2"/>
  <c r="M40" i="2"/>
  <c r="Y40" i="2"/>
  <c r="Q40" i="2"/>
  <c r="K41" i="2"/>
  <c r="Q41" i="2"/>
  <c r="E41" i="2"/>
  <c r="S41" i="2"/>
  <c r="M41" i="2"/>
  <c r="Y41" i="2"/>
  <c r="U41" i="2"/>
  <c r="G41" i="2"/>
  <c r="C41" i="2"/>
  <c r="I41" i="2"/>
  <c r="AA41" i="2"/>
  <c r="O41" i="2"/>
  <c r="O42" i="2"/>
  <c r="C42" i="2"/>
  <c r="Q42" i="2"/>
  <c r="U42" i="2"/>
  <c r="K42" i="2"/>
  <c r="S42" i="2"/>
  <c r="M42" i="2"/>
  <c r="I42" i="2"/>
  <c r="Y42" i="2"/>
  <c r="G42" i="2"/>
  <c r="E42" i="2"/>
  <c r="AA42" i="2"/>
  <c r="K43" i="2"/>
  <c r="Y43" i="2"/>
  <c r="C43" i="2"/>
  <c r="M43" i="2"/>
  <c r="Q43" i="2"/>
  <c r="E43" i="2"/>
  <c r="S43" i="2"/>
  <c r="U43" i="2"/>
  <c r="AA43" i="2"/>
  <c r="I43" i="2"/>
  <c r="G43" i="2"/>
  <c r="O43" i="2"/>
  <c r="O44" i="2"/>
  <c r="S44" i="2"/>
  <c r="G44" i="2"/>
  <c r="E44" i="2"/>
  <c r="K44" i="2"/>
  <c r="C44" i="2"/>
  <c r="U44" i="2"/>
  <c r="AA44" i="2"/>
  <c r="I44" i="2"/>
  <c r="Q44" i="2"/>
  <c r="M44" i="2"/>
  <c r="Y44" i="2"/>
  <c r="U45" i="2"/>
  <c r="E45" i="2"/>
  <c r="G45" i="2"/>
  <c r="Q45" i="2"/>
  <c r="K45" i="2"/>
  <c r="O45" i="2"/>
  <c r="I45" i="2"/>
  <c r="S45" i="2"/>
  <c r="C45" i="2"/>
  <c r="AA45" i="2"/>
  <c r="Y45" i="2"/>
  <c r="M45" i="2"/>
  <c r="K46" i="2"/>
  <c r="U46" i="2"/>
  <c r="C46" i="2"/>
  <c r="Q46" i="2"/>
  <c r="G46" i="2"/>
  <c r="AA46" i="2"/>
  <c r="I46" i="2"/>
  <c r="Y46" i="2"/>
  <c r="O46" i="2"/>
  <c r="E46" i="2"/>
  <c r="S46" i="2"/>
  <c r="M46" i="2"/>
  <c r="Q47" i="2"/>
  <c r="E47" i="2"/>
  <c r="M47" i="2"/>
  <c r="G47" i="2"/>
  <c r="C47" i="2"/>
  <c r="AA47" i="2"/>
  <c r="O47" i="2"/>
  <c r="Y47" i="2"/>
  <c r="S47" i="2"/>
  <c r="U47" i="2"/>
  <c r="K47" i="2"/>
  <c r="I47" i="2"/>
  <c r="AA48" i="2"/>
  <c r="Q48" i="2"/>
  <c r="K48" i="2"/>
  <c r="G48" i="2"/>
  <c r="M48" i="2"/>
  <c r="I48" i="2"/>
  <c r="E48" i="2"/>
  <c r="C48" i="2"/>
  <c r="Y48" i="2"/>
  <c r="O48" i="2"/>
  <c r="S48" i="2"/>
  <c r="U48" i="2"/>
  <c r="Q49" i="2"/>
  <c r="S49" i="2"/>
  <c r="O49" i="2"/>
  <c r="U49" i="2"/>
  <c r="E49" i="2"/>
  <c r="Y49" i="2"/>
  <c r="G49" i="2"/>
  <c r="M49" i="2"/>
  <c r="I49" i="2"/>
  <c r="AA49" i="2"/>
  <c r="C49" i="2"/>
  <c r="K49" i="2"/>
  <c r="C50" i="2"/>
  <c r="M50" i="2"/>
  <c r="Q50" i="2"/>
  <c r="U50" i="2"/>
  <c r="O50" i="2"/>
  <c r="Y50" i="2"/>
  <c r="G50" i="2"/>
  <c r="AA50" i="2"/>
  <c r="S50" i="2"/>
  <c r="I50" i="2"/>
  <c r="K50" i="2"/>
  <c r="E50" i="2"/>
  <c r="O51" i="2"/>
  <c r="E51" i="2"/>
  <c r="I51" i="2"/>
  <c r="AA51" i="2"/>
  <c r="K51" i="2"/>
  <c r="C51" i="2"/>
  <c r="Q51" i="2"/>
  <c r="S51" i="2"/>
  <c r="Y51" i="2"/>
  <c r="G51" i="2"/>
  <c r="M51" i="2"/>
  <c r="U51" i="2"/>
  <c r="I53" i="2"/>
  <c r="O53" i="2"/>
  <c r="K53" i="2"/>
  <c r="Q53" i="2"/>
  <c r="S53" i="2"/>
  <c r="E53" i="2"/>
  <c r="U53" i="2"/>
  <c r="C53" i="2"/>
  <c r="G53" i="2"/>
  <c r="M53" i="2"/>
  <c r="AA53" i="2"/>
  <c r="Y53" i="2"/>
  <c r="G54" i="2"/>
  <c r="AA54" i="2"/>
  <c r="K54" i="2"/>
  <c r="Y54" i="2"/>
  <c r="I54" i="2"/>
  <c r="M54" i="2"/>
  <c r="U54" i="2"/>
  <c r="S54" i="2"/>
  <c r="O54" i="2"/>
  <c r="Q54" i="2"/>
  <c r="C54" i="2"/>
  <c r="E54" i="2"/>
  <c r="G55" i="2"/>
  <c r="O55" i="2"/>
  <c r="Q55" i="2"/>
  <c r="I55" i="2"/>
  <c r="S55" i="2"/>
  <c r="E55" i="2"/>
  <c r="K55" i="2"/>
  <c r="C55" i="2"/>
  <c r="Y55" i="2"/>
  <c r="U55" i="2"/>
  <c r="AA55" i="2"/>
  <c r="M55" i="2"/>
  <c r="G56" i="2"/>
  <c r="Y56" i="2"/>
  <c r="M56" i="2"/>
  <c r="K56" i="2"/>
  <c r="C56" i="2"/>
  <c r="E56" i="2"/>
  <c r="AA56" i="2"/>
  <c r="Q56" i="2"/>
  <c r="O56" i="2"/>
  <c r="I56" i="2"/>
  <c r="U56" i="2"/>
  <c r="S56" i="2"/>
  <c r="G57" i="2"/>
  <c r="U57" i="2"/>
  <c r="M57" i="2"/>
  <c r="C57" i="2"/>
  <c r="E57" i="2"/>
  <c r="I57" i="2"/>
  <c r="Y57" i="2"/>
  <c r="O57" i="2"/>
  <c r="K57" i="2"/>
  <c r="S57" i="2"/>
  <c r="AA57" i="2"/>
  <c r="Q57" i="2"/>
  <c r="G58" i="2"/>
  <c r="U58" i="2"/>
  <c r="AA58" i="2"/>
  <c r="M58" i="2"/>
  <c r="S58" i="2"/>
  <c r="I58" i="2"/>
  <c r="Y58" i="2"/>
  <c r="K58" i="2"/>
  <c r="O58" i="2"/>
  <c r="E58" i="2"/>
  <c r="C58" i="2"/>
  <c r="Q58" i="2"/>
  <c r="G59" i="2"/>
  <c r="AA59" i="2"/>
  <c r="I59" i="2"/>
  <c r="M59" i="2"/>
  <c r="O59" i="2"/>
  <c r="U59" i="2"/>
  <c r="K59" i="2"/>
  <c r="Q59" i="2"/>
  <c r="Y59" i="2"/>
  <c r="E59" i="2"/>
  <c r="C59" i="2"/>
  <c r="S59" i="2"/>
  <c r="G60" i="2"/>
  <c r="Y60" i="2"/>
  <c r="I60" i="2"/>
  <c r="O60" i="2"/>
  <c r="K60" i="2"/>
  <c r="C60" i="2"/>
  <c r="E60" i="2"/>
  <c r="M60" i="2"/>
  <c r="Q60" i="2"/>
  <c r="S60" i="2"/>
  <c r="U60" i="2"/>
  <c r="AA60" i="2"/>
  <c r="U61" i="2"/>
  <c r="K61" i="2"/>
  <c r="E61" i="2"/>
  <c r="I61" i="2"/>
  <c r="Q61" i="2"/>
  <c r="O61" i="2"/>
  <c r="Y61" i="2"/>
  <c r="C61" i="2"/>
  <c r="M61" i="2"/>
  <c r="S61" i="2"/>
  <c r="AA61" i="2"/>
  <c r="G61" i="2"/>
  <c r="U62" i="2"/>
  <c r="Y62" i="2"/>
  <c r="O62" i="2"/>
  <c r="S62" i="2"/>
  <c r="I62" i="2"/>
  <c r="AA62" i="2"/>
  <c r="Q62" i="2"/>
  <c r="M62" i="2"/>
  <c r="E62" i="2"/>
  <c r="K62" i="2"/>
  <c r="C62" i="2"/>
  <c r="G62" i="2"/>
  <c r="I63" i="2"/>
  <c r="S63" i="2"/>
  <c r="AA63" i="2"/>
  <c r="M63" i="2"/>
  <c r="K63" i="2"/>
  <c r="G63" i="2"/>
  <c r="E63" i="2"/>
  <c r="U63" i="2"/>
  <c r="Q63" i="2"/>
  <c r="O63" i="2"/>
  <c r="Y63" i="2"/>
  <c r="C63" i="2"/>
  <c r="G64" i="2"/>
  <c r="U64" i="2"/>
  <c r="C64" i="2"/>
  <c r="AA64" i="2"/>
  <c r="E64" i="2"/>
  <c r="Q64" i="2"/>
  <c r="O64" i="2"/>
  <c r="Y64" i="2"/>
  <c r="S64" i="2"/>
  <c r="K64" i="2"/>
  <c r="I64" i="2"/>
  <c r="M64" i="2"/>
  <c r="G65" i="2"/>
  <c r="K65" i="2"/>
  <c r="O65" i="2"/>
  <c r="C65" i="2"/>
  <c r="M65" i="2"/>
  <c r="Y65" i="2"/>
  <c r="I65" i="2"/>
  <c r="S65" i="2"/>
  <c r="U65" i="2"/>
  <c r="Q65" i="2"/>
  <c r="E65" i="2"/>
  <c r="AA65" i="2"/>
  <c r="G66" i="2"/>
  <c r="I66" i="2"/>
  <c r="Q66" i="2"/>
  <c r="K66" i="2"/>
  <c r="U66" i="2"/>
  <c r="Y66" i="2"/>
  <c r="S66" i="2"/>
  <c r="O66" i="2"/>
  <c r="E66" i="2"/>
  <c r="C66" i="2"/>
  <c r="AA66" i="2"/>
  <c r="M66" i="2"/>
  <c r="G67" i="2"/>
  <c r="Y67" i="2"/>
  <c r="U67" i="2"/>
  <c r="C67" i="2"/>
  <c r="K67" i="2"/>
  <c r="S67" i="2"/>
  <c r="Q67" i="2"/>
  <c r="O67" i="2"/>
  <c r="AA67" i="2"/>
  <c r="E67" i="2"/>
  <c r="M67" i="2"/>
  <c r="I67" i="2"/>
  <c r="G68" i="2"/>
  <c r="Q68" i="2"/>
  <c r="S68" i="2"/>
  <c r="AA68" i="2"/>
  <c r="U68" i="2"/>
  <c r="C68" i="2"/>
  <c r="M68" i="2"/>
  <c r="I68" i="2"/>
  <c r="Y68" i="2"/>
  <c r="O68" i="2"/>
  <c r="E68" i="2"/>
  <c r="K68" i="2"/>
  <c r="G69" i="2"/>
  <c r="Q69" i="2"/>
  <c r="S69" i="2"/>
  <c r="AA69" i="2"/>
  <c r="U69" i="2"/>
  <c r="C69" i="2"/>
  <c r="E69" i="2"/>
  <c r="O69" i="2"/>
  <c r="M69" i="2"/>
  <c r="K69" i="2"/>
  <c r="Y69" i="2"/>
  <c r="I69" i="2"/>
  <c r="G70" i="2"/>
  <c r="E70" i="2"/>
  <c r="AA70" i="2"/>
  <c r="S70" i="2"/>
  <c r="K70" i="2"/>
  <c r="I70" i="2"/>
  <c r="Y70" i="2"/>
  <c r="Q70" i="2"/>
  <c r="C70" i="2"/>
  <c r="M70" i="2"/>
  <c r="O70" i="2"/>
  <c r="U70" i="2"/>
  <c r="G71" i="2"/>
  <c r="S71" i="2"/>
  <c r="K71" i="2"/>
  <c r="C71" i="2"/>
  <c r="I71" i="2"/>
  <c r="E71" i="2"/>
  <c r="Y71" i="2"/>
  <c r="M71" i="2"/>
  <c r="O71" i="2"/>
  <c r="U71" i="2"/>
  <c r="Q71" i="2"/>
  <c r="AA71" i="2"/>
  <c r="G72" i="2"/>
  <c r="K72" i="2"/>
  <c r="E72" i="2"/>
  <c r="Y72" i="2"/>
  <c r="Q72" i="2"/>
  <c r="AA72" i="2"/>
  <c r="S72" i="2"/>
  <c r="C72" i="2"/>
  <c r="O72" i="2"/>
  <c r="M72" i="2"/>
  <c r="U72" i="2"/>
  <c r="I72" i="2"/>
  <c r="G73" i="2"/>
  <c r="C73" i="2"/>
  <c r="Q73" i="2"/>
  <c r="AA73" i="2"/>
  <c r="Y73" i="2"/>
  <c r="E73" i="2"/>
  <c r="S73" i="2"/>
  <c r="M73" i="2"/>
  <c r="U73" i="2"/>
  <c r="K73" i="2"/>
  <c r="O73" i="2"/>
  <c r="I73" i="2"/>
  <c r="G74" i="2"/>
  <c r="I74" i="2"/>
  <c r="O74" i="2"/>
  <c r="M74" i="2"/>
  <c r="U74" i="2"/>
  <c r="C74" i="2"/>
  <c r="AA74" i="2"/>
  <c r="E74" i="2"/>
  <c r="S74" i="2"/>
  <c r="Q74" i="2"/>
  <c r="K74" i="2"/>
  <c r="Y74" i="2"/>
  <c r="G75" i="2"/>
  <c r="M75" i="2"/>
  <c r="S75" i="2"/>
  <c r="C75" i="2"/>
  <c r="O75" i="2"/>
  <c r="AA75" i="2"/>
  <c r="I75" i="2"/>
  <c r="E75" i="2"/>
  <c r="K75" i="2"/>
  <c r="Y75" i="2"/>
  <c r="Q75" i="2"/>
  <c r="U75" i="2"/>
  <c r="G76" i="2"/>
  <c r="Q76" i="2"/>
  <c r="M76" i="2"/>
  <c r="U76" i="2"/>
  <c r="I76" i="2"/>
  <c r="AA76" i="2"/>
  <c r="Y76" i="2"/>
  <c r="K76" i="2"/>
  <c r="S76" i="2"/>
  <c r="C76" i="2"/>
  <c r="E76" i="2"/>
  <c r="O76" i="2"/>
  <c r="G77" i="2"/>
  <c r="I77" i="2"/>
  <c r="U77" i="2"/>
  <c r="O77" i="2"/>
  <c r="Y77" i="2"/>
  <c r="M77" i="2"/>
  <c r="K77" i="2"/>
  <c r="S77" i="2"/>
  <c r="AA77" i="2"/>
  <c r="Q77" i="2"/>
  <c r="E77" i="2"/>
  <c r="C77" i="2"/>
  <c r="G78" i="2"/>
  <c r="C78" i="2"/>
  <c r="U78" i="2"/>
  <c r="I78" i="2"/>
  <c r="S78" i="2"/>
  <c r="M78" i="2"/>
  <c r="Y78" i="2"/>
  <c r="Q78" i="2"/>
  <c r="AA78" i="2"/>
  <c r="O78" i="2"/>
  <c r="E78" i="2"/>
  <c r="K78" i="2"/>
  <c r="G79" i="2"/>
  <c r="C79" i="2"/>
  <c r="U79" i="2"/>
  <c r="K79" i="2"/>
  <c r="M79" i="2"/>
  <c r="O79" i="2"/>
  <c r="AA79" i="2"/>
  <c r="Y79" i="2"/>
  <c r="S79" i="2"/>
  <c r="Q79" i="2"/>
  <c r="I79" i="2"/>
  <c r="E79" i="2"/>
  <c r="M80" i="2"/>
  <c r="C80" i="2"/>
  <c r="K80" i="2"/>
  <c r="O80" i="2"/>
  <c r="Y80" i="2"/>
  <c r="Q80" i="2"/>
  <c r="U80" i="2"/>
  <c r="E80" i="2"/>
  <c r="G80" i="2"/>
  <c r="I80" i="2"/>
  <c r="S80" i="2"/>
  <c r="AA80" i="2"/>
  <c r="Q81" i="2"/>
  <c r="M81" i="2"/>
  <c r="AA81" i="2"/>
  <c r="U81" i="2"/>
  <c r="Y81" i="2"/>
  <c r="I81" i="2"/>
  <c r="C81" i="2"/>
  <c r="S81" i="2"/>
  <c r="K81" i="2"/>
  <c r="E81" i="2"/>
  <c r="O81" i="2"/>
  <c r="G81" i="2"/>
  <c r="Q82" i="2"/>
  <c r="O82" i="2"/>
  <c r="U82" i="2"/>
  <c r="M82" i="2"/>
  <c r="AA82" i="2"/>
  <c r="S82" i="2"/>
  <c r="I82" i="2"/>
  <c r="E82" i="2"/>
  <c r="C82" i="2"/>
  <c r="G82" i="2"/>
  <c r="Y82" i="2"/>
  <c r="K82" i="2"/>
  <c r="E83" i="2"/>
  <c r="S83" i="2"/>
  <c r="O83" i="2"/>
  <c r="K83" i="2"/>
  <c r="I83" i="2"/>
  <c r="C83" i="2"/>
  <c r="G83" i="2"/>
  <c r="AA83" i="2"/>
  <c r="M83" i="2"/>
  <c r="Y83" i="2"/>
  <c r="U83" i="2"/>
  <c r="Q83" i="2"/>
  <c r="C84" i="2"/>
  <c r="I84" i="2"/>
  <c r="AA84" i="2"/>
  <c r="O84" i="2"/>
  <c r="U84" i="2"/>
  <c r="Y84" i="2"/>
  <c r="S84" i="2"/>
  <c r="Q84" i="2"/>
  <c r="M84" i="2"/>
  <c r="K84" i="2"/>
  <c r="E84" i="2"/>
  <c r="G84" i="2"/>
  <c r="M85" i="2"/>
  <c r="S85" i="2"/>
  <c r="C85" i="2"/>
  <c r="Q85" i="2"/>
  <c r="U85" i="2"/>
  <c r="E85" i="2"/>
  <c r="I85" i="2"/>
  <c r="O85" i="2"/>
  <c r="Y85" i="2"/>
  <c r="G85" i="2"/>
  <c r="K85" i="2"/>
  <c r="AA85" i="2"/>
  <c r="G86" i="2"/>
  <c r="O86" i="2"/>
  <c r="U86" i="2"/>
  <c r="S86" i="2"/>
  <c r="Q86" i="2"/>
  <c r="E86" i="2"/>
  <c r="I86" i="2"/>
  <c r="M86" i="2"/>
  <c r="K86" i="2"/>
  <c r="Y86" i="2"/>
  <c r="C86" i="2"/>
  <c r="AA86" i="2"/>
  <c r="S87" i="2"/>
  <c r="AA87" i="2"/>
  <c r="O87" i="2"/>
  <c r="K87" i="2"/>
  <c r="Y87" i="2"/>
  <c r="E87" i="2"/>
  <c r="U87" i="2"/>
  <c r="M87" i="2"/>
  <c r="I87" i="2"/>
  <c r="G87" i="2"/>
  <c r="Q87" i="2"/>
  <c r="C87" i="2"/>
  <c r="C88" i="2"/>
  <c r="AA88" i="2"/>
  <c r="K88" i="2"/>
  <c r="Y88" i="2"/>
  <c r="U88" i="2"/>
  <c r="G88" i="2"/>
  <c r="O88" i="2"/>
  <c r="S88" i="2"/>
  <c r="M88" i="2"/>
  <c r="Q88" i="2"/>
  <c r="I88" i="2"/>
  <c r="E88" i="2"/>
  <c r="K89" i="2"/>
  <c r="Y89" i="2"/>
  <c r="Q89" i="2"/>
  <c r="U89" i="2"/>
  <c r="E89" i="2"/>
  <c r="AA89" i="2"/>
  <c r="C89" i="2"/>
  <c r="O89" i="2"/>
  <c r="M89" i="2"/>
  <c r="G89" i="2"/>
  <c r="S89" i="2"/>
  <c r="I89" i="2"/>
  <c r="Y90" i="2"/>
  <c r="AA90" i="2"/>
  <c r="I90" i="2"/>
  <c r="K90" i="2"/>
  <c r="G90" i="2"/>
  <c r="U90" i="2"/>
  <c r="Q90" i="2"/>
  <c r="O90" i="2"/>
  <c r="M90" i="2"/>
  <c r="C90" i="2"/>
  <c r="S90" i="2"/>
  <c r="E90" i="2"/>
  <c r="S91" i="2"/>
  <c r="AA91" i="2"/>
  <c r="I91" i="2"/>
  <c r="O91" i="2"/>
  <c r="M91" i="2"/>
  <c r="K91" i="2"/>
  <c r="G91" i="2"/>
  <c r="Q91" i="2"/>
  <c r="E91" i="2"/>
  <c r="Y91" i="2"/>
  <c r="U91" i="2"/>
  <c r="C91" i="2"/>
  <c r="Y92" i="2"/>
  <c r="M92" i="2"/>
  <c r="K92" i="2"/>
  <c r="S92" i="2"/>
  <c r="I92" i="2"/>
  <c r="O92" i="2"/>
  <c r="Q92" i="2"/>
  <c r="AA92" i="2"/>
  <c r="E92" i="2"/>
  <c r="C92" i="2"/>
  <c r="G92" i="2"/>
  <c r="U92" i="2"/>
  <c r="C93" i="2"/>
  <c r="G93" i="2"/>
  <c r="S93" i="2"/>
  <c r="U93" i="2"/>
  <c r="Y93" i="2"/>
  <c r="Q93" i="2"/>
  <c r="O93" i="2"/>
  <c r="E93" i="2"/>
  <c r="I93" i="2"/>
  <c r="M93" i="2"/>
  <c r="K93" i="2"/>
  <c r="AA93" i="2"/>
  <c r="M94" i="2"/>
  <c r="O94" i="2"/>
  <c r="Y94" i="2"/>
  <c r="U94" i="2"/>
  <c r="AA94" i="2"/>
  <c r="S94" i="2"/>
  <c r="K94" i="2"/>
  <c r="C94" i="2"/>
  <c r="I94" i="2"/>
  <c r="G94" i="2"/>
  <c r="E94" i="2"/>
  <c r="Q94" i="2"/>
  <c r="G95" i="2"/>
  <c r="S95" i="2"/>
  <c r="O95" i="2"/>
  <c r="Q95" i="2"/>
  <c r="C95" i="2"/>
  <c r="Y95" i="2"/>
  <c r="M95" i="2"/>
  <c r="E95" i="2"/>
  <c r="U95" i="2"/>
  <c r="AA95" i="2"/>
  <c r="I95" i="2"/>
  <c r="K95" i="2"/>
  <c r="O96" i="2"/>
  <c r="C96" i="2"/>
  <c r="Q96" i="2"/>
  <c r="I96" i="2"/>
  <c r="G96" i="2"/>
  <c r="S96" i="2"/>
  <c r="U96" i="2"/>
  <c r="Y96" i="2"/>
  <c r="E96" i="2"/>
  <c r="M96" i="2"/>
  <c r="AA96" i="2"/>
  <c r="K96" i="2"/>
  <c r="S97" i="2"/>
  <c r="C97" i="2"/>
  <c r="O97" i="2"/>
  <c r="M97" i="2"/>
  <c r="E97" i="2"/>
  <c r="I97" i="2"/>
  <c r="AA97" i="2"/>
  <c r="G97" i="2"/>
  <c r="K97" i="2"/>
  <c r="Y97" i="2"/>
  <c r="U97" i="2"/>
  <c r="Q97" i="2"/>
  <c r="S98" i="2"/>
  <c r="AA98" i="2"/>
  <c r="G98" i="2"/>
  <c r="U98" i="2"/>
  <c r="M98" i="2"/>
  <c r="Q98" i="2"/>
  <c r="C98" i="2"/>
  <c r="E98" i="2"/>
  <c r="K98" i="2"/>
  <c r="Y98" i="2"/>
  <c r="O98" i="2"/>
  <c r="I98" i="2"/>
  <c r="G99" i="2"/>
  <c r="O99" i="2"/>
  <c r="S99" i="2"/>
  <c r="Y99" i="2"/>
  <c r="U99" i="2"/>
  <c r="K99" i="2"/>
  <c r="I99" i="2"/>
  <c r="C99" i="2"/>
  <c r="Q99" i="2"/>
  <c r="M99" i="2"/>
  <c r="AA99" i="2"/>
  <c r="E99" i="2"/>
  <c r="M100" i="2"/>
  <c r="E100" i="2"/>
  <c r="S100" i="2"/>
  <c r="K100" i="2"/>
  <c r="O100" i="2"/>
  <c r="Y100" i="2"/>
  <c r="I100" i="2"/>
  <c r="G100" i="2"/>
  <c r="C100" i="2"/>
  <c r="Q100" i="2"/>
  <c r="AA100" i="2"/>
  <c r="U100" i="2"/>
  <c r="E101" i="2"/>
  <c r="G101" i="2"/>
  <c r="O101" i="2"/>
  <c r="K101" i="2"/>
  <c r="AA101" i="2"/>
  <c r="S101" i="2"/>
  <c r="Q101" i="2"/>
  <c r="M101" i="2"/>
  <c r="U101" i="2"/>
  <c r="C101" i="2"/>
  <c r="Y101" i="2"/>
  <c r="I101" i="2"/>
  <c r="U102" i="2"/>
  <c r="O102" i="2"/>
  <c r="C102" i="2"/>
  <c r="K102" i="2"/>
  <c r="M102" i="2"/>
  <c r="Q102" i="2"/>
  <c r="Y102" i="2"/>
  <c r="I102" i="2"/>
  <c r="G102" i="2"/>
  <c r="E102" i="2"/>
  <c r="S102" i="2"/>
  <c r="AA102" i="2"/>
  <c r="C103" i="2"/>
  <c r="M103" i="2"/>
  <c r="O103" i="2"/>
  <c r="G103" i="2"/>
  <c r="S103" i="2"/>
  <c r="K103" i="2"/>
  <c r="Y103" i="2"/>
  <c r="AA103" i="2"/>
  <c r="I103" i="2"/>
  <c r="E103" i="2"/>
  <c r="Q103" i="2"/>
  <c r="U103" i="2"/>
  <c r="Q104" i="2"/>
  <c r="E104" i="2"/>
  <c r="O104" i="2"/>
  <c r="AA104" i="2"/>
  <c r="K104" i="2"/>
  <c r="C104" i="2"/>
  <c r="U104" i="2"/>
  <c r="Y104" i="2"/>
  <c r="M104" i="2"/>
  <c r="S104" i="2"/>
  <c r="G104" i="2"/>
  <c r="I104" i="2"/>
  <c r="O105" i="2"/>
  <c r="Y105" i="2"/>
  <c r="Q105" i="2"/>
  <c r="G105" i="2"/>
  <c r="K105" i="2"/>
  <c r="E105" i="2"/>
  <c r="AA105" i="2"/>
  <c r="M105" i="2"/>
  <c r="I105" i="2"/>
  <c r="S105" i="2"/>
  <c r="U105" i="2"/>
  <c r="C105" i="2"/>
  <c r="M106" i="2"/>
  <c r="C106" i="2"/>
  <c r="Y106" i="2"/>
  <c r="S106" i="2"/>
  <c r="G106" i="2"/>
  <c r="AA106" i="2"/>
  <c r="O106" i="2"/>
  <c r="I106" i="2"/>
  <c r="Q106" i="2"/>
  <c r="E106" i="2"/>
  <c r="K106" i="2"/>
  <c r="U106" i="2"/>
  <c r="Q107" i="2"/>
  <c r="I107" i="2"/>
  <c r="AA107" i="2"/>
  <c r="U107" i="2"/>
  <c r="S107" i="2"/>
  <c r="C107" i="2"/>
  <c r="M107" i="2"/>
  <c r="O107" i="2"/>
  <c r="E107" i="2"/>
  <c r="Y107" i="2"/>
  <c r="G107" i="2"/>
  <c r="K107" i="2"/>
  <c r="I108" i="2"/>
  <c r="Q108" i="2"/>
  <c r="AA108" i="2"/>
  <c r="S108" i="2"/>
  <c r="U108" i="2"/>
  <c r="M108" i="2"/>
  <c r="E108" i="2"/>
  <c r="K108" i="2"/>
  <c r="C108" i="2"/>
  <c r="Y108" i="2"/>
  <c r="O108" i="2"/>
  <c r="G108" i="2"/>
  <c r="Q109" i="2"/>
  <c r="G109" i="2"/>
  <c r="O109" i="2"/>
  <c r="S109" i="2"/>
  <c r="U109" i="2"/>
  <c r="AA109" i="2"/>
  <c r="Y109" i="2"/>
  <c r="E109" i="2"/>
  <c r="C109" i="2"/>
  <c r="M109" i="2"/>
  <c r="K109" i="2"/>
  <c r="I109" i="2"/>
  <c r="Q110" i="2"/>
  <c r="K110" i="2"/>
  <c r="O110" i="2"/>
  <c r="S110" i="2"/>
  <c r="AA110" i="2"/>
  <c r="E110" i="2"/>
  <c r="Y110" i="2"/>
  <c r="C110" i="2"/>
  <c r="M110" i="2"/>
  <c r="I110" i="2"/>
  <c r="G110" i="2"/>
  <c r="U110" i="2"/>
  <c r="O111" i="2"/>
  <c r="Y111" i="2"/>
  <c r="M111" i="2"/>
  <c r="C111" i="2"/>
  <c r="I111" i="2"/>
  <c r="G111" i="2"/>
  <c r="AA111" i="2"/>
  <c r="S111" i="2"/>
  <c r="U111" i="2"/>
  <c r="Q111" i="2"/>
  <c r="E111" i="2"/>
  <c r="K111" i="2"/>
  <c r="G112" i="2"/>
  <c r="O112" i="2"/>
  <c r="AA112" i="2"/>
  <c r="C112" i="2"/>
  <c r="Q112" i="2"/>
  <c r="M112" i="2"/>
  <c r="Y112" i="2"/>
  <c r="K112" i="2"/>
  <c r="U112" i="2"/>
  <c r="E112" i="2"/>
  <c r="I112" i="2"/>
  <c r="S112" i="2"/>
  <c r="G113" i="2"/>
  <c r="O113" i="2"/>
  <c r="K113" i="2"/>
  <c r="E113" i="2"/>
  <c r="Q113" i="2"/>
  <c r="Y113" i="2"/>
  <c r="AA113" i="2"/>
  <c r="S113" i="2"/>
  <c r="U113" i="2"/>
  <c r="I113" i="2"/>
  <c r="M113" i="2"/>
  <c r="C113" i="2"/>
  <c r="M114" i="2"/>
  <c r="K114" i="2"/>
  <c r="Y114" i="2"/>
  <c r="E114" i="2"/>
  <c r="Q114" i="2"/>
  <c r="AA114" i="2"/>
  <c r="C114" i="2"/>
  <c r="I114" i="2"/>
  <c r="U114" i="2"/>
  <c r="S114" i="2"/>
  <c r="O114" i="2"/>
  <c r="G114" i="2"/>
  <c r="O116" i="2"/>
  <c r="S116" i="2"/>
  <c r="AA116" i="2"/>
  <c r="K116" i="2"/>
  <c r="E116" i="2"/>
  <c r="Y116" i="2"/>
  <c r="Q116" i="2"/>
  <c r="M116" i="2"/>
  <c r="U116" i="2"/>
  <c r="G116" i="2"/>
  <c r="I116" i="2"/>
  <c r="C116" i="2"/>
  <c r="S117" i="2"/>
  <c r="O117" i="2"/>
  <c r="M117" i="2"/>
  <c r="G117" i="2"/>
  <c r="AA117" i="2"/>
  <c r="U117" i="2"/>
  <c r="C117" i="2"/>
  <c r="E117" i="2"/>
  <c r="I117" i="2"/>
  <c r="Y117" i="2"/>
  <c r="Q117" i="2"/>
  <c r="K117" i="2"/>
  <c r="O119" i="2"/>
  <c r="U119" i="2"/>
  <c r="S119" i="2"/>
  <c r="K119" i="2"/>
  <c r="C119" i="2"/>
  <c r="AA119" i="2"/>
  <c r="Y119" i="2"/>
  <c r="Q119" i="2"/>
  <c r="M119" i="2"/>
  <c r="I119" i="2"/>
  <c r="E119" i="2"/>
  <c r="G119" i="2"/>
  <c r="O120" i="2"/>
  <c r="E120" i="2"/>
  <c r="I120" i="2"/>
  <c r="G120" i="2"/>
  <c r="AA120" i="2"/>
  <c r="U120" i="2"/>
  <c r="Q120" i="2"/>
  <c r="S120" i="2"/>
  <c r="C120" i="2"/>
  <c r="Y120" i="2"/>
  <c r="K120" i="2"/>
  <c r="M120" i="2"/>
  <c r="O121" i="2"/>
  <c r="Q121" i="2"/>
  <c r="AA121" i="2"/>
  <c r="E121" i="2"/>
  <c r="U121" i="2"/>
  <c r="I121" i="2"/>
  <c r="S121" i="2"/>
  <c r="M121" i="2"/>
  <c r="K121" i="2"/>
  <c r="Y121" i="2"/>
  <c r="C121" i="2"/>
  <c r="G121" i="2"/>
  <c r="O122" i="2"/>
  <c r="E122" i="2"/>
  <c r="I122" i="2"/>
  <c r="AA122" i="2"/>
  <c r="U122" i="2"/>
  <c r="S122" i="2"/>
  <c r="M122" i="2"/>
  <c r="G122" i="2"/>
  <c r="K122" i="2"/>
  <c r="C122" i="2"/>
  <c r="Q122" i="2"/>
  <c r="Y122" i="2"/>
  <c r="E123" i="2"/>
  <c r="I123" i="2"/>
  <c r="G123" i="2"/>
  <c r="AA123" i="2"/>
  <c r="Y123" i="2"/>
  <c r="C123" i="2"/>
  <c r="U123" i="2"/>
  <c r="S123" i="2"/>
  <c r="Q123" i="2"/>
  <c r="O123" i="2"/>
  <c r="M123" i="2"/>
  <c r="K123" i="2"/>
  <c r="M124" i="2"/>
  <c r="I124" i="2"/>
  <c r="Q124" i="2"/>
  <c r="K124" i="2"/>
  <c r="E124" i="2"/>
  <c r="AA124" i="2"/>
  <c r="G124" i="2"/>
  <c r="C124" i="2"/>
  <c r="U124" i="2"/>
  <c r="S124" i="2"/>
  <c r="Y124" i="2"/>
  <c r="O124" i="2"/>
  <c r="Q125" i="2"/>
  <c r="E125" i="2"/>
  <c r="M125" i="2"/>
  <c r="O125" i="2"/>
  <c r="U125" i="2"/>
  <c r="I125" i="2"/>
  <c r="AA125" i="2"/>
  <c r="S125" i="2"/>
  <c r="C125" i="2"/>
  <c r="K125" i="2"/>
  <c r="Y125" i="2"/>
  <c r="G125" i="2"/>
  <c r="G126" i="2"/>
  <c r="O126" i="2"/>
  <c r="M126" i="2"/>
  <c r="AA126" i="2"/>
  <c r="I126" i="2"/>
  <c r="Y126" i="2"/>
  <c r="S126" i="2"/>
  <c r="C126" i="2"/>
  <c r="U126" i="2"/>
  <c r="E126" i="2"/>
  <c r="K126" i="2"/>
  <c r="Q126" i="2"/>
  <c r="M127" i="2"/>
  <c r="Y127" i="2"/>
  <c r="K127" i="2"/>
  <c r="I127" i="2"/>
  <c r="S127" i="2"/>
  <c r="O127" i="2"/>
  <c r="E127" i="2"/>
  <c r="G127" i="2"/>
  <c r="C127" i="2"/>
  <c r="AA127" i="2"/>
  <c r="U127" i="2"/>
  <c r="Q127" i="2"/>
  <c r="O128" i="2"/>
  <c r="S128" i="2"/>
  <c r="I128" i="2"/>
  <c r="M128" i="2"/>
  <c r="E128" i="2"/>
  <c r="U128" i="2"/>
  <c r="AA128" i="2"/>
  <c r="G128" i="2"/>
  <c r="C128" i="2"/>
  <c r="Y128" i="2"/>
  <c r="K128" i="2"/>
  <c r="Q128" i="2"/>
  <c r="K130" i="2"/>
  <c r="AA130" i="2"/>
  <c r="S130" i="2"/>
  <c r="O130" i="2"/>
  <c r="E130" i="2"/>
  <c r="G130" i="2"/>
  <c r="Y130" i="2"/>
  <c r="I130" i="2"/>
  <c r="M130" i="2"/>
  <c r="U130" i="2"/>
  <c r="C130" i="2"/>
  <c r="Q130" i="2"/>
  <c r="M131" i="2"/>
  <c r="O131" i="2"/>
  <c r="S131" i="2"/>
  <c r="Y131" i="2"/>
  <c r="K131" i="2"/>
  <c r="C131" i="2"/>
  <c r="E131" i="2"/>
  <c r="U131" i="2"/>
  <c r="I131" i="2"/>
  <c r="G131" i="2"/>
  <c r="AA131" i="2"/>
  <c r="Q131" i="2"/>
  <c r="I132" i="2"/>
  <c r="O132" i="2"/>
  <c r="S132" i="2"/>
  <c r="C132" i="2"/>
  <c r="U132" i="2"/>
  <c r="E132" i="2"/>
  <c r="K132" i="2"/>
  <c r="G132" i="2"/>
  <c r="M132" i="2"/>
  <c r="AA132" i="2"/>
  <c r="Y132" i="2"/>
  <c r="Q132" i="2"/>
  <c r="C133" i="2"/>
  <c r="E133" i="2"/>
  <c r="U133" i="2"/>
  <c r="I133" i="2"/>
  <c r="O133" i="2"/>
  <c r="AA133" i="2"/>
  <c r="S133" i="2"/>
  <c r="K133" i="2"/>
  <c r="G133" i="2"/>
  <c r="M133" i="2"/>
  <c r="Y133" i="2"/>
  <c r="Q133" i="2"/>
  <c r="G134" i="2"/>
  <c r="AA134" i="2"/>
  <c r="M134" i="2"/>
  <c r="C134" i="2"/>
  <c r="E134" i="2"/>
  <c r="S134" i="2"/>
  <c r="O134" i="2"/>
  <c r="U134" i="2"/>
  <c r="I134" i="2"/>
  <c r="K134" i="2"/>
  <c r="Y134" i="2"/>
  <c r="Q134" i="2"/>
  <c r="I135" i="2"/>
  <c r="AA135" i="2"/>
  <c r="Q135" i="2"/>
  <c r="K135" i="2"/>
  <c r="C135" i="2"/>
  <c r="S135" i="2"/>
  <c r="Y135" i="2"/>
  <c r="E135" i="2"/>
  <c r="O135" i="2"/>
  <c r="U135" i="2"/>
  <c r="M135" i="2"/>
  <c r="G135" i="2"/>
  <c r="I136" i="2"/>
  <c r="Q136" i="2"/>
  <c r="S136" i="2"/>
  <c r="G136" i="2"/>
  <c r="C136" i="2"/>
  <c r="U136" i="2"/>
  <c r="O136" i="2"/>
  <c r="E136" i="2"/>
  <c r="AA136" i="2"/>
  <c r="K136" i="2"/>
  <c r="Y136" i="2"/>
  <c r="M136" i="2"/>
  <c r="I148" i="2"/>
  <c r="O148" i="2"/>
  <c r="S148" i="2"/>
  <c r="K148" i="2"/>
  <c r="M148" i="2"/>
  <c r="AA148" i="2"/>
  <c r="Q148" i="2"/>
  <c r="U148" i="2"/>
  <c r="C148" i="2"/>
  <c r="G148" i="2"/>
  <c r="Y148" i="2"/>
  <c r="E148" i="2"/>
  <c r="O149" i="2"/>
  <c r="I149" i="2"/>
  <c r="M149" i="2"/>
  <c r="K149" i="2"/>
  <c r="E149" i="2"/>
  <c r="Q149" i="2"/>
  <c r="U149" i="2"/>
  <c r="Y149" i="2"/>
  <c r="G149" i="2"/>
  <c r="S149" i="2"/>
  <c r="C149" i="2"/>
  <c r="AA149" i="2"/>
  <c r="O150" i="2"/>
  <c r="E150" i="2"/>
  <c r="I150" i="2"/>
  <c r="U150" i="2"/>
  <c r="K150" i="2"/>
  <c r="Q150" i="2"/>
  <c r="C150" i="2"/>
  <c r="Y150" i="2"/>
  <c r="M150" i="2"/>
  <c r="S150" i="2"/>
  <c r="G150" i="2"/>
  <c r="AA150" i="2"/>
  <c r="O151" i="2"/>
  <c r="G151" i="2"/>
  <c r="K151" i="2"/>
  <c r="U151" i="2"/>
  <c r="S151" i="2"/>
  <c r="E151" i="2"/>
  <c r="M151" i="2"/>
  <c r="Q151" i="2"/>
  <c r="AA151" i="2"/>
  <c r="Y151" i="2"/>
  <c r="C151" i="2"/>
  <c r="I151" i="2"/>
  <c r="O152" i="2"/>
  <c r="K152" i="2"/>
  <c r="M152" i="2"/>
  <c r="I152" i="2"/>
  <c r="AA152" i="2"/>
  <c r="U152" i="2"/>
  <c r="Q152" i="2"/>
  <c r="G152" i="2"/>
  <c r="S152" i="2"/>
  <c r="E152" i="2"/>
  <c r="C152" i="2"/>
  <c r="Y152" i="2"/>
  <c r="C153" i="2"/>
  <c r="Q153" i="2"/>
  <c r="G153" i="2"/>
  <c r="O153" i="2"/>
  <c r="I153" i="2"/>
  <c r="U153" i="2"/>
  <c r="E153" i="2"/>
  <c r="S153" i="2"/>
  <c r="AA153" i="2"/>
  <c r="M153" i="2"/>
  <c r="K153" i="2"/>
  <c r="Y153" i="2"/>
  <c r="O154" i="2"/>
  <c r="G154" i="2"/>
  <c r="Q154" i="2"/>
  <c r="C154" i="2"/>
  <c r="S154" i="2"/>
  <c r="M154" i="2"/>
  <c r="U154" i="2"/>
  <c r="E154" i="2"/>
  <c r="K154" i="2"/>
  <c r="Y154" i="2"/>
  <c r="AA154" i="2"/>
  <c r="I154" i="2"/>
  <c r="G155" i="2"/>
  <c r="M155" i="2"/>
  <c r="S155" i="2"/>
  <c r="U155" i="2"/>
  <c r="I155" i="2"/>
  <c r="E155" i="2"/>
  <c r="AA155" i="2"/>
  <c r="C155" i="2"/>
  <c r="Q155" i="2"/>
  <c r="O155" i="2"/>
  <c r="K155" i="2"/>
  <c r="Y155" i="2"/>
  <c r="G156" i="2"/>
  <c r="I156" i="2"/>
  <c r="Y156" i="2"/>
  <c r="U156" i="2"/>
  <c r="E156" i="2"/>
  <c r="O156" i="2"/>
  <c r="S156" i="2"/>
  <c r="K156" i="2"/>
  <c r="AA156" i="2"/>
  <c r="M156" i="2"/>
  <c r="Q156" i="2"/>
  <c r="C156" i="2"/>
  <c r="S157" i="2"/>
  <c r="G157" i="2"/>
  <c r="Y157" i="2"/>
  <c r="U157" i="2"/>
  <c r="C157" i="2"/>
  <c r="M157" i="2"/>
  <c r="O157" i="2"/>
  <c r="E157" i="2"/>
  <c r="K157" i="2"/>
  <c r="Q157" i="2"/>
  <c r="AA157" i="2"/>
  <c r="I157" i="2"/>
  <c r="Y158" i="2"/>
  <c r="I158" i="2"/>
  <c r="Q158" i="2"/>
  <c r="C158" i="2"/>
  <c r="K158" i="2"/>
  <c r="E158" i="2"/>
  <c r="S158" i="2"/>
  <c r="G158" i="2"/>
  <c r="M158" i="2"/>
  <c r="O158" i="2"/>
  <c r="U158" i="2"/>
  <c r="AA158" i="2"/>
  <c r="Y159" i="2"/>
  <c r="O159" i="2"/>
  <c r="M159" i="2"/>
  <c r="S159" i="2"/>
  <c r="Q159" i="2"/>
  <c r="AA159" i="2"/>
  <c r="G159" i="2"/>
  <c r="E159" i="2"/>
  <c r="I159" i="2"/>
  <c r="K159" i="2"/>
  <c r="U159" i="2"/>
  <c r="C159" i="2"/>
  <c r="K160" i="2"/>
  <c r="Y160" i="2"/>
  <c r="Q160" i="2"/>
  <c r="O160" i="2"/>
  <c r="M160" i="2"/>
  <c r="G160" i="2"/>
  <c r="AA160" i="2"/>
  <c r="E160" i="2"/>
  <c r="S160" i="2"/>
  <c r="I160" i="2"/>
  <c r="C160" i="2"/>
  <c r="U160" i="2"/>
  <c r="K161" i="2"/>
  <c r="G161" i="2"/>
  <c r="Q161" i="2"/>
  <c r="U161" i="2"/>
  <c r="I161" i="2"/>
  <c r="M161" i="2"/>
  <c r="AA161" i="2"/>
  <c r="C161" i="2"/>
  <c r="O161" i="2"/>
  <c r="S161" i="2"/>
  <c r="E161" i="2"/>
  <c r="Y161" i="2"/>
  <c r="E162" i="2"/>
  <c r="I162" i="2"/>
  <c r="M162" i="2"/>
  <c r="U162" i="2"/>
  <c r="Y162" i="2"/>
  <c r="C162" i="2"/>
  <c r="AA162" i="2"/>
  <c r="K162" i="2"/>
  <c r="Q162" i="2"/>
  <c r="S162" i="2"/>
  <c r="O162" i="2"/>
  <c r="G162" i="2"/>
  <c r="I163" i="2"/>
  <c r="S163" i="2"/>
  <c r="O163" i="2"/>
  <c r="M163" i="2"/>
  <c r="C163" i="2"/>
  <c r="AA163" i="2"/>
  <c r="E163" i="2"/>
  <c r="U163" i="2"/>
  <c r="K163" i="2"/>
  <c r="Q163" i="2"/>
  <c r="Y163" i="2"/>
  <c r="G163" i="2"/>
  <c r="C164" i="2"/>
  <c r="G164" i="2"/>
  <c r="Y164" i="2"/>
  <c r="I164" i="2"/>
  <c r="Q164" i="2"/>
  <c r="AA164" i="2"/>
  <c r="U164" i="2"/>
  <c r="K164" i="2"/>
  <c r="S164" i="2"/>
  <c r="M164" i="2"/>
  <c r="E164" i="2"/>
  <c r="O164" i="2"/>
  <c r="O165" i="2"/>
  <c r="K165" i="2"/>
  <c r="U165" i="2"/>
  <c r="AA165" i="2"/>
  <c r="S165" i="2"/>
  <c r="Y165" i="2"/>
  <c r="Q165" i="2"/>
  <c r="C165" i="2"/>
  <c r="I165" i="2"/>
  <c r="G165" i="2"/>
  <c r="E165" i="2"/>
  <c r="M165" i="2"/>
  <c r="K167" i="2"/>
  <c r="U167" i="2"/>
  <c r="G167" i="2"/>
  <c r="O167" i="2"/>
  <c r="E167" i="2"/>
  <c r="I167" i="2"/>
  <c r="Y167" i="2"/>
  <c r="M167" i="2"/>
  <c r="S167" i="2"/>
  <c r="Q167" i="2"/>
  <c r="AA167" i="2"/>
  <c r="C167" i="2"/>
  <c r="M168" i="2"/>
  <c r="Y168" i="2"/>
  <c r="U168" i="2"/>
  <c r="G168" i="2"/>
  <c r="I168" i="2"/>
  <c r="Q168" i="2"/>
  <c r="K168" i="2"/>
  <c r="AA168" i="2"/>
  <c r="E168" i="2"/>
  <c r="C168" i="2"/>
  <c r="O168" i="2"/>
  <c r="S168" i="2"/>
  <c r="K169" i="2"/>
  <c r="M169" i="2"/>
  <c r="I169" i="2"/>
  <c r="Y169" i="2"/>
  <c r="S169" i="2"/>
  <c r="U169" i="2"/>
  <c r="E169" i="2"/>
  <c r="C169" i="2"/>
  <c r="AA169" i="2"/>
  <c r="Q169" i="2"/>
  <c r="G169" i="2"/>
  <c r="O169" i="2"/>
  <c r="G170" i="2"/>
  <c r="Y170" i="2"/>
  <c r="U170" i="2"/>
  <c r="M170" i="2"/>
  <c r="K170" i="2"/>
  <c r="E170" i="2"/>
  <c r="C170" i="2"/>
  <c r="O170" i="2"/>
  <c r="AA170" i="2"/>
  <c r="I170" i="2"/>
  <c r="S170" i="2"/>
  <c r="Q170" i="2"/>
  <c r="Y171" i="2"/>
  <c r="S171" i="2"/>
  <c r="G171" i="2"/>
  <c r="K171" i="2"/>
  <c r="I171" i="2"/>
  <c r="O171" i="2"/>
  <c r="M171" i="2"/>
  <c r="AA171" i="2"/>
  <c r="U171" i="2"/>
  <c r="C171" i="2"/>
  <c r="Q171" i="2"/>
  <c r="E171" i="2"/>
  <c r="Q172" i="2"/>
  <c r="K172" i="2"/>
  <c r="Y172" i="2"/>
  <c r="G172" i="2"/>
  <c r="M172" i="2"/>
  <c r="C172" i="2"/>
  <c r="I172" i="2"/>
  <c r="AA172" i="2"/>
  <c r="U172" i="2"/>
  <c r="S172" i="2"/>
  <c r="O172" i="2"/>
  <c r="E172" i="2"/>
  <c r="Q174" i="2"/>
  <c r="I174" i="2"/>
  <c r="AA174" i="2"/>
  <c r="M174" i="2"/>
  <c r="Y174" i="2"/>
  <c r="S174" i="2"/>
  <c r="C174" i="2"/>
  <c r="K174" i="2"/>
  <c r="E174" i="2"/>
  <c r="G174" i="2"/>
  <c r="O174" i="2"/>
  <c r="U174" i="2"/>
  <c r="Y175" i="2"/>
  <c r="E175" i="2"/>
  <c r="O175" i="2"/>
  <c r="Q175" i="2"/>
  <c r="M175" i="2"/>
  <c r="I175" i="2"/>
  <c r="K175" i="2"/>
  <c r="AA175" i="2"/>
  <c r="G175" i="2"/>
  <c r="S175" i="2"/>
  <c r="C175" i="2"/>
  <c r="U175" i="2"/>
  <c r="Q176" i="2"/>
  <c r="I176" i="2"/>
  <c r="C176" i="2"/>
  <c r="S176" i="2"/>
  <c r="K176" i="2"/>
  <c r="U176" i="2"/>
  <c r="M176" i="2"/>
  <c r="AA176" i="2"/>
  <c r="O176" i="2"/>
  <c r="E176" i="2"/>
  <c r="G176" i="2"/>
  <c r="Y176" i="2"/>
  <c r="Q177" i="2"/>
  <c r="I177" i="2"/>
  <c r="S177" i="2"/>
  <c r="K177" i="2"/>
  <c r="G177" i="2"/>
  <c r="O177" i="2"/>
  <c r="C177" i="2"/>
  <c r="M177" i="2"/>
  <c r="E177" i="2"/>
  <c r="Y177" i="2"/>
  <c r="AA177" i="2"/>
  <c r="U177" i="2"/>
  <c r="Q178" i="2"/>
  <c r="C178" i="2"/>
  <c r="AA178" i="2"/>
  <c r="I178" i="2"/>
  <c r="E178" i="2"/>
  <c r="S178" i="2"/>
  <c r="K178" i="2"/>
  <c r="U178" i="2"/>
  <c r="M178" i="2"/>
  <c r="Y178" i="2"/>
  <c r="O178" i="2"/>
  <c r="G178" i="2"/>
  <c r="Q179" i="2"/>
  <c r="AA179" i="2"/>
  <c r="Y179" i="2"/>
  <c r="K179" i="2"/>
  <c r="U179" i="2"/>
  <c r="C179" i="2"/>
  <c r="O179" i="2"/>
  <c r="I179" i="2"/>
  <c r="M179" i="2"/>
  <c r="S179" i="2"/>
  <c r="G179" i="2"/>
  <c r="E179" i="2"/>
  <c r="Q180" i="2"/>
  <c r="E180" i="2"/>
  <c r="K180" i="2"/>
  <c r="S180" i="2"/>
  <c r="G180" i="2"/>
  <c r="AA180" i="2"/>
  <c r="U180" i="2"/>
  <c r="Y180" i="2"/>
  <c r="M180" i="2"/>
  <c r="C180" i="2"/>
  <c r="O180" i="2"/>
  <c r="I180" i="2"/>
  <c r="Q181" i="2"/>
  <c r="C181" i="2"/>
  <c r="G181" i="2"/>
  <c r="K181" i="2"/>
  <c r="E181" i="2"/>
  <c r="M181" i="2"/>
  <c r="O181" i="2"/>
  <c r="I181" i="2"/>
  <c r="Y181" i="2"/>
  <c r="AA181" i="2"/>
  <c r="U181" i="2"/>
  <c r="S181" i="2"/>
  <c r="Y182" i="2"/>
  <c r="C182" i="2"/>
  <c r="I182" i="2"/>
  <c r="AA182" i="2"/>
  <c r="G182" i="2"/>
  <c r="O182" i="2"/>
  <c r="E182" i="2"/>
  <c r="S182" i="2"/>
  <c r="U182" i="2"/>
  <c r="Q182" i="2"/>
  <c r="M182" i="2"/>
  <c r="K182" i="2"/>
  <c r="S183" i="2"/>
  <c r="G183" i="2"/>
  <c r="U183" i="2"/>
  <c r="Q183" i="2"/>
  <c r="K183" i="2"/>
  <c r="Y183" i="2"/>
  <c r="E183" i="2"/>
  <c r="C183" i="2"/>
  <c r="AA183" i="2"/>
  <c r="I183" i="2"/>
  <c r="O183" i="2"/>
  <c r="M183" i="2"/>
  <c r="I184" i="2"/>
  <c r="U184" i="2"/>
  <c r="Y184" i="2"/>
  <c r="G184" i="2"/>
  <c r="E184" i="2"/>
  <c r="Q184" i="2"/>
  <c r="K184" i="2"/>
  <c r="AA184" i="2"/>
  <c r="O184" i="2"/>
  <c r="C184" i="2"/>
  <c r="M184" i="2"/>
  <c r="S184" i="2"/>
  <c r="I185" i="2"/>
  <c r="U185" i="2"/>
  <c r="Q185" i="2"/>
  <c r="Y185" i="2"/>
  <c r="O185" i="2"/>
  <c r="M185" i="2"/>
  <c r="K185" i="2"/>
  <c r="E185" i="2"/>
  <c r="C185" i="2"/>
  <c r="S185" i="2"/>
  <c r="AA185" i="2"/>
  <c r="G185" i="2"/>
  <c r="M186" i="2"/>
  <c r="Q186" i="2"/>
  <c r="AA186" i="2"/>
  <c r="U186" i="2"/>
  <c r="I186" i="2"/>
  <c r="G186" i="2"/>
  <c r="O186" i="2"/>
  <c r="Y186" i="2"/>
  <c r="C186" i="2"/>
  <c r="K186" i="2"/>
  <c r="E186" i="2"/>
  <c r="S186" i="2"/>
  <c r="Y187" i="2"/>
  <c r="Q187" i="2"/>
  <c r="U187" i="2"/>
  <c r="O187" i="2"/>
  <c r="C187" i="2"/>
  <c r="S187" i="2"/>
  <c r="E187" i="2"/>
  <c r="G187" i="2"/>
  <c r="M187" i="2"/>
  <c r="I187" i="2"/>
  <c r="AA187" i="2"/>
  <c r="K187" i="2"/>
  <c r="M188" i="2"/>
  <c r="C188" i="2"/>
  <c r="I188" i="2"/>
  <c r="K188" i="2"/>
  <c r="Y188" i="2"/>
  <c r="AA188" i="2"/>
  <c r="G188" i="2"/>
  <c r="U188" i="2"/>
  <c r="Q188" i="2"/>
  <c r="O188" i="2"/>
  <c r="S188" i="2"/>
  <c r="E188" i="2"/>
  <c r="C189" i="2"/>
  <c r="E189" i="2"/>
  <c r="K189" i="2"/>
  <c r="AA189" i="2"/>
  <c r="Y189" i="2"/>
  <c r="O189" i="2"/>
  <c r="Q189" i="2"/>
  <c r="G189" i="2"/>
  <c r="M189" i="2"/>
  <c r="U189" i="2"/>
  <c r="I189" i="2"/>
  <c r="S189" i="2"/>
  <c r="S190" i="2"/>
  <c r="O190" i="2"/>
  <c r="K190" i="2"/>
  <c r="G190" i="2"/>
  <c r="C190" i="2"/>
  <c r="U190" i="2"/>
  <c r="E190" i="2"/>
  <c r="I190" i="2"/>
  <c r="Q190" i="2"/>
  <c r="Y190" i="2"/>
  <c r="AA190" i="2"/>
  <c r="M190" i="2"/>
  <c r="G191" i="2"/>
  <c r="O191" i="2"/>
  <c r="S191" i="2"/>
  <c r="K191" i="2"/>
  <c r="C191" i="2"/>
  <c r="U191" i="2"/>
  <c r="AA191" i="2"/>
  <c r="Q191" i="2"/>
  <c r="E191" i="2"/>
  <c r="Y191" i="2"/>
  <c r="M191" i="2"/>
  <c r="I191" i="2"/>
  <c r="O192" i="2"/>
  <c r="Q192" i="2"/>
  <c r="AA192" i="2"/>
  <c r="M192" i="2"/>
  <c r="Y192" i="2"/>
  <c r="K192" i="2"/>
  <c r="U192" i="2"/>
  <c r="S192" i="2"/>
  <c r="G192" i="2"/>
  <c r="I192" i="2"/>
  <c r="C192" i="2"/>
  <c r="E192" i="2"/>
  <c r="I193" i="2"/>
  <c r="C193" i="2"/>
  <c r="E193" i="2"/>
  <c r="U193" i="2"/>
  <c r="AA193" i="2"/>
  <c r="Q193" i="2"/>
  <c r="Y193" i="2"/>
  <c r="G193" i="2"/>
  <c r="S193" i="2"/>
  <c r="M193" i="2"/>
  <c r="O193" i="2"/>
  <c r="K193" i="2"/>
  <c r="G194" i="2"/>
  <c r="Q194" i="2"/>
  <c r="I194" i="2"/>
  <c r="U194" i="2"/>
  <c r="Y194" i="2"/>
  <c r="M194" i="2"/>
  <c r="S194" i="2"/>
  <c r="E194" i="2"/>
  <c r="C194" i="2"/>
  <c r="O194" i="2"/>
  <c r="K194" i="2"/>
  <c r="AA194" i="2"/>
  <c r="E195" i="2"/>
  <c r="M195" i="2"/>
  <c r="Q195" i="2"/>
  <c r="U195" i="2"/>
  <c r="C195" i="2"/>
  <c r="K195" i="2"/>
  <c r="O195" i="2"/>
  <c r="I195" i="2"/>
  <c r="G195" i="2"/>
  <c r="Y195" i="2"/>
  <c r="AA195" i="2"/>
  <c r="S195" i="2"/>
  <c r="M196" i="2"/>
  <c r="C196" i="2"/>
  <c r="S196" i="2"/>
  <c r="O196" i="2"/>
  <c r="Y196" i="2"/>
  <c r="E196" i="2"/>
  <c r="U196" i="2"/>
  <c r="Q196" i="2"/>
  <c r="AA196" i="2"/>
  <c r="G196" i="2"/>
  <c r="K196" i="2"/>
  <c r="I196" i="2"/>
  <c r="M197" i="2"/>
  <c r="Y197" i="2"/>
  <c r="S197" i="2"/>
  <c r="E197" i="2"/>
  <c r="U197" i="2"/>
  <c r="K197" i="2"/>
  <c r="C197" i="2"/>
  <c r="AA197" i="2"/>
  <c r="Q197" i="2"/>
  <c r="I197" i="2"/>
  <c r="G197" i="2"/>
  <c r="O197" i="2"/>
  <c r="Y198" i="2"/>
  <c r="G198" i="2"/>
  <c r="K198" i="2"/>
  <c r="C198" i="2"/>
  <c r="E198" i="2"/>
  <c r="I198" i="2"/>
  <c r="Q198" i="2"/>
  <c r="M198" i="2"/>
  <c r="AA198" i="2"/>
  <c r="S198" i="2"/>
  <c r="U198" i="2"/>
  <c r="O198" i="2"/>
  <c r="G215" i="2"/>
  <c r="M215" i="2"/>
  <c r="I215" i="2"/>
  <c r="O215" i="2"/>
  <c r="K215" i="2"/>
  <c r="Y215" i="2"/>
  <c r="E215" i="2"/>
  <c r="Q215" i="2"/>
  <c r="C215" i="2"/>
  <c r="AA215" i="2"/>
  <c r="S215" i="2"/>
  <c r="U215" i="2"/>
  <c r="M216" i="2"/>
  <c r="K216" i="2"/>
  <c r="O216" i="2"/>
  <c r="Y216" i="2"/>
  <c r="E216" i="2"/>
  <c r="AA216" i="2"/>
  <c r="Q216" i="2"/>
  <c r="S216" i="2"/>
  <c r="I216" i="2"/>
  <c r="C216" i="2"/>
  <c r="G216" i="2"/>
  <c r="U216" i="2"/>
  <c r="C217" i="2"/>
  <c r="I217" i="2"/>
  <c r="Y217" i="2"/>
  <c r="AA217" i="2"/>
  <c r="O217" i="2"/>
  <c r="Q217" i="2"/>
  <c r="E217" i="2"/>
  <c r="K217" i="2"/>
  <c r="U217" i="2"/>
  <c r="S217" i="2"/>
  <c r="G217" i="2"/>
  <c r="M217" i="2"/>
  <c r="E218" i="2"/>
  <c r="K218" i="2"/>
  <c r="M218" i="2"/>
  <c r="Y218" i="2"/>
  <c r="S218" i="2"/>
  <c r="U218" i="2"/>
  <c r="AA218" i="2"/>
  <c r="G218" i="2"/>
  <c r="C218" i="2"/>
  <c r="Q218" i="2"/>
  <c r="O218" i="2"/>
  <c r="I218" i="2"/>
  <c r="Y219" i="2"/>
  <c r="K219" i="2"/>
  <c r="U219" i="2"/>
  <c r="E219" i="2"/>
  <c r="G219" i="2"/>
  <c r="S219" i="2"/>
  <c r="C219" i="2"/>
  <c r="Q219" i="2"/>
  <c r="M219" i="2"/>
  <c r="AA219" i="2"/>
  <c r="O219" i="2"/>
  <c r="I219" i="2"/>
  <c r="M220" i="2"/>
  <c r="G220" i="2"/>
  <c r="O220" i="2"/>
  <c r="Q220" i="2"/>
  <c r="S220" i="2"/>
  <c r="U220" i="2"/>
  <c r="K220" i="2"/>
  <c r="Y220" i="2"/>
  <c r="AA220" i="2"/>
  <c r="E220" i="2"/>
  <c r="C220" i="2"/>
  <c r="I220" i="2"/>
  <c r="U221" i="2"/>
  <c r="K221" i="2"/>
  <c r="G221" i="2"/>
  <c r="Y221" i="2"/>
  <c r="C221" i="2"/>
  <c r="AA221" i="2"/>
  <c r="S221" i="2"/>
  <c r="O221" i="2"/>
  <c r="E221" i="2"/>
  <c r="Q221" i="2"/>
  <c r="M221" i="2"/>
  <c r="I221" i="2"/>
  <c r="G222" i="2"/>
  <c r="S222" i="2"/>
  <c r="E222" i="2"/>
  <c r="U222" i="2"/>
  <c r="K222" i="2"/>
  <c r="M222" i="2"/>
  <c r="AA222" i="2"/>
  <c r="C222" i="2"/>
  <c r="O222" i="2"/>
  <c r="Q222" i="2"/>
  <c r="Y222" i="2"/>
  <c r="I222" i="2"/>
  <c r="K239" i="2"/>
  <c r="K244" i="2"/>
  <c r="K240" i="2"/>
  <c r="K238" i="2"/>
  <c r="K242" i="2"/>
  <c r="K243" i="2"/>
  <c r="K241" i="2"/>
  <c r="G312" i="2"/>
  <c r="E224" i="2" l="1"/>
  <c r="Y224" i="2"/>
  <c r="U224" i="2"/>
  <c r="S224" i="2"/>
  <c r="K224" i="2"/>
  <c r="I224" i="2"/>
  <c r="M224" i="2"/>
  <c r="G224" i="2"/>
  <c r="C224" i="2"/>
  <c r="AA224" i="2"/>
  <c r="O224" i="2"/>
  <c r="Q224" i="2"/>
  <c r="G309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G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273" i="2"/>
  <c r="F272" i="2"/>
  <c r="F271" i="2"/>
  <c r="F270" i="2"/>
  <c r="F269" i="2"/>
  <c r="F268" i="2"/>
  <c r="F267" i="2"/>
  <c r="F266" i="2"/>
  <c r="F265" i="2"/>
  <c r="G264" i="2" l="1"/>
  <c r="E313" i="2"/>
  <c r="G274" i="2"/>
  <c r="G308" i="2"/>
  <c r="G275" i="2"/>
  <c r="G302" i="2"/>
  <c r="F264" i="2"/>
  <c r="F291" i="2"/>
  <c r="G278" i="2"/>
  <c r="G294" i="2"/>
  <c r="G283" i="2"/>
  <c r="G272" i="2"/>
  <c r="G286" i="2"/>
  <c r="G299" i="2"/>
  <c r="G295" i="2"/>
  <c r="G287" i="2"/>
  <c r="G279" i="2"/>
  <c r="G303" i="2"/>
  <c r="G306" i="2"/>
  <c r="G273" i="2"/>
  <c r="G298" i="2"/>
  <c r="G290" i="2"/>
  <c r="G282" i="2"/>
  <c r="G305" i="2"/>
  <c r="G304" i="2"/>
  <c r="G301" i="2"/>
  <c r="G300" i="2"/>
  <c r="G297" i="2"/>
  <c r="G296" i="2"/>
  <c r="G293" i="2"/>
  <c r="G292" i="2"/>
  <c r="G289" i="2"/>
  <c r="G288" i="2"/>
  <c r="G285" i="2"/>
  <c r="G284" i="2"/>
  <c r="G281" i="2"/>
  <c r="G280" i="2"/>
  <c r="G277" i="2"/>
  <c r="G276" i="2"/>
  <c r="G271" i="2"/>
  <c r="G307" i="2"/>
  <c r="F313" i="2" l="1"/>
  <c r="H17" i="4"/>
  <c r="H20" i="4"/>
  <c r="H24" i="4"/>
  <c r="H28" i="4"/>
  <c r="H32" i="4"/>
  <c r="H36" i="4"/>
  <c r="H40" i="4"/>
  <c r="H44" i="4"/>
  <c r="H48" i="4"/>
  <c r="H52" i="4"/>
  <c r="H56" i="4"/>
  <c r="H60" i="4"/>
  <c r="H64" i="4"/>
  <c r="H68" i="4"/>
  <c r="H72" i="4"/>
  <c r="H76" i="4"/>
  <c r="H80" i="4"/>
  <c r="H84" i="4"/>
  <c r="H88" i="4"/>
  <c r="H92" i="4"/>
  <c r="H96" i="4"/>
  <c r="H99" i="4"/>
  <c r="H103" i="4"/>
  <c r="H107" i="4"/>
  <c r="H111" i="4"/>
  <c r="H115" i="4"/>
  <c r="H119" i="4"/>
  <c r="H123" i="4"/>
  <c r="H127" i="4"/>
  <c r="H131" i="4"/>
  <c r="H135" i="4"/>
  <c r="H139" i="4"/>
  <c r="H143" i="4"/>
  <c r="H147" i="4"/>
  <c r="H151" i="4"/>
  <c r="H161" i="4"/>
  <c r="H165" i="4"/>
  <c r="H169" i="4"/>
  <c r="H173" i="4"/>
  <c r="H177" i="4"/>
  <c r="H184" i="4"/>
  <c r="H188" i="4"/>
  <c r="H192" i="4"/>
  <c r="H196" i="4"/>
  <c r="H200" i="4"/>
  <c r="H204" i="4"/>
  <c r="H208" i="4"/>
  <c r="H212" i="4"/>
  <c r="H216" i="4"/>
  <c r="H220" i="4"/>
  <c r="H224" i="4"/>
  <c r="H18" i="4"/>
  <c r="H21" i="4"/>
  <c r="H25" i="4"/>
  <c r="H29" i="4"/>
  <c r="H33" i="4"/>
  <c r="H37" i="4"/>
  <c r="H41" i="4"/>
  <c r="H45" i="4"/>
  <c r="H49" i="4"/>
  <c r="H53" i="4"/>
  <c r="H57" i="4"/>
  <c r="H61" i="4"/>
  <c r="H65" i="4"/>
  <c r="H69" i="4"/>
  <c r="H73" i="4"/>
  <c r="H77" i="4"/>
  <c r="H81" i="4"/>
  <c r="H85" i="4"/>
  <c r="H89" i="4"/>
  <c r="H93" i="4"/>
  <c r="H97" i="4"/>
  <c r="H100" i="4"/>
  <c r="H104" i="4"/>
  <c r="H108" i="4"/>
  <c r="H112" i="4"/>
  <c r="H116" i="4"/>
  <c r="H120" i="4"/>
  <c r="H124" i="4"/>
  <c r="H128" i="4"/>
  <c r="H132" i="4"/>
  <c r="H136" i="4"/>
  <c r="H140" i="4"/>
  <c r="H144" i="4"/>
  <c r="H148" i="4"/>
  <c r="H152" i="4"/>
  <c r="H162" i="4"/>
  <c r="H166" i="4"/>
  <c r="H170" i="4"/>
  <c r="H174" i="4"/>
  <c r="H178" i="4"/>
  <c r="H181" i="4"/>
  <c r="H185" i="4"/>
  <c r="H189" i="4"/>
  <c r="H193" i="4"/>
  <c r="H197" i="4"/>
  <c r="H201" i="4"/>
  <c r="H205" i="4"/>
  <c r="H209" i="4"/>
  <c r="H213" i="4"/>
  <c r="H217" i="4"/>
  <c r="H221" i="4"/>
  <c r="H225" i="4"/>
  <c r="H19" i="4"/>
  <c r="H22" i="4"/>
  <c r="H26" i="4"/>
  <c r="H30" i="4"/>
  <c r="H34" i="4"/>
  <c r="H38" i="4"/>
  <c r="H42" i="4"/>
  <c r="H46" i="4"/>
  <c r="H50" i="4"/>
  <c r="H54" i="4"/>
  <c r="H58" i="4"/>
  <c r="H62" i="4"/>
  <c r="H66" i="4"/>
  <c r="H70" i="4"/>
  <c r="H74" i="4"/>
  <c r="H78" i="4"/>
  <c r="H82" i="4"/>
  <c r="H86" i="4"/>
  <c r="H90" i="4"/>
  <c r="H94" i="4"/>
  <c r="H98" i="4"/>
  <c r="H101" i="4"/>
  <c r="H105" i="4"/>
  <c r="H109" i="4"/>
  <c r="H113" i="4"/>
  <c r="H117" i="4"/>
  <c r="H121" i="4"/>
  <c r="H125" i="4"/>
  <c r="H129" i="4"/>
  <c r="H133" i="4"/>
  <c r="H137" i="4"/>
  <c r="H141" i="4"/>
  <c r="H145" i="4"/>
  <c r="H149" i="4"/>
  <c r="H163" i="4"/>
  <c r="H167" i="4"/>
  <c r="H171" i="4"/>
  <c r="H175" i="4"/>
  <c r="H179" i="4"/>
  <c r="H182" i="4"/>
  <c r="H186" i="4"/>
  <c r="H190" i="4"/>
  <c r="H194" i="4"/>
  <c r="H198" i="4"/>
  <c r="H202" i="4"/>
  <c r="H206" i="4"/>
  <c r="H210" i="4"/>
  <c r="H214" i="4"/>
  <c r="H218" i="4"/>
  <c r="H222" i="4"/>
  <c r="H23" i="4"/>
  <c r="H27" i="4"/>
  <c r="H31" i="4"/>
  <c r="H35" i="4"/>
  <c r="H39" i="4"/>
  <c r="H43" i="4"/>
  <c r="H47" i="4"/>
  <c r="H51" i="4"/>
  <c r="H55" i="4"/>
  <c r="H59" i="4"/>
  <c r="H63" i="4"/>
  <c r="H67" i="4"/>
  <c r="H71" i="4"/>
  <c r="H75" i="4"/>
  <c r="H79" i="4"/>
  <c r="H83" i="4"/>
  <c r="H87" i="4"/>
  <c r="H91" i="4"/>
  <c r="H95" i="4"/>
  <c r="H102" i="4"/>
  <c r="H106" i="4"/>
  <c r="H110" i="4"/>
  <c r="H114" i="4"/>
  <c r="H118" i="4"/>
  <c r="H122" i="4"/>
  <c r="H126" i="4"/>
  <c r="H130" i="4"/>
  <c r="H134" i="4"/>
  <c r="H138" i="4"/>
  <c r="H142" i="4"/>
  <c r="H146" i="4"/>
  <c r="H150" i="4"/>
  <c r="H164" i="4"/>
  <c r="H168" i="4"/>
  <c r="H172" i="4"/>
  <c r="H176" i="4"/>
  <c r="H180" i="4"/>
  <c r="H183" i="4"/>
  <c r="H187" i="4"/>
  <c r="H191" i="4"/>
  <c r="H195" i="4"/>
  <c r="H199" i="4"/>
  <c r="H203" i="4"/>
  <c r="H207" i="4"/>
  <c r="H211" i="4"/>
  <c r="H215" i="4"/>
  <c r="H219" i="4"/>
  <c r="H223" i="4"/>
  <c r="F23" i="4"/>
  <c r="F27" i="4"/>
  <c r="F31" i="4"/>
  <c r="F35" i="4"/>
  <c r="F39" i="4"/>
  <c r="F43" i="4"/>
  <c r="F47" i="4"/>
  <c r="F51" i="4"/>
  <c r="F55" i="4"/>
  <c r="F59" i="4"/>
  <c r="F63" i="4"/>
  <c r="F67" i="4"/>
  <c r="F71" i="4"/>
  <c r="F75" i="4"/>
  <c r="F79" i="4"/>
  <c r="F83" i="4"/>
  <c r="F87" i="4"/>
  <c r="F91" i="4"/>
  <c r="F95" i="4"/>
  <c r="F102" i="4"/>
  <c r="F106" i="4"/>
  <c r="F110" i="4"/>
  <c r="F114" i="4"/>
  <c r="F118" i="4"/>
  <c r="F122" i="4"/>
  <c r="F126" i="4"/>
  <c r="F130" i="4"/>
  <c r="F134" i="4"/>
  <c r="F138" i="4"/>
  <c r="F142" i="4"/>
  <c r="F146" i="4"/>
  <c r="F150" i="4"/>
  <c r="F164" i="4"/>
  <c r="F168" i="4"/>
  <c r="F172" i="4"/>
  <c r="F176" i="4"/>
  <c r="F180" i="4"/>
  <c r="F183" i="4"/>
  <c r="F187" i="4"/>
  <c r="F191" i="4"/>
  <c r="F195" i="4"/>
  <c r="F199" i="4"/>
  <c r="F203" i="4"/>
  <c r="F207" i="4"/>
  <c r="F211" i="4"/>
  <c r="F215" i="4"/>
  <c r="F219" i="4"/>
  <c r="F223" i="4"/>
  <c r="F17" i="4"/>
  <c r="F20" i="4"/>
  <c r="F24" i="4"/>
  <c r="F28" i="4"/>
  <c r="F32" i="4"/>
  <c r="F36" i="4"/>
  <c r="F40" i="4"/>
  <c r="F44" i="4"/>
  <c r="F48" i="4"/>
  <c r="F52" i="4"/>
  <c r="F56" i="4"/>
  <c r="F60" i="4"/>
  <c r="F64" i="4"/>
  <c r="F68" i="4"/>
  <c r="F72" i="4"/>
  <c r="F76" i="4"/>
  <c r="F80" i="4"/>
  <c r="F84" i="4"/>
  <c r="F88" i="4"/>
  <c r="F92" i="4"/>
  <c r="F96" i="4"/>
  <c r="F99" i="4"/>
  <c r="F103" i="4"/>
  <c r="F107" i="4"/>
  <c r="F111" i="4"/>
  <c r="F115" i="4"/>
  <c r="F119" i="4"/>
  <c r="F123" i="4"/>
  <c r="F127" i="4"/>
  <c r="F131" i="4"/>
  <c r="F135" i="4"/>
  <c r="F139" i="4"/>
  <c r="F143" i="4"/>
  <c r="F147" i="4"/>
  <c r="F151" i="4"/>
  <c r="F161" i="4"/>
  <c r="F165" i="4"/>
  <c r="F169" i="4"/>
  <c r="F173" i="4"/>
  <c r="F177" i="4"/>
  <c r="F184" i="4"/>
  <c r="F188" i="4"/>
  <c r="F192" i="4"/>
  <c r="F196" i="4"/>
  <c r="F200" i="4"/>
  <c r="F204" i="4"/>
  <c r="F208" i="4"/>
  <c r="F212" i="4"/>
  <c r="F216" i="4"/>
  <c r="F220" i="4"/>
  <c r="F224" i="4"/>
  <c r="F18" i="4"/>
  <c r="F21" i="4"/>
  <c r="F25" i="4"/>
  <c r="F29" i="4"/>
  <c r="F33" i="4"/>
  <c r="F37" i="4"/>
  <c r="F41" i="4"/>
  <c r="F45" i="4"/>
  <c r="F49" i="4"/>
  <c r="F53" i="4"/>
  <c r="F57" i="4"/>
  <c r="F61" i="4"/>
  <c r="F65" i="4"/>
  <c r="F69" i="4"/>
  <c r="F73" i="4"/>
  <c r="F77" i="4"/>
  <c r="F81" i="4"/>
  <c r="F85" i="4"/>
  <c r="F89" i="4"/>
  <c r="F93" i="4"/>
  <c r="F97" i="4"/>
  <c r="F100" i="4"/>
  <c r="F104" i="4"/>
  <c r="F108" i="4"/>
  <c r="F112" i="4"/>
  <c r="F116" i="4"/>
  <c r="F120" i="4"/>
  <c r="F124" i="4"/>
  <c r="F128" i="4"/>
  <c r="F132" i="4"/>
  <c r="F30" i="4"/>
  <c r="F46" i="4"/>
  <c r="F62" i="4"/>
  <c r="F78" i="4"/>
  <c r="F94" i="4"/>
  <c r="F109" i="4"/>
  <c r="F125" i="4"/>
  <c r="F137" i="4"/>
  <c r="F145" i="4"/>
  <c r="F167" i="4"/>
  <c r="F175" i="4"/>
  <c r="F182" i="4"/>
  <c r="F190" i="4"/>
  <c r="F198" i="4"/>
  <c r="F206" i="4"/>
  <c r="F214" i="4"/>
  <c r="F222" i="4"/>
  <c r="F38" i="4"/>
  <c r="F86" i="4"/>
  <c r="F117" i="4"/>
  <c r="F141" i="4"/>
  <c r="F171" i="4"/>
  <c r="F194" i="4"/>
  <c r="F210" i="4"/>
  <c r="F19" i="4"/>
  <c r="F34" i="4"/>
  <c r="F50" i="4"/>
  <c r="F66" i="4"/>
  <c r="F82" i="4"/>
  <c r="F98" i="4"/>
  <c r="F113" i="4"/>
  <c r="F129" i="4"/>
  <c r="F140" i="4"/>
  <c r="F148" i="4"/>
  <c r="F162" i="4"/>
  <c r="F170" i="4"/>
  <c r="F178" i="4"/>
  <c r="F185" i="4"/>
  <c r="F193" i="4"/>
  <c r="F201" i="4"/>
  <c r="F209" i="4"/>
  <c r="F217" i="4"/>
  <c r="F225" i="4"/>
  <c r="F22" i="4"/>
  <c r="F54" i="4"/>
  <c r="F70" i="4"/>
  <c r="F101" i="4"/>
  <c r="F133" i="4"/>
  <c r="F149" i="4"/>
  <c r="F163" i="4"/>
  <c r="F179" i="4"/>
  <c r="F186" i="4"/>
  <c r="F202" i="4"/>
  <c r="F218" i="4"/>
  <c r="F26" i="4"/>
  <c r="F42" i="4"/>
  <c r="F58" i="4"/>
  <c r="F74" i="4"/>
  <c r="F90" i="4"/>
  <c r="F105" i="4"/>
  <c r="F121" i="4"/>
  <c r="F136" i="4"/>
  <c r="F144" i="4"/>
  <c r="F152" i="4"/>
  <c r="F166" i="4"/>
  <c r="F174" i="4"/>
  <c r="F181" i="4"/>
  <c r="F189" i="4"/>
  <c r="F197" i="4"/>
  <c r="F205" i="4"/>
  <c r="F213" i="4"/>
  <c r="F221" i="4"/>
  <c r="F16" i="4"/>
  <c r="F235" i="4" s="1"/>
  <c r="H16" i="4"/>
  <c r="C4" i="4" l="1"/>
  <c r="C5" i="4"/>
  <c r="C6" i="4"/>
  <c r="C7" i="4"/>
  <c r="C8" i="4"/>
  <c r="C9" i="4"/>
  <c r="C10" i="4"/>
  <c r="F259" i="2" l="1"/>
  <c r="C11" i="4"/>
  <c r="K235" i="2"/>
  <c r="K232" i="2"/>
  <c r="K234" i="2"/>
  <c r="F257" i="2"/>
  <c r="F236" i="2"/>
  <c r="F237" i="2"/>
  <c r="K233" i="2"/>
  <c r="H260" i="2" l="1"/>
  <c r="I258" i="2" s="1"/>
  <c r="K257" i="2"/>
  <c r="K237" i="2"/>
  <c r="F260" i="2"/>
  <c r="K236" i="2"/>
  <c r="G260" i="2"/>
  <c r="K259" i="2"/>
  <c r="I230" i="2" l="1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9" i="2"/>
  <c r="E317" i="2"/>
  <c r="K260" i="2" l="1"/>
  <c r="J260" i="2"/>
  <c r="G270" i="2" l="1"/>
  <c r="G266" i="2"/>
  <c r="G265" i="2"/>
  <c r="G267" i="2"/>
  <c r="G268" i="2"/>
  <c r="G269" i="2"/>
  <c r="E5" i="17"/>
  <c r="F5" i="17"/>
  <c r="D5" i="17"/>
  <c r="B6" i="17"/>
  <c r="G313" i="2" l="1"/>
  <c r="I229" i="2"/>
  <c r="I260" i="2" l="1"/>
  <c r="F48" i="17"/>
  <c r="F47" i="17"/>
  <c r="F199" i="17"/>
  <c r="F36" i="17"/>
  <c r="F51" i="17"/>
  <c r="F27" i="17"/>
  <c r="F125" i="17"/>
  <c r="F147" i="17"/>
  <c r="F117" i="17"/>
  <c r="F194" i="17"/>
  <c r="F180" i="17"/>
  <c r="F61" i="17"/>
  <c r="F16" i="17"/>
  <c r="F68" i="17"/>
  <c r="F43" i="17"/>
  <c r="F24" i="17"/>
  <c r="F109" i="17"/>
  <c r="F69" i="17"/>
  <c r="F71" i="17"/>
  <c r="F120" i="17"/>
  <c r="F105" i="17"/>
  <c r="F11" i="17"/>
  <c r="F46" i="17"/>
  <c r="F166" i="17"/>
  <c r="F122" i="17"/>
  <c r="F13" i="17"/>
  <c r="F100" i="17"/>
  <c r="F196" i="17"/>
  <c r="F93" i="17"/>
  <c r="F106" i="17"/>
  <c r="F138" i="17"/>
  <c r="F28" i="17"/>
  <c r="F182" i="17"/>
  <c r="F84" i="17"/>
  <c r="F83" i="17"/>
  <c r="F189" i="17"/>
  <c r="F79" i="17"/>
  <c r="F181" i="17"/>
  <c r="F154" i="17"/>
  <c r="F40" i="17"/>
  <c r="F121" i="17"/>
  <c r="F62" i="17"/>
  <c r="F103" i="17"/>
  <c r="F128" i="17"/>
  <c r="F174" i="17"/>
  <c r="F98" i="17"/>
  <c r="F141" i="17"/>
  <c r="F56" i="17"/>
  <c r="F35" i="17"/>
  <c r="F124" i="17"/>
  <c r="F171" i="17"/>
  <c r="F195" i="17"/>
  <c r="F198" i="17"/>
  <c r="F201" i="17"/>
  <c r="F140" i="17"/>
  <c r="F188" i="17"/>
  <c r="F187" i="17"/>
  <c r="F165" i="17"/>
  <c r="F183" i="17"/>
  <c r="F10" i="17"/>
  <c r="F160" i="17"/>
  <c r="F96" i="17"/>
  <c r="F74" i="17"/>
  <c r="F161" i="17"/>
  <c r="F143" i="17"/>
  <c r="F87" i="17"/>
  <c r="F9" i="17"/>
  <c r="F58" i="17"/>
  <c r="F176" i="17"/>
  <c r="F37" i="17"/>
  <c r="F72" i="17"/>
  <c r="F172" i="17"/>
  <c r="F134" i="17"/>
  <c r="F53" i="17"/>
  <c r="F85" i="17"/>
  <c r="F170" i="17"/>
  <c r="F110" i="17"/>
  <c r="F80" i="17"/>
  <c r="F63" i="17"/>
  <c r="F34" i="17"/>
  <c r="F18" i="17"/>
  <c r="F157" i="17"/>
  <c r="F142" i="17"/>
  <c r="F45" i="17"/>
  <c r="F151" i="17"/>
  <c r="F75" i="17"/>
  <c r="F179" i="17"/>
  <c r="F150" i="17"/>
  <c r="F15" i="17"/>
  <c r="F31" i="17"/>
  <c r="F177" i="17"/>
  <c r="F50" i="17"/>
  <c r="F44" i="17"/>
  <c r="F91" i="17"/>
  <c r="F135" i="17"/>
  <c r="F26" i="17"/>
  <c r="F33" i="17"/>
  <c r="F64" i="17"/>
  <c r="F23" i="17"/>
  <c r="F49" i="17"/>
  <c r="F130" i="17"/>
  <c r="F162" i="17"/>
  <c r="F57" i="17"/>
  <c r="F156" i="17"/>
  <c r="F14" i="17"/>
  <c r="F59" i="17"/>
  <c r="F123" i="17"/>
  <c r="F102" i="17"/>
  <c r="F30" i="17"/>
  <c r="F152" i="17"/>
  <c r="F76" i="17"/>
  <c r="F126" i="17"/>
  <c r="F192" i="17"/>
  <c r="F99" i="17"/>
  <c r="F92" i="17"/>
  <c r="F86" i="17"/>
  <c r="F81" i="17"/>
  <c r="F114" i="17"/>
  <c r="F113" i="17"/>
  <c r="F108" i="17"/>
  <c r="F97" i="17"/>
  <c r="F104" i="17"/>
  <c r="F193" i="17"/>
  <c r="F7" i="17"/>
  <c r="F73" i="17"/>
  <c r="F202" i="17"/>
  <c r="F41" i="17"/>
  <c r="F204" i="17"/>
  <c r="F115" i="17"/>
  <c r="F88" i="17"/>
  <c r="F127" i="17"/>
  <c r="F89" i="17"/>
  <c r="F144" i="17"/>
  <c r="F95" i="17"/>
  <c r="F101" i="17"/>
  <c r="F112" i="17"/>
  <c r="F111" i="17"/>
  <c r="F129" i="17"/>
  <c r="F66" i="17"/>
  <c r="F148" i="17"/>
  <c r="F158" i="17"/>
  <c r="F19" i="17"/>
  <c r="F178" i="17"/>
  <c r="F169" i="17"/>
  <c r="F12" i="17"/>
  <c r="F173" i="17"/>
  <c r="F197" i="17"/>
  <c r="F136" i="17"/>
  <c r="F32" i="17"/>
  <c r="F60" i="17"/>
  <c r="F82" i="17"/>
  <c r="F155" i="17"/>
  <c r="F200" i="17"/>
  <c r="F22" i="17"/>
  <c r="F132" i="17"/>
  <c r="F159" i="17"/>
  <c r="F133" i="17"/>
  <c r="F39" i="17"/>
  <c r="F29" i="17"/>
  <c r="F78" i="17"/>
  <c r="F163" i="17"/>
  <c r="F190" i="17"/>
  <c r="F137" i="17"/>
  <c r="F21" i="17"/>
  <c r="F205" i="17"/>
  <c r="F168" i="17"/>
  <c r="F20" i="17"/>
  <c r="F164" i="17"/>
  <c r="F65" i="17"/>
  <c r="F52" i="17"/>
  <c r="F42" i="17"/>
  <c r="F146" i="17"/>
  <c r="F8" i="17"/>
  <c r="F90" i="17"/>
  <c r="F191" i="17"/>
  <c r="F185" i="17"/>
  <c r="F67" i="17"/>
  <c r="F70" i="17"/>
  <c r="F145" i="17"/>
  <c r="F203" i="17"/>
  <c r="F139" i="17"/>
  <c r="F118" i="17"/>
  <c r="F25" i="17"/>
  <c r="F186" i="17"/>
  <c r="F153" i="17"/>
  <c r="F77" i="17"/>
  <c r="F54" i="17"/>
  <c r="F94" i="17"/>
  <c r="F149" i="17"/>
  <c r="F116" i="17"/>
  <c r="F119" i="17"/>
  <c r="F107" i="17"/>
  <c r="F184" i="17"/>
  <c r="F38" i="17"/>
  <c r="F167" i="17"/>
  <c r="F175" i="17"/>
  <c r="F55" i="17"/>
  <c r="F131" i="17"/>
  <c r="F17" i="17"/>
  <c r="F6" i="17" s="1"/>
  <c r="E48" i="17"/>
  <c r="E47" i="17"/>
  <c r="E199" i="17"/>
  <c r="E36" i="17"/>
  <c r="E51" i="17"/>
  <c r="E27" i="17"/>
  <c r="E125" i="17"/>
  <c r="E147" i="17"/>
  <c r="E117" i="17"/>
  <c r="E194" i="17"/>
  <c r="E180" i="17"/>
  <c r="E61" i="17"/>
  <c r="E16" i="17"/>
  <c r="E68" i="17"/>
  <c r="E43" i="17"/>
  <c r="E24" i="17"/>
  <c r="E109" i="17"/>
  <c r="E69" i="17"/>
  <c r="E71" i="17"/>
  <c r="E120" i="17"/>
  <c r="E105" i="17"/>
  <c r="E11" i="17"/>
  <c r="E46" i="17"/>
  <c r="E166" i="17"/>
  <c r="E122" i="17"/>
  <c r="E13" i="17"/>
  <c r="E100" i="17"/>
  <c r="E196" i="17"/>
  <c r="E93" i="17"/>
  <c r="E106" i="17"/>
  <c r="E138" i="17"/>
  <c r="E28" i="17"/>
  <c r="E182" i="17"/>
  <c r="E84" i="17"/>
  <c r="E83" i="17"/>
  <c r="E189" i="17"/>
  <c r="E79" i="17"/>
  <c r="E181" i="17"/>
  <c r="E154" i="17"/>
  <c r="E40" i="17"/>
  <c r="E121" i="17"/>
  <c r="E62" i="17"/>
  <c r="E103" i="17"/>
  <c r="E128" i="17"/>
  <c r="E174" i="17"/>
  <c r="E98" i="17"/>
  <c r="E141" i="17"/>
  <c r="E56" i="17"/>
  <c r="E35" i="17"/>
  <c r="E124" i="17"/>
  <c r="E171" i="17"/>
  <c r="E195" i="17"/>
  <c r="E198" i="17"/>
  <c r="E201" i="17"/>
  <c r="E140" i="17"/>
  <c r="E188" i="17"/>
  <c r="E187" i="17"/>
  <c r="E165" i="17"/>
  <c r="E183" i="17"/>
  <c r="E10" i="17"/>
  <c r="E160" i="17"/>
  <c r="E96" i="17"/>
  <c r="E74" i="17"/>
  <c r="E161" i="17"/>
  <c r="E143" i="17"/>
  <c r="E87" i="17"/>
  <c r="E9" i="17"/>
  <c r="E58" i="17"/>
  <c r="E176" i="17"/>
  <c r="E37" i="17"/>
  <c r="E72" i="17"/>
  <c r="E172" i="17"/>
  <c r="E134" i="17"/>
  <c r="E53" i="17"/>
  <c r="E85" i="17"/>
  <c r="E170" i="17"/>
  <c r="E110" i="17"/>
  <c r="E80" i="17"/>
  <c r="E63" i="17"/>
  <c r="E34" i="17"/>
  <c r="E18" i="17"/>
  <c r="E157" i="17"/>
  <c r="E142" i="17"/>
  <c r="E45" i="17"/>
  <c r="E151" i="17"/>
  <c r="E75" i="17"/>
  <c r="E179" i="17"/>
  <c r="E150" i="17"/>
  <c r="E15" i="17"/>
  <c r="E31" i="17"/>
  <c r="E177" i="17"/>
  <c r="E50" i="17"/>
  <c r="E44" i="17"/>
  <c r="E91" i="17"/>
  <c r="E135" i="17"/>
  <c r="E26" i="17"/>
  <c r="E33" i="17"/>
  <c r="E64" i="17"/>
  <c r="E23" i="17"/>
  <c r="E49" i="17"/>
  <c r="E130" i="17"/>
  <c r="E162" i="17"/>
  <c r="E57" i="17"/>
  <c r="E156" i="17"/>
  <c r="E14" i="17"/>
  <c r="E59" i="17"/>
  <c r="E123" i="17"/>
  <c r="E102" i="17"/>
  <c r="E30" i="17"/>
  <c r="E152" i="17"/>
  <c r="E76" i="17"/>
  <c r="E126" i="17"/>
  <c r="E192" i="17"/>
  <c r="E99" i="17"/>
  <c r="E92" i="17"/>
  <c r="E86" i="17"/>
  <c r="E81" i="17"/>
  <c r="E114" i="17"/>
  <c r="E113" i="17"/>
  <c r="E108" i="17"/>
  <c r="E97" i="17"/>
  <c r="E104" i="17"/>
  <c r="E193" i="17"/>
  <c r="E7" i="17"/>
  <c r="E73" i="17"/>
  <c r="E202" i="17"/>
  <c r="E41" i="17"/>
  <c r="E204" i="17"/>
  <c r="E115" i="17"/>
  <c r="E88" i="17"/>
  <c r="E127" i="17"/>
  <c r="E89" i="17"/>
  <c r="E144" i="17"/>
  <c r="E95" i="17"/>
  <c r="E101" i="17"/>
  <c r="E112" i="17"/>
  <c r="E111" i="17"/>
  <c r="E129" i="17"/>
  <c r="E66" i="17"/>
  <c r="E148" i="17"/>
  <c r="E158" i="17"/>
  <c r="E19" i="17"/>
  <c r="E178" i="17"/>
  <c r="E169" i="17"/>
  <c r="E12" i="17"/>
  <c r="E173" i="17"/>
  <c r="E197" i="17"/>
  <c r="E136" i="17"/>
  <c r="E32" i="17"/>
  <c r="E60" i="17"/>
  <c r="E82" i="17"/>
  <c r="E155" i="17"/>
  <c r="E200" i="17"/>
  <c r="E22" i="17"/>
  <c r="E132" i="17"/>
  <c r="E159" i="17"/>
  <c r="E133" i="17"/>
  <c r="E39" i="17"/>
  <c r="E29" i="17"/>
  <c r="E78" i="17"/>
  <c r="E163" i="17"/>
  <c r="E190" i="17"/>
  <c r="E137" i="17"/>
  <c r="E21" i="17"/>
  <c r="E205" i="17"/>
  <c r="E168" i="17"/>
  <c r="E20" i="17"/>
  <c r="E164" i="17"/>
  <c r="E65" i="17"/>
  <c r="E52" i="17"/>
  <c r="E42" i="17"/>
  <c r="E146" i="17"/>
  <c r="E8" i="17"/>
  <c r="E90" i="17"/>
  <c r="E191" i="17"/>
  <c r="E185" i="17"/>
  <c r="E67" i="17"/>
  <c r="E70" i="17"/>
  <c r="E145" i="17"/>
  <c r="E203" i="17"/>
  <c r="E139" i="17"/>
  <c r="E118" i="17"/>
  <c r="E25" i="17"/>
  <c r="E186" i="17"/>
  <c r="E153" i="17"/>
  <c r="E77" i="17"/>
  <c r="E54" i="17"/>
  <c r="E94" i="17"/>
  <c r="E149" i="17"/>
  <c r="E116" i="17"/>
  <c r="E119" i="17"/>
  <c r="E107" i="17"/>
  <c r="E184" i="17"/>
  <c r="E38" i="17"/>
  <c r="E167" i="17"/>
  <c r="E175" i="17"/>
  <c r="E55" i="17"/>
  <c r="E131" i="17"/>
  <c r="E17" i="17"/>
  <c r="E6" i="17" s="1"/>
  <c r="D125" i="17" l="1"/>
  <c r="D147" i="17"/>
  <c r="D117" i="17"/>
  <c r="D194" i="17"/>
  <c r="D180" i="17"/>
  <c r="D61" i="17"/>
  <c r="D16" i="17"/>
  <c r="D68" i="17"/>
  <c r="D43" i="17"/>
  <c r="D24" i="17"/>
  <c r="D109" i="17"/>
  <c r="D69" i="17"/>
  <c r="D71" i="17"/>
  <c r="D120" i="17"/>
  <c r="D105" i="17"/>
  <c r="D11" i="17"/>
  <c r="D46" i="17"/>
  <c r="D166" i="17"/>
  <c r="D122" i="17"/>
  <c r="D13" i="17"/>
  <c r="D100" i="17"/>
  <c r="D196" i="17"/>
  <c r="D93" i="17"/>
  <c r="D106" i="17"/>
  <c r="D138" i="17"/>
  <c r="D28" i="17"/>
  <c r="D182" i="17"/>
  <c r="D84" i="17"/>
  <c r="D83" i="17"/>
  <c r="D189" i="17"/>
  <c r="D79" i="17"/>
  <c r="D181" i="17"/>
  <c r="D154" i="17"/>
  <c r="D40" i="17"/>
  <c r="D121" i="17"/>
  <c r="D62" i="17"/>
  <c r="D103" i="17"/>
  <c r="D128" i="17"/>
  <c r="D174" i="17"/>
  <c r="D98" i="17"/>
  <c r="D141" i="17"/>
  <c r="D56" i="17"/>
  <c r="D35" i="17"/>
  <c r="D124" i="17"/>
  <c r="D171" i="17"/>
  <c r="D195" i="17"/>
  <c r="D198" i="17"/>
  <c r="D201" i="17"/>
  <c r="D140" i="17"/>
  <c r="D188" i="17"/>
  <c r="D187" i="17"/>
  <c r="D165" i="17"/>
  <c r="D183" i="17"/>
  <c r="D10" i="17"/>
  <c r="D160" i="17"/>
  <c r="D96" i="17"/>
  <c r="D74" i="17"/>
  <c r="D161" i="17"/>
  <c r="D143" i="17"/>
  <c r="D87" i="17"/>
  <c r="D9" i="17"/>
  <c r="D58" i="17"/>
  <c r="D176" i="17"/>
  <c r="D37" i="17"/>
  <c r="D72" i="17"/>
  <c r="D172" i="17"/>
  <c r="D134" i="17"/>
  <c r="D53" i="17"/>
  <c r="D85" i="17"/>
  <c r="D170" i="17"/>
  <c r="D110" i="17"/>
  <c r="D80" i="17"/>
  <c r="D63" i="17"/>
  <c r="D34" i="17"/>
  <c r="D18" i="17"/>
  <c r="D157" i="17"/>
  <c r="D142" i="17"/>
  <c r="D45" i="17"/>
  <c r="D151" i="17"/>
  <c r="D75" i="17"/>
  <c r="D179" i="17"/>
  <c r="D150" i="17"/>
  <c r="D15" i="17"/>
  <c r="D31" i="17"/>
  <c r="D177" i="17"/>
  <c r="D50" i="17"/>
  <c r="D44" i="17"/>
  <c r="D91" i="17"/>
  <c r="D135" i="17"/>
  <c r="D26" i="17"/>
  <c r="D33" i="17"/>
  <c r="D64" i="17"/>
  <c r="D23" i="17"/>
  <c r="D49" i="17"/>
  <c r="D130" i="17"/>
  <c r="D162" i="17"/>
  <c r="D57" i="17"/>
  <c r="D156" i="17"/>
  <c r="D14" i="17"/>
  <c r="D59" i="17"/>
  <c r="D123" i="17"/>
  <c r="D102" i="17"/>
  <c r="D30" i="17"/>
  <c r="D152" i="17"/>
  <c r="D76" i="17"/>
  <c r="D126" i="17"/>
  <c r="D192" i="17"/>
  <c r="D99" i="17"/>
  <c r="D92" i="17"/>
  <c r="D86" i="17"/>
  <c r="D81" i="17"/>
  <c r="D114" i="17"/>
  <c r="D113" i="17"/>
  <c r="D108" i="17"/>
  <c r="D97" i="17"/>
  <c r="D104" i="17"/>
  <c r="D193" i="17"/>
  <c r="D7" i="17"/>
  <c r="D73" i="17"/>
  <c r="D202" i="17"/>
  <c r="D41" i="17"/>
  <c r="D204" i="17"/>
  <c r="D115" i="17"/>
  <c r="D88" i="17"/>
  <c r="D127" i="17"/>
  <c r="D89" i="17"/>
  <c r="D144" i="17"/>
  <c r="D95" i="17"/>
  <c r="D101" i="17"/>
  <c r="D112" i="17"/>
  <c r="D111" i="17"/>
  <c r="D129" i="17"/>
  <c r="D66" i="17"/>
  <c r="D148" i="17"/>
  <c r="D158" i="17"/>
  <c r="D19" i="17"/>
  <c r="D178" i="17"/>
  <c r="D169" i="17"/>
  <c r="D12" i="17"/>
  <c r="D173" i="17"/>
  <c r="D197" i="17"/>
  <c r="D136" i="17"/>
  <c r="D32" i="17"/>
  <c r="D60" i="17"/>
  <c r="D82" i="17"/>
  <c r="D155" i="17"/>
  <c r="D200" i="17"/>
  <c r="D22" i="17"/>
  <c r="D132" i="17"/>
  <c r="D159" i="17"/>
  <c r="D133" i="17"/>
  <c r="D39" i="17"/>
  <c r="D29" i="17"/>
  <c r="D78" i="17"/>
  <c r="D163" i="17"/>
  <c r="D190" i="17"/>
  <c r="D137" i="17"/>
  <c r="D21" i="17"/>
  <c r="D205" i="17"/>
  <c r="D168" i="17"/>
  <c r="D20" i="17"/>
  <c r="D164" i="17"/>
  <c r="D65" i="17"/>
  <c r="D52" i="17"/>
  <c r="D42" i="17"/>
  <c r="D146" i="17"/>
  <c r="D8" i="17"/>
  <c r="D90" i="17"/>
  <c r="D191" i="17"/>
  <c r="D185" i="17"/>
  <c r="D67" i="17"/>
  <c r="D70" i="17"/>
  <c r="D145" i="17"/>
  <c r="D203" i="17"/>
  <c r="D139" i="17"/>
  <c r="D118" i="17"/>
  <c r="D25" i="17"/>
  <c r="D186" i="17"/>
  <c r="D153" i="17"/>
  <c r="D77" i="17"/>
  <c r="D54" i="17"/>
  <c r="D94" i="17"/>
  <c r="D149" i="17"/>
  <c r="D116" i="17"/>
  <c r="D119" i="17"/>
  <c r="D107" i="17"/>
  <c r="D184" i="17"/>
  <c r="D38" i="17"/>
  <c r="D167" i="17"/>
  <c r="D175" i="17"/>
  <c r="D55" i="17"/>
  <c r="D131" i="17"/>
  <c r="D48" i="17"/>
  <c r="D47" i="17"/>
  <c r="D199" i="17"/>
  <c r="D36" i="17"/>
  <c r="D51" i="17"/>
  <c r="D27" i="17"/>
  <c r="D17" i="17"/>
  <c r="B94" i="17" l="1"/>
  <c r="B52" i="17"/>
  <c r="B173" i="17"/>
  <c r="B95" i="17"/>
  <c r="B86" i="17"/>
  <c r="B50" i="17"/>
  <c r="B53" i="17"/>
  <c r="B188" i="17"/>
  <c r="B128" i="17"/>
  <c r="B13" i="17"/>
  <c r="B149" i="17"/>
  <c r="B42" i="17"/>
  <c r="B200" i="17"/>
  <c r="B101" i="17"/>
  <c r="B81" i="17"/>
  <c r="B23" i="17"/>
  <c r="B179" i="17"/>
  <c r="B176" i="17"/>
  <c r="B187" i="17"/>
  <c r="B154" i="17"/>
  <c r="B100" i="17"/>
  <c r="B105" i="17"/>
  <c r="B47" i="17"/>
  <c r="B185" i="17"/>
  <c r="B21" i="17"/>
  <c r="B155" i="17"/>
  <c r="B204" i="17"/>
  <c r="B156" i="17"/>
  <c r="B75" i="17"/>
  <c r="B58" i="17"/>
  <c r="B124" i="17"/>
  <c r="B28" i="17"/>
  <c r="B68" i="17"/>
  <c r="B17" i="17"/>
  <c r="B48" i="17"/>
  <c r="B184" i="17"/>
  <c r="B54" i="17"/>
  <c r="B139" i="17"/>
  <c r="B191" i="17"/>
  <c r="B65" i="17"/>
  <c r="B137" i="17"/>
  <c r="B133" i="17"/>
  <c r="B82" i="17"/>
  <c r="B12" i="17"/>
  <c r="B66" i="17"/>
  <c r="B144" i="17"/>
  <c r="B41" i="17"/>
  <c r="B97" i="17"/>
  <c r="B57" i="17"/>
  <c r="B177" i="17"/>
  <c r="B63" i="17"/>
  <c r="B160" i="17"/>
  <c r="B140" i="17"/>
  <c r="B103" i="17"/>
  <c r="B138" i="17"/>
  <c r="B122" i="17"/>
  <c r="B16" i="17"/>
  <c r="B199" i="17"/>
  <c r="B25" i="17"/>
  <c r="B29" i="17"/>
  <c r="B158" i="17"/>
  <c r="B115" i="17"/>
  <c r="B76" i="17"/>
  <c r="B44" i="17"/>
  <c r="B85" i="17"/>
  <c r="B174" i="17"/>
  <c r="B43" i="17"/>
  <c r="B147" i="17"/>
  <c r="B92" i="17"/>
  <c r="B30" i="17"/>
  <c r="B33" i="17"/>
  <c r="B151" i="17"/>
  <c r="B134" i="17"/>
  <c r="B9" i="17"/>
  <c r="B35" i="17"/>
  <c r="B79" i="17"/>
  <c r="B71" i="17"/>
  <c r="B125" i="17"/>
  <c r="B27" i="17"/>
  <c r="B131" i="17"/>
  <c r="B107" i="17"/>
  <c r="B77" i="17"/>
  <c r="B203" i="17"/>
  <c r="B90" i="17"/>
  <c r="B164" i="17"/>
  <c r="B190" i="17"/>
  <c r="B159" i="17"/>
  <c r="B60" i="17"/>
  <c r="B169" i="17"/>
  <c r="B129" i="17"/>
  <c r="B89" i="17"/>
  <c r="B202" i="17"/>
  <c r="B108" i="17"/>
  <c r="B99" i="17"/>
  <c r="B102" i="17"/>
  <c r="B162" i="17"/>
  <c r="B26" i="17"/>
  <c r="B31" i="17"/>
  <c r="B45" i="17"/>
  <c r="B80" i="17"/>
  <c r="B172" i="17"/>
  <c r="B87" i="17"/>
  <c r="B10" i="17"/>
  <c r="B201" i="17"/>
  <c r="B56" i="17"/>
  <c r="B62" i="17"/>
  <c r="B189" i="17"/>
  <c r="B106" i="17"/>
  <c r="B166" i="17"/>
  <c r="B69" i="17"/>
  <c r="B61" i="17"/>
  <c r="B148" i="17"/>
  <c r="B132" i="17"/>
  <c r="B167" i="17"/>
  <c r="B67" i="17"/>
  <c r="B205" i="17"/>
  <c r="B197" i="17"/>
  <c r="B193" i="17"/>
  <c r="B14" i="17"/>
  <c r="B18" i="17"/>
  <c r="B74" i="17"/>
  <c r="B171" i="17"/>
  <c r="B182" i="17"/>
  <c r="B117" i="17"/>
  <c r="B38" i="17"/>
  <c r="B118" i="17"/>
  <c r="B39" i="17"/>
  <c r="B104" i="17"/>
  <c r="B152" i="17"/>
  <c r="B64" i="17"/>
  <c r="B34" i="17"/>
  <c r="B96" i="17"/>
  <c r="B181" i="17"/>
  <c r="B120" i="17"/>
  <c r="B51" i="17"/>
  <c r="B55" i="17"/>
  <c r="B119" i="17"/>
  <c r="B153" i="17"/>
  <c r="B145" i="17"/>
  <c r="B8" i="17"/>
  <c r="B20" i="17"/>
  <c r="B163" i="17"/>
  <c r="B32" i="17"/>
  <c r="B178" i="17"/>
  <c r="B111" i="17"/>
  <c r="B127" i="17"/>
  <c r="B73" i="17"/>
  <c r="B113" i="17"/>
  <c r="B192" i="17"/>
  <c r="B123" i="17"/>
  <c r="B130" i="17"/>
  <c r="B135" i="17"/>
  <c r="B15" i="17"/>
  <c r="B142" i="17"/>
  <c r="B110" i="17"/>
  <c r="B72" i="17"/>
  <c r="B143" i="17"/>
  <c r="B183" i="17"/>
  <c r="B198" i="17"/>
  <c r="B141" i="17"/>
  <c r="B121" i="17"/>
  <c r="B83" i="17"/>
  <c r="B93" i="17"/>
  <c r="B46" i="17"/>
  <c r="B109" i="17"/>
  <c r="B180" i="17"/>
  <c r="B36" i="17"/>
  <c r="B175" i="17"/>
  <c r="B116" i="17"/>
  <c r="B186" i="17"/>
  <c r="B70" i="17"/>
  <c r="B146" i="17"/>
  <c r="B168" i="17"/>
  <c r="B78" i="17"/>
  <c r="B22" i="17"/>
  <c r="B136" i="17"/>
  <c r="B19" i="17"/>
  <c r="B112" i="17"/>
  <c r="B88" i="17"/>
  <c r="B7" i="17"/>
  <c r="B114" i="17"/>
  <c r="B126" i="17"/>
  <c r="B59" i="17"/>
  <c r="B49" i="17"/>
  <c r="B91" i="17"/>
  <c r="B150" i="17"/>
  <c r="B157" i="17"/>
  <c r="B170" i="17"/>
  <c r="B37" i="17"/>
  <c r="B161" i="17"/>
  <c r="B165" i="17"/>
  <c r="B195" i="17"/>
  <c r="B98" i="17"/>
  <c r="B40" i="17"/>
  <c r="B84" i="17"/>
  <c r="B196" i="17"/>
  <c r="B11" i="17"/>
  <c r="B24" i="17"/>
  <c r="B194" i="17"/>
  <c r="B317" i="2"/>
  <c r="AQ224" i="2" l="1"/>
  <c r="G317" i="2" s="1"/>
  <c r="D317" i="2"/>
  <c r="C317" i="2"/>
  <c r="AH224" i="2"/>
  <c r="AI224" i="2"/>
  <c r="F317" i="2" l="1"/>
  <c r="AH226" i="2"/>
  <c r="AJ199" i="2"/>
  <c r="AK199" i="2" s="1"/>
  <c r="AO199" i="2" s="1"/>
  <c r="AJ200" i="2"/>
  <c r="AK200" i="2" s="1"/>
  <c r="AO200" i="2" s="1"/>
  <c r="AJ201" i="2"/>
  <c r="AK201" i="2" s="1"/>
  <c r="AO201" i="2" s="1"/>
  <c r="AJ202" i="2"/>
  <c r="AK202" i="2" s="1"/>
  <c r="AO202" i="2" s="1"/>
  <c r="AJ203" i="2"/>
  <c r="AK203" i="2" s="1"/>
  <c r="AO203" i="2" s="1"/>
  <c r="AJ204" i="2"/>
  <c r="AK204" i="2" s="1"/>
  <c r="AO204" i="2" s="1"/>
  <c r="AJ205" i="2"/>
  <c r="AK205" i="2" s="1"/>
  <c r="AO205" i="2" s="1"/>
  <c r="AJ206" i="2"/>
  <c r="AK206" i="2" s="1"/>
  <c r="AO206" i="2" s="1"/>
  <c r="AJ207" i="2"/>
  <c r="AK207" i="2" s="1"/>
  <c r="AO207" i="2" s="1"/>
  <c r="AJ208" i="2"/>
  <c r="AK208" i="2" s="1"/>
  <c r="AO208" i="2" s="1"/>
  <c r="AJ209" i="2"/>
  <c r="AK209" i="2" s="1"/>
  <c r="AO209" i="2" s="1"/>
  <c r="AJ210" i="2"/>
  <c r="AK210" i="2" s="1"/>
  <c r="AO210" i="2" s="1"/>
  <c r="AJ211" i="2"/>
  <c r="AK211" i="2" s="1"/>
  <c r="AO211" i="2" s="1"/>
  <c r="AJ212" i="2"/>
  <c r="AK212" i="2" s="1"/>
  <c r="AO212" i="2" s="1"/>
  <c r="AJ213" i="2"/>
  <c r="AK213" i="2" s="1"/>
  <c r="AO213" i="2" s="1"/>
  <c r="AJ214" i="2"/>
  <c r="AK214" i="2" s="1"/>
  <c r="AO214" i="2" s="1"/>
  <c r="AJ146" i="2"/>
  <c r="AK146" i="2" s="1"/>
  <c r="AJ5" i="2"/>
  <c r="AK5" i="2" s="1"/>
  <c r="AJ3" i="2"/>
  <c r="AK3" i="2" s="1"/>
  <c r="AO3" i="2" s="1"/>
  <c r="AP3" i="2" s="1"/>
  <c r="AJ2" i="2"/>
  <c r="AK2" i="2" s="1"/>
  <c r="AJ223" i="2"/>
  <c r="AK223" i="2" s="1"/>
  <c r="J19" i="4"/>
  <c r="J22" i="4"/>
  <c r="J26" i="4"/>
  <c r="J30" i="4"/>
  <c r="J34" i="4"/>
  <c r="J38" i="4"/>
  <c r="J42" i="4"/>
  <c r="J46" i="4"/>
  <c r="J50" i="4"/>
  <c r="J54" i="4"/>
  <c r="J58" i="4"/>
  <c r="J62" i="4"/>
  <c r="J66" i="4"/>
  <c r="J70" i="4"/>
  <c r="J74" i="4"/>
  <c r="J78" i="4"/>
  <c r="J82" i="4"/>
  <c r="J86" i="4"/>
  <c r="J90" i="4"/>
  <c r="J94" i="4"/>
  <c r="J98" i="4"/>
  <c r="J101" i="4"/>
  <c r="J105" i="4"/>
  <c r="J109" i="4"/>
  <c r="J113" i="4"/>
  <c r="J117" i="4"/>
  <c r="J121" i="4"/>
  <c r="J125" i="4"/>
  <c r="J129" i="4"/>
  <c r="J133" i="4"/>
  <c r="J137" i="4"/>
  <c r="J141" i="4"/>
  <c r="J145" i="4"/>
  <c r="J149" i="4"/>
  <c r="J21" i="4"/>
  <c r="J33" i="4"/>
  <c r="J45" i="4"/>
  <c r="J57" i="4"/>
  <c r="J69" i="4"/>
  <c r="J81" i="4"/>
  <c r="J93" i="4"/>
  <c r="J104" i="4"/>
  <c r="J116" i="4"/>
  <c r="J128" i="4"/>
  <c r="J140" i="4"/>
  <c r="J152" i="4"/>
  <c r="J23" i="4"/>
  <c r="J27" i="4"/>
  <c r="J31" i="4"/>
  <c r="J35" i="4"/>
  <c r="J39" i="4"/>
  <c r="J43" i="4"/>
  <c r="J47" i="4"/>
  <c r="J51" i="4"/>
  <c r="J55" i="4"/>
  <c r="J59" i="4"/>
  <c r="J63" i="4"/>
  <c r="J67" i="4"/>
  <c r="J71" i="4"/>
  <c r="J75" i="4"/>
  <c r="J79" i="4"/>
  <c r="J83" i="4"/>
  <c r="J87" i="4"/>
  <c r="J91" i="4"/>
  <c r="J95" i="4"/>
  <c r="J102" i="4"/>
  <c r="J106" i="4"/>
  <c r="J110" i="4"/>
  <c r="J114" i="4"/>
  <c r="J118" i="4"/>
  <c r="J122" i="4"/>
  <c r="J126" i="4"/>
  <c r="J130" i="4"/>
  <c r="J134" i="4"/>
  <c r="J138" i="4"/>
  <c r="J142" i="4"/>
  <c r="J146" i="4"/>
  <c r="J150" i="4"/>
  <c r="J18" i="4"/>
  <c r="J37" i="4"/>
  <c r="J49" i="4"/>
  <c r="J61" i="4"/>
  <c r="J73" i="4"/>
  <c r="J85" i="4"/>
  <c r="J97" i="4"/>
  <c r="J108" i="4"/>
  <c r="J120" i="4"/>
  <c r="J132" i="4"/>
  <c r="J144" i="4"/>
  <c r="J17" i="4"/>
  <c r="J20" i="4"/>
  <c r="J24" i="4"/>
  <c r="J28" i="4"/>
  <c r="J32" i="4"/>
  <c r="J36" i="4"/>
  <c r="J40" i="4"/>
  <c r="J44" i="4"/>
  <c r="J48" i="4"/>
  <c r="J52" i="4"/>
  <c r="J56" i="4"/>
  <c r="J60" i="4"/>
  <c r="J64" i="4"/>
  <c r="J68" i="4"/>
  <c r="J72" i="4"/>
  <c r="J76" i="4"/>
  <c r="J80" i="4"/>
  <c r="J84" i="4"/>
  <c r="J88" i="4"/>
  <c r="J92" i="4"/>
  <c r="J96" i="4"/>
  <c r="J99" i="4"/>
  <c r="J103" i="4"/>
  <c r="J107" i="4"/>
  <c r="J111" i="4"/>
  <c r="J115" i="4"/>
  <c r="J119" i="4"/>
  <c r="J123" i="4"/>
  <c r="J127" i="4"/>
  <c r="J131" i="4"/>
  <c r="J135" i="4"/>
  <c r="J139" i="4"/>
  <c r="J143" i="4"/>
  <c r="J147" i="4"/>
  <c r="J151" i="4"/>
  <c r="J25" i="4"/>
  <c r="J29" i="4"/>
  <c r="J41" i="4"/>
  <c r="J53" i="4"/>
  <c r="J65" i="4"/>
  <c r="J77" i="4"/>
  <c r="J89" i="4"/>
  <c r="J100" i="4"/>
  <c r="J112" i="4"/>
  <c r="J124" i="4"/>
  <c r="J136" i="4"/>
  <c r="J148" i="4"/>
  <c r="AJ4" i="2"/>
  <c r="AK4" i="2" s="1"/>
  <c r="AO4" i="2" s="1"/>
  <c r="AP4" i="2" s="1"/>
  <c r="AJ6" i="2"/>
  <c r="AK6" i="2" s="1"/>
  <c r="AO6" i="2" s="1"/>
  <c r="AJ8" i="2"/>
  <c r="AK8" i="2" s="1"/>
  <c r="AJ10" i="2"/>
  <c r="AK10" i="2" s="1"/>
  <c r="AJ12" i="2"/>
  <c r="AK12" i="2" s="1"/>
  <c r="AJ14" i="2"/>
  <c r="AK14" i="2" s="1"/>
  <c r="AJ16" i="2"/>
  <c r="AK16" i="2" s="1"/>
  <c r="AJ18" i="2"/>
  <c r="AK18" i="2" s="1"/>
  <c r="AJ20" i="2"/>
  <c r="AK20" i="2" s="1"/>
  <c r="AJ22" i="2"/>
  <c r="AK22" i="2" s="1"/>
  <c r="AJ24" i="2"/>
  <c r="AK24" i="2" s="1"/>
  <c r="AJ26" i="2"/>
  <c r="AK26" i="2" s="1"/>
  <c r="AJ28" i="2"/>
  <c r="AK28" i="2" s="1"/>
  <c r="AJ30" i="2"/>
  <c r="AK30" i="2" s="1"/>
  <c r="AJ32" i="2"/>
  <c r="AK32" i="2" s="1"/>
  <c r="AJ34" i="2"/>
  <c r="AK34" i="2" s="1"/>
  <c r="AJ36" i="2"/>
  <c r="AK36" i="2" s="1"/>
  <c r="AJ38" i="2"/>
  <c r="AK38" i="2" s="1"/>
  <c r="AJ40" i="2"/>
  <c r="AK40" i="2" s="1"/>
  <c r="AJ42" i="2"/>
  <c r="AK42" i="2" s="1"/>
  <c r="AJ44" i="2"/>
  <c r="AK44" i="2" s="1"/>
  <c r="AJ46" i="2"/>
  <c r="AK46" i="2" s="1"/>
  <c r="AJ48" i="2"/>
  <c r="AK48" i="2" s="1"/>
  <c r="AJ56" i="2"/>
  <c r="AK56" i="2" s="1"/>
  <c r="AJ58" i="2"/>
  <c r="AK58" i="2" s="1"/>
  <c r="AJ60" i="2"/>
  <c r="AK60" i="2" s="1"/>
  <c r="AJ62" i="2"/>
  <c r="AK62" i="2" s="1"/>
  <c r="AJ64" i="2"/>
  <c r="AK64" i="2" s="1"/>
  <c r="AJ66" i="2"/>
  <c r="AK66" i="2" s="1"/>
  <c r="AJ70" i="2"/>
  <c r="AK70" i="2" s="1"/>
  <c r="AJ72" i="2"/>
  <c r="AK72" i="2" s="1"/>
  <c r="AJ74" i="2"/>
  <c r="AK74" i="2" s="1"/>
  <c r="AJ76" i="2"/>
  <c r="AK76" i="2" s="1"/>
  <c r="AJ78" i="2"/>
  <c r="AK78" i="2" s="1"/>
  <c r="AJ80" i="2"/>
  <c r="AK80" i="2" s="1"/>
  <c r="AJ82" i="2"/>
  <c r="AK82" i="2" s="1"/>
  <c r="AJ84" i="2"/>
  <c r="AK84" i="2" s="1"/>
  <c r="AJ86" i="2"/>
  <c r="AK86" i="2" s="1"/>
  <c r="AJ89" i="2"/>
  <c r="AK89" i="2" s="1"/>
  <c r="AJ193" i="2"/>
  <c r="AK193" i="2" s="1"/>
  <c r="AJ195" i="2"/>
  <c r="AK195" i="2" s="1"/>
  <c r="AJ217" i="2"/>
  <c r="AK217" i="2" s="1"/>
  <c r="AJ221" i="2"/>
  <c r="AK221" i="2" s="1"/>
  <c r="AJ27" i="2"/>
  <c r="AK27" i="2" s="1"/>
  <c r="AJ29" i="2"/>
  <c r="AK29" i="2" s="1"/>
  <c r="AJ90" i="2"/>
  <c r="AK90" i="2" s="1"/>
  <c r="AJ92" i="2"/>
  <c r="AK92" i="2" s="1"/>
  <c r="AJ94" i="2"/>
  <c r="AK94" i="2" s="1"/>
  <c r="AJ96" i="2"/>
  <c r="AK96" i="2" s="1"/>
  <c r="AJ98" i="2"/>
  <c r="AK98" i="2" s="1"/>
  <c r="AJ100" i="2"/>
  <c r="AK100" i="2" s="1"/>
  <c r="AJ102" i="2"/>
  <c r="AK102" i="2" s="1"/>
  <c r="AJ104" i="2"/>
  <c r="AK104" i="2" s="1"/>
  <c r="AJ106" i="2"/>
  <c r="AK106" i="2" s="1"/>
  <c r="AJ108" i="2"/>
  <c r="AK108" i="2" s="1"/>
  <c r="AJ110" i="2"/>
  <c r="AK110" i="2" s="1"/>
  <c r="AJ112" i="2"/>
  <c r="AK112" i="2" s="1"/>
  <c r="AJ114" i="2"/>
  <c r="AK114" i="2" s="1"/>
  <c r="AJ116" i="2"/>
  <c r="AK116" i="2" s="1"/>
  <c r="AJ118" i="2"/>
  <c r="AK118" i="2" s="1"/>
  <c r="AJ120" i="2"/>
  <c r="AK120" i="2" s="1"/>
  <c r="AJ122" i="2"/>
  <c r="AK122" i="2" s="1"/>
  <c r="AJ125" i="2"/>
  <c r="AK125" i="2" s="1"/>
  <c r="AJ127" i="2"/>
  <c r="AK127" i="2" s="1"/>
  <c r="AJ129" i="2"/>
  <c r="AK129" i="2" s="1"/>
  <c r="AJ131" i="2"/>
  <c r="AK131" i="2" s="1"/>
  <c r="AJ133" i="2"/>
  <c r="AK133" i="2" s="1"/>
  <c r="AJ135" i="2"/>
  <c r="AK135" i="2" s="1"/>
  <c r="AJ137" i="2"/>
  <c r="AK137" i="2" s="1"/>
  <c r="AJ139" i="2"/>
  <c r="AK139" i="2" s="1"/>
  <c r="AJ141" i="2"/>
  <c r="AK141" i="2" s="1"/>
  <c r="AJ143" i="2"/>
  <c r="AK143" i="2" s="1"/>
  <c r="AJ145" i="2"/>
  <c r="AK145" i="2" s="1"/>
  <c r="AJ147" i="2"/>
  <c r="AK147" i="2" s="1"/>
  <c r="AJ149" i="2"/>
  <c r="AK149" i="2" s="1"/>
  <c r="AJ151" i="2"/>
  <c r="AK151" i="2" s="1"/>
  <c r="AJ153" i="2"/>
  <c r="AK153" i="2" s="1"/>
  <c r="AJ155" i="2"/>
  <c r="AK155" i="2" s="1"/>
  <c r="AJ157" i="2"/>
  <c r="AK157" i="2" s="1"/>
  <c r="AJ159" i="2"/>
  <c r="AK159" i="2" s="1"/>
  <c r="AJ161" i="2"/>
  <c r="AK161" i="2" s="1"/>
  <c r="AJ163" i="2"/>
  <c r="AK163" i="2" s="1"/>
  <c r="AJ165" i="2"/>
  <c r="AK165" i="2" s="1"/>
  <c r="AJ167" i="2"/>
  <c r="AK167" i="2" s="1"/>
  <c r="AJ169" i="2"/>
  <c r="AK169" i="2" s="1"/>
  <c r="AJ171" i="2"/>
  <c r="AK171" i="2" s="1"/>
  <c r="AJ173" i="2"/>
  <c r="AK173" i="2" s="1"/>
  <c r="AJ175" i="2"/>
  <c r="AK175" i="2" s="1"/>
  <c r="AJ177" i="2"/>
  <c r="AK177" i="2" s="1"/>
  <c r="AJ179" i="2"/>
  <c r="AK179" i="2" s="1"/>
  <c r="AJ181" i="2"/>
  <c r="AK181" i="2" s="1"/>
  <c r="AJ183" i="2"/>
  <c r="AK183" i="2" s="1"/>
  <c r="AJ185" i="2"/>
  <c r="AK185" i="2" s="1"/>
  <c r="AJ187" i="2"/>
  <c r="AK187" i="2" s="1"/>
  <c r="AJ189" i="2"/>
  <c r="AK189" i="2" s="1"/>
  <c r="AJ191" i="2"/>
  <c r="AK191" i="2" s="1"/>
  <c r="AJ197" i="2"/>
  <c r="AK197" i="2" s="1"/>
  <c r="AJ215" i="2"/>
  <c r="AK215" i="2" s="1"/>
  <c r="AJ219" i="2"/>
  <c r="AK219" i="2" s="1"/>
  <c r="AJ7" i="2"/>
  <c r="AK7" i="2" s="1"/>
  <c r="AJ9" i="2"/>
  <c r="AK9" i="2" s="1"/>
  <c r="AJ11" i="2"/>
  <c r="AK11" i="2" s="1"/>
  <c r="AJ13" i="2"/>
  <c r="AK13" i="2" s="1"/>
  <c r="AJ15" i="2"/>
  <c r="AK15" i="2" s="1"/>
  <c r="AJ17" i="2"/>
  <c r="AK17" i="2" s="1"/>
  <c r="AJ19" i="2"/>
  <c r="AK19" i="2" s="1"/>
  <c r="AJ21" i="2"/>
  <c r="AK21" i="2" s="1"/>
  <c r="AJ23" i="2"/>
  <c r="AK23" i="2" s="1"/>
  <c r="AJ25" i="2"/>
  <c r="AK25" i="2" s="1"/>
  <c r="AJ31" i="2"/>
  <c r="AK31" i="2" s="1"/>
  <c r="AJ33" i="2"/>
  <c r="AK33" i="2" s="1"/>
  <c r="AJ35" i="2"/>
  <c r="AK35" i="2" s="1"/>
  <c r="AJ37" i="2"/>
  <c r="AK37" i="2" s="1"/>
  <c r="AJ39" i="2"/>
  <c r="AK39" i="2" s="1"/>
  <c r="AJ41" i="2"/>
  <c r="AK41" i="2" s="1"/>
  <c r="AJ43" i="2"/>
  <c r="AK43" i="2" s="1"/>
  <c r="AJ45" i="2"/>
  <c r="AK45" i="2" s="1"/>
  <c r="AJ47" i="2"/>
  <c r="AK47" i="2" s="1"/>
  <c r="AJ49" i="2"/>
  <c r="AK49" i="2" s="1"/>
  <c r="AJ51" i="2"/>
  <c r="AK51" i="2" s="1"/>
  <c r="AJ53" i="2"/>
  <c r="AK53" i="2" s="1"/>
  <c r="AJ55" i="2"/>
  <c r="AK55" i="2" s="1"/>
  <c r="AJ57" i="2"/>
  <c r="AK57" i="2" s="1"/>
  <c r="AJ59" i="2"/>
  <c r="AK59" i="2" s="1"/>
  <c r="AJ61" i="2"/>
  <c r="AK61" i="2" s="1"/>
  <c r="AJ63" i="2"/>
  <c r="AK63" i="2" s="1"/>
  <c r="AJ65" i="2"/>
  <c r="AK65" i="2" s="1"/>
  <c r="AJ67" i="2"/>
  <c r="AK67" i="2" s="1"/>
  <c r="AJ69" i="2"/>
  <c r="AK69" i="2" s="1"/>
  <c r="AJ71" i="2"/>
  <c r="AK71" i="2" s="1"/>
  <c r="AJ73" i="2"/>
  <c r="AK73" i="2" s="1"/>
  <c r="AJ75" i="2"/>
  <c r="AK75" i="2" s="1"/>
  <c r="AJ77" i="2"/>
  <c r="AK77" i="2" s="1"/>
  <c r="AJ79" i="2"/>
  <c r="AK79" i="2" s="1"/>
  <c r="AJ81" i="2"/>
  <c r="AK81" i="2" s="1"/>
  <c r="AJ83" i="2"/>
  <c r="AK83" i="2" s="1"/>
  <c r="AJ85" i="2"/>
  <c r="AK85" i="2" s="1"/>
  <c r="AJ87" i="2"/>
  <c r="AK87" i="2" s="1"/>
  <c r="AJ88" i="2"/>
  <c r="AK88" i="2" s="1"/>
  <c r="AJ154" i="2"/>
  <c r="AK154" i="2" s="1"/>
  <c r="AJ156" i="2"/>
  <c r="AK156" i="2" s="1"/>
  <c r="AJ158" i="2"/>
  <c r="AK158" i="2" s="1"/>
  <c r="AJ168" i="2"/>
  <c r="AK168" i="2" s="1"/>
  <c r="AJ174" i="2"/>
  <c r="AK174" i="2" s="1"/>
  <c r="AJ184" i="2"/>
  <c r="AK184" i="2" s="1"/>
  <c r="AJ190" i="2"/>
  <c r="AK190" i="2" s="1"/>
  <c r="AJ196" i="2"/>
  <c r="AK196" i="2" s="1"/>
  <c r="AJ198" i="2"/>
  <c r="AK198" i="2" s="1"/>
  <c r="AJ220" i="2"/>
  <c r="AK220" i="2" s="1"/>
  <c r="AJ160" i="2"/>
  <c r="AK160" i="2" s="1"/>
  <c r="AJ166" i="2"/>
  <c r="AK166" i="2" s="1"/>
  <c r="AJ170" i="2"/>
  <c r="AK170" i="2" s="1"/>
  <c r="AJ176" i="2"/>
  <c r="AK176" i="2" s="1"/>
  <c r="AJ182" i="2"/>
  <c r="AK182" i="2" s="1"/>
  <c r="AJ188" i="2"/>
  <c r="AK188" i="2" s="1"/>
  <c r="AJ194" i="2"/>
  <c r="AK194" i="2" s="1"/>
  <c r="AJ216" i="2"/>
  <c r="AK216" i="2" s="1"/>
  <c r="AJ222" i="2"/>
  <c r="AK222" i="2" s="1"/>
  <c r="AJ91" i="2"/>
  <c r="AK91" i="2" s="1"/>
  <c r="AJ93" i="2"/>
  <c r="AK93" i="2" s="1"/>
  <c r="AJ95" i="2"/>
  <c r="AK95" i="2" s="1"/>
  <c r="AJ97" i="2"/>
  <c r="AK97" i="2" s="1"/>
  <c r="AJ99" i="2"/>
  <c r="AK99" i="2" s="1"/>
  <c r="AJ101" i="2"/>
  <c r="AK101" i="2" s="1"/>
  <c r="AJ103" i="2"/>
  <c r="AK103" i="2" s="1"/>
  <c r="AJ105" i="2"/>
  <c r="AK105" i="2" s="1"/>
  <c r="AJ107" i="2"/>
  <c r="AK107" i="2" s="1"/>
  <c r="AJ109" i="2"/>
  <c r="AK109" i="2" s="1"/>
  <c r="AJ111" i="2"/>
  <c r="AK111" i="2" s="1"/>
  <c r="AJ113" i="2"/>
  <c r="AK113" i="2" s="1"/>
  <c r="AJ115" i="2"/>
  <c r="AK115" i="2" s="1"/>
  <c r="AJ117" i="2"/>
  <c r="AK117" i="2" s="1"/>
  <c r="AJ119" i="2"/>
  <c r="AK119" i="2" s="1"/>
  <c r="AJ121" i="2"/>
  <c r="AK121" i="2" s="1"/>
  <c r="AJ123" i="2"/>
  <c r="AK123" i="2" s="1"/>
  <c r="AJ124" i="2"/>
  <c r="AK124" i="2" s="1"/>
  <c r="AJ126" i="2"/>
  <c r="AK126" i="2" s="1"/>
  <c r="AJ128" i="2"/>
  <c r="AK128" i="2" s="1"/>
  <c r="AJ130" i="2"/>
  <c r="AK130" i="2" s="1"/>
  <c r="AJ132" i="2"/>
  <c r="AK132" i="2" s="1"/>
  <c r="AJ134" i="2"/>
  <c r="AK134" i="2" s="1"/>
  <c r="AJ136" i="2"/>
  <c r="AK136" i="2" s="1"/>
  <c r="AJ138" i="2"/>
  <c r="AK138" i="2" s="1"/>
  <c r="AJ140" i="2"/>
  <c r="AK140" i="2" s="1"/>
  <c r="AJ142" i="2"/>
  <c r="AK142" i="2" s="1"/>
  <c r="AJ144" i="2"/>
  <c r="AK144" i="2" s="1"/>
  <c r="AJ148" i="2"/>
  <c r="AK148" i="2" s="1"/>
  <c r="AJ150" i="2"/>
  <c r="AK150" i="2" s="1"/>
  <c r="AJ152" i="2"/>
  <c r="AK152" i="2" s="1"/>
  <c r="AJ162" i="2"/>
  <c r="AK162" i="2" s="1"/>
  <c r="AJ164" i="2"/>
  <c r="AK164" i="2" s="1"/>
  <c r="AJ172" i="2"/>
  <c r="AK172" i="2" s="1"/>
  <c r="AJ178" i="2"/>
  <c r="AK178" i="2" s="1"/>
  <c r="AJ180" i="2"/>
  <c r="AK180" i="2" s="1"/>
  <c r="AJ186" i="2"/>
  <c r="AK186" i="2" s="1"/>
  <c r="AJ192" i="2"/>
  <c r="AK192" i="2" s="1"/>
  <c r="AJ218" i="2"/>
  <c r="AK218" i="2" s="1"/>
  <c r="AJ54" i="2"/>
  <c r="AK54" i="2" s="1"/>
  <c r="AJ68" i="2"/>
  <c r="AK68" i="2" s="1"/>
  <c r="AJ52" i="2"/>
  <c r="AK52" i="2" s="1"/>
  <c r="AJ50" i="2"/>
  <c r="AK50" i="2" s="1"/>
  <c r="J214" i="4"/>
  <c r="J194" i="4"/>
  <c r="J209" i="4"/>
  <c r="J191" i="4"/>
  <c r="J174" i="4"/>
  <c r="J208" i="4"/>
  <c r="J175" i="4"/>
  <c r="J180" i="4"/>
  <c r="J197" i="4"/>
  <c r="J198" i="4"/>
  <c r="J185" i="4"/>
  <c r="J193" i="4"/>
  <c r="J173" i="4"/>
  <c r="J176" i="4"/>
  <c r="J178" i="4"/>
  <c r="J182" i="4"/>
  <c r="J205" i="4"/>
  <c r="J212" i="4"/>
  <c r="J195" i="4"/>
  <c r="J186" i="4"/>
  <c r="J216" i="4"/>
  <c r="J203" i="4"/>
  <c r="J179" i="4"/>
  <c r="J184" i="4"/>
  <c r="J200" i="4"/>
  <c r="J204" i="4"/>
  <c r="J170" i="4"/>
  <c r="J183" i="4"/>
  <c r="J181" i="4"/>
  <c r="J192" i="4"/>
  <c r="J162" i="4"/>
  <c r="J207" i="4"/>
  <c r="J167" i="4"/>
  <c r="J189" i="4"/>
  <c r="J196" i="4"/>
  <c r="J164" i="4"/>
  <c r="J187" i="4"/>
  <c r="J163" i="4"/>
  <c r="J161" i="4"/>
  <c r="J215" i="4"/>
  <c r="J188" i="4"/>
  <c r="J217" i="4"/>
  <c r="J168" i="4"/>
  <c r="J206" i="4"/>
  <c r="J166" i="4"/>
  <c r="J211" i="4"/>
  <c r="J202" i="4"/>
  <c r="J169" i="4"/>
  <c r="J16" i="4"/>
  <c r="J224" i="4"/>
  <c r="J225" i="4"/>
  <c r="J221" i="4"/>
  <c r="J222" i="4"/>
  <c r="J220" i="4"/>
  <c r="J223" i="4"/>
  <c r="J219" i="4"/>
  <c r="J218" i="4"/>
  <c r="J172" i="4"/>
  <c r="J210" i="4"/>
  <c r="J199" i="4"/>
  <c r="J171" i="4"/>
  <c r="J177" i="4"/>
  <c r="J165" i="4"/>
  <c r="J201" i="4"/>
  <c r="J190" i="4"/>
  <c r="J213" i="4"/>
  <c r="L15" i="4"/>
  <c r="AR199" i="2" l="1"/>
  <c r="AS199" i="2" s="1"/>
  <c r="AP199" i="2"/>
  <c r="AR200" i="2"/>
  <c r="AR201" i="2"/>
  <c r="AS201" i="2" s="1"/>
  <c r="AP201" i="2"/>
  <c r="AR202" i="2"/>
  <c r="AS202" i="2" s="1"/>
  <c r="AP202" i="2"/>
  <c r="AR203" i="2"/>
  <c r="AS203" i="2" s="1"/>
  <c r="AP203" i="2"/>
  <c r="AP204" i="2"/>
  <c r="AR204" i="2"/>
  <c r="AS204" i="2" s="1"/>
  <c r="AP205" i="2"/>
  <c r="AR205" i="2"/>
  <c r="AS205" i="2" s="1"/>
  <c r="AP206" i="2"/>
  <c r="AR206" i="2"/>
  <c r="AS206" i="2" s="1"/>
  <c r="AP207" i="2"/>
  <c r="AR207" i="2"/>
  <c r="AS207" i="2" s="1"/>
  <c r="AR208" i="2"/>
  <c r="AR209" i="2"/>
  <c r="AS209" i="2" s="1"/>
  <c r="AP209" i="2"/>
  <c r="AR210" i="2"/>
  <c r="AS210" i="2" s="1"/>
  <c r="AP210" i="2"/>
  <c r="AP211" i="2"/>
  <c r="AR211" i="2"/>
  <c r="AS211" i="2" s="1"/>
  <c r="AR212" i="2"/>
  <c r="AS212" i="2" s="1"/>
  <c r="AP212" i="2"/>
  <c r="AP213" i="2"/>
  <c r="AR213" i="2"/>
  <c r="AS213" i="2" s="1"/>
  <c r="AR214" i="2"/>
  <c r="AS214" i="2" s="1"/>
  <c r="AP214" i="2"/>
  <c r="AO2" i="2"/>
  <c r="AR2" i="2" s="1"/>
  <c r="AO223" i="2"/>
  <c r="AP223" i="2" s="1"/>
  <c r="AO9" i="2"/>
  <c r="AP9" i="2" s="1"/>
  <c r="L153" i="4"/>
  <c r="L154" i="4"/>
  <c r="L155" i="4"/>
  <c r="L156" i="4"/>
  <c r="L157" i="4"/>
  <c r="L158" i="4"/>
  <c r="L159" i="4"/>
  <c r="L160" i="4"/>
  <c r="L19" i="4"/>
  <c r="L22" i="4"/>
  <c r="L26" i="4"/>
  <c r="L30" i="4"/>
  <c r="L34" i="4"/>
  <c r="L38" i="4"/>
  <c r="L23" i="4"/>
  <c r="L27" i="4"/>
  <c r="L31" i="4"/>
  <c r="L35" i="4"/>
  <c r="L39" i="4"/>
  <c r="L17" i="4"/>
  <c r="L20" i="4"/>
  <c r="L24" i="4"/>
  <c r="L28" i="4"/>
  <c r="L32" i="4"/>
  <c r="L36" i="4"/>
  <c r="L40" i="4"/>
  <c r="L18" i="4"/>
  <c r="L21" i="4"/>
  <c r="L25" i="4"/>
  <c r="L29" i="4"/>
  <c r="L33" i="4"/>
  <c r="L37" i="4"/>
  <c r="L41" i="4"/>
  <c r="C194" i="17"/>
  <c r="AO52" i="2"/>
  <c r="AP52" i="2" s="1"/>
  <c r="C117" i="17"/>
  <c r="AK224" i="2"/>
  <c r="C144" i="17"/>
  <c r="L45" i="4"/>
  <c r="L49" i="4"/>
  <c r="L53" i="4"/>
  <c r="L57" i="4"/>
  <c r="L61" i="4"/>
  <c r="L65" i="4"/>
  <c r="L69" i="4"/>
  <c r="L73" i="4"/>
  <c r="L77" i="4"/>
  <c r="L81" i="4"/>
  <c r="L85" i="4"/>
  <c r="L89" i="4"/>
  <c r="L93" i="4"/>
  <c r="L97" i="4"/>
  <c r="L100" i="4"/>
  <c r="L104" i="4"/>
  <c r="L108" i="4"/>
  <c r="L112" i="4"/>
  <c r="L116" i="4"/>
  <c r="L120" i="4"/>
  <c r="L124" i="4"/>
  <c r="L128" i="4"/>
  <c r="L132" i="4"/>
  <c r="L136" i="4"/>
  <c r="L140" i="4"/>
  <c r="L144" i="4"/>
  <c r="L148" i="4"/>
  <c r="L152" i="4"/>
  <c r="L162" i="4"/>
  <c r="L166" i="4"/>
  <c r="L170" i="4"/>
  <c r="L174" i="4"/>
  <c r="L178" i="4"/>
  <c r="L181" i="4"/>
  <c r="L185" i="4"/>
  <c r="L189" i="4"/>
  <c r="L193" i="4"/>
  <c r="L197" i="4"/>
  <c r="L201" i="4"/>
  <c r="L205" i="4"/>
  <c r="L209" i="4"/>
  <c r="L213" i="4"/>
  <c r="L217" i="4"/>
  <c r="L221" i="4"/>
  <c r="L225" i="4"/>
  <c r="L88" i="4"/>
  <c r="L123" i="4"/>
  <c r="L131" i="4"/>
  <c r="L139" i="4"/>
  <c r="L147" i="4"/>
  <c r="L165" i="4"/>
  <c r="L173" i="4"/>
  <c r="L177" i="4"/>
  <c r="L184" i="4"/>
  <c r="L192" i="4"/>
  <c r="L196" i="4"/>
  <c r="L204" i="4"/>
  <c r="L208" i="4"/>
  <c r="L212" i="4"/>
  <c r="L216" i="4"/>
  <c r="L220" i="4"/>
  <c r="L224" i="4"/>
  <c r="L16" i="4"/>
  <c r="L42" i="4"/>
  <c r="L46" i="4"/>
  <c r="L50" i="4"/>
  <c r="L54" i="4"/>
  <c r="L58" i="4"/>
  <c r="L62" i="4"/>
  <c r="L66" i="4"/>
  <c r="L70" i="4"/>
  <c r="L74" i="4"/>
  <c r="L78" i="4"/>
  <c r="L82" i="4"/>
  <c r="L86" i="4"/>
  <c r="L90" i="4"/>
  <c r="L94" i="4"/>
  <c r="L98" i="4"/>
  <c r="L101" i="4"/>
  <c r="L105" i="4"/>
  <c r="L109" i="4"/>
  <c r="L113" i="4"/>
  <c r="L117" i="4"/>
  <c r="L121" i="4"/>
  <c r="L125" i="4"/>
  <c r="L129" i="4"/>
  <c r="L133" i="4"/>
  <c r="L137" i="4"/>
  <c r="L141" i="4"/>
  <c r="L145" i="4"/>
  <c r="L149" i="4"/>
  <c r="L163" i="4"/>
  <c r="L167" i="4"/>
  <c r="L171" i="4"/>
  <c r="L175" i="4"/>
  <c r="L179" i="4"/>
  <c r="L182" i="4"/>
  <c r="L186" i="4"/>
  <c r="L190" i="4"/>
  <c r="L194" i="4"/>
  <c r="L198" i="4"/>
  <c r="L202" i="4"/>
  <c r="L206" i="4"/>
  <c r="L210" i="4"/>
  <c r="L214" i="4"/>
  <c r="L218" i="4"/>
  <c r="L222" i="4"/>
  <c r="L44" i="4"/>
  <c r="L52" i="4"/>
  <c r="L56" i="4"/>
  <c r="L64" i="4"/>
  <c r="L72" i="4"/>
  <c r="L80" i="4"/>
  <c r="L92" i="4"/>
  <c r="L99" i="4"/>
  <c r="L107" i="4"/>
  <c r="L111" i="4"/>
  <c r="L115" i="4"/>
  <c r="L119" i="4"/>
  <c r="L127" i="4"/>
  <c r="L135" i="4"/>
  <c r="L143" i="4"/>
  <c r="L151" i="4"/>
  <c r="L161" i="4"/>
  <c r="L169" i="4"/>
  <c r="L188" i="4"/>
  <c r="L200" i="4"/>
  <c r="L43" i="4"/>
  <c r="L47" i="4"/>
  <c r="L51" i="4"/>
  <c r="L55" i="4"/>
  <c r="L59" i="4"/>
  <c r="L63" i="4"/>
  <c r="L67" i="4"/>
  <c r="L71" i="4"/>
  <c r="L75" i="4"/>
  <c r="L79" i="4"/>
  <c r="L83" i="4"/>
  <c r="L87" i="4"/>
  <c r="L91" i="4"/>
  <c r="L95" i="4"/>
  <c r="L102" i="4"/>
  <c r="L106" i="4"/>
  <c r="L110" i="4"/>
  <c r="L114" i="4"/>
  <c r="L118" i="4"/>
  <c r="L122" i="4"/>
  <c r="L126" i="4"/>
  <c r="L130" i="4"/>
  <c r="L134" i="4"/>
  <c r="L138" i="4"/>
  <c r="L142" i="4"/>
  <c r="L146" i="4"/>
  <c r="L150" i="4"/>
  <c r="L164" i="4"/>
  <c r="L168" i="4"/>
  <c r="L172" i="4"/>
  <c r="L176" i="4"/>
  <c r="L180" i="4"/>
  <c r="L183" i="4"/>
  <c r="L187" i="4"/>
  <c r="L191" i="4"/>
  <c r="L195" i="4"/>
  <c r="L199" i="4"/>
  <c r="L203" i="4"/>
  <c r="L207" i="4"/>
  <c r="L211" i="4"/>
  <c r="L215" i="4"/>
  <c r="L219" i="4"/>
  <c r="L223" i="4"/>
  <c r="L48" i="4"/>
  <c r="L60" i="4"/>
  <c r="L68" i="4"/>
  <c r="L76" i="4"/>
  <c r="L84" i="4"/>
  <c r="L96" i="4"/>
  <c r="L103" i="4"/>
  <c r="AJ224" i="2"/>
  <c r="AR3" i="2" l="1"/>
  <c r="AR223" i="2"/>
  <c r="AS223" i="2" s="1"/>
  <c r="AR9" i="2"/>
  <c r="AS9" i="2" s="1"/>
  <c r="AR52" i="2"/>
  <c r="AS52" i="2" s="1"/>
  <c r="AR4" i="2"/>
  <c r="AS4" i="2" s="1"/>
  <c r="AO50" i="2"/>
  <c r="AP50" i="2" s="1"/>
  <c r="AO180" i="2"/>
  <c r="AP180" i="2" s="1"/>
  <c r="AO144" i="2"/>
  <c r="AO128" i="2"/>
  <c r="AP128" i="2" s="1"/>
  <c r="AO115" i="2"/>
  <c r="AR115" i="2" s="1"/>
  <c r="AS115" i="2" s="1"/>
  <c r="AO99" i="2"/>
  <c r="AP99" i="2" s="1"/>
  <c r="AO170" i="2"/>
  <c r="AP170" i="2" s="1"/>
  <c r="AO174" i="2"/>
  <c r="AP174" i="2" s="1"/>
  <c r="AO85" i="2"/>
  <c r="AP85" i="2" s="1"/>
  <c r="AO61" i="2"/>
  <c r="AP61" i="2" s="1"/>
  <c r="AO45" i="2"/>
  <c r="AP45" i="2" s="1"/>
  <c r="AO25" i="2"/>
  <c r="AP25" i="2" s="1"/>
  <c r="AO187" i="2"/>
  <c r="AP187" i="2" s="1"/>
  <c r="AO179" i="2"/>
  <c r="AP179" i="2" s="1"/>
  <c r="AO163" i="2"/>
  <c r="AP163" i="2" s="1"/>
  <c r="AO147" i="2"/>
  <c r="AO131" i="2"/>
  <c r="AP131" i="2" s="1"/>
  <c r="AO118" i="2"/>
  <c r="AO102" i="2"/>
  <c r="AP102" i="2" s="1"/>
  <c r="AO27" i="2"/>
  <c r="AP27" i="2" s="1"/>
  <c r="AO193" i="2"/>
  <c r="AP193" i="2" s="1"/>
  <c r="AO74" i="2"/>
  <c r="AP74" i="2" s="1"/>
  <c r="AO56" i="2"/>
  <c r="AP56" i="2" s="1"/>
  <c r="AO34" i="2"/>
  <c r="AP34" i="2" s="1"/>
  <c r="AO18" i="2"/>
  <c r="AP18" i="2" s="1"/>
  <c r="AO178" i="2"/>
  <c r="AP178" i="2" s="1"/>
  <c r="AO142" i="2"/>
  <c r="AO126" i="2"/>
  <c r="AP126" i="2" s="1"/>
  <c r="AO113" i="2"/>
  <c r="AP113" i="2" s="1"/>
  <c r="AO97" i="2"/>
  <c r="AP97" i="2" s="1"/>
  <c r="AO188" i="2"/>
  <c r="AP188" i="2" s="1"/>
  <c r="AO196" i="2"/>
  <c r="AP196" i="2" s="1"/>
  <c r="AO146" i="2"/>
  <c r="AO75" i="2"/>
  <c r="AP75" i="2" s="1"/>
  <c r="AO67" i="2"/>
  <c r="AP67" i="2" s="1"/>
  <c r="AO43" i="2"/>
  <c r="AP43" i="2" s="1"/>
  <c r="AO35" i="2"/>
  <c r="AP35" i="2" s="1"/>
  <c r="AO15" i="2"/>
  <c r="AP15" i="2" s="1"/>
  <c r="AO185" i="2"/>
  <c r="AP185" i="2" s="1"/>
  <c r="AO177" i="2"/>
  <c r="AP177" i="2" s="1"/>
  <c r="AO161" i="2"/>
  <c r="AP161" i="2" s="1"/>
  <c r="AO145" i="2"/>
  <c r="AO129" i="2"/>
  <c r="AO108" i="2"/>
  <c r="AP108" i="2" s="1"/>
  <c r="AO92" i="2"/>
  <c r="AP92" i="2" s="1"/>
  <c r="AO221" i="2"/>
  <c r="AP221" i="2" s="1"/>
  <c r="AO80" i="2"/>
  <c r="AP80" i="2" s="1"/>
  <c r="AO72" i="2"/>
  <c r="AP72" i="2" s="1"/>
  <c r="AO40" i="2"/>
  <c r="AP40" i="2" s="1"/>
  <c r="AO24" i="2"/>
  <c r="AP24" i="2" s="1"/>
  <c r="AO16" i="2"/>
  <c r="AP16" i="2" s="1"/>
  <c r="AO68" i="2"/>
  <c r="AP68" i="2" s="1"/>
  <c r="AO192" i="2"/>
  <c r="AP192" i="2" s="1"/>
  <c r="AO172" i="2"/>
  <c r="AP172" i="2" s="1"/>
  <c r="AO150" i="2"/>
  <c r="AP150" i="2" s="1"/>
  <c r="AO140" i="2"/>
  <c r="AR140" i="2" s="1"/>
  <c r="AO132" i="2"/>
  <c r="AP132" i="2" s="1"/>
  <c r="AO124" i="2"/>
  <c r="AP124" i="2" s="1"/>
  <c r="AO119" i="2"/>
  <c r="AP119" i="2" s="1"/>
  <c r="AO111" i="2"/>
  <c r="AP111" i="2" s="1"/>
  <c r="AO103" i="2"/>
  <c r="AP103" i="2" s="1"/>
  <c r="AO95" i="2"/>
  <c r="AP95" i="2" s="1"/>
  <c r="AO222" i="2"/>
  <c r="AP222" i="2" s="1"/>
  <c r="AO182" i="2"/>
  <c r="AP182" i="2" s="1"/>
  <c r="AO160" i="2"/>
  <c r="AP160" i="2" s="1"/>
  <c r="AO190" i="2"/>
  <c r="AP190" i="2" s="1"/>
  <c r="AO158" i="2"/>
  <c r="AP158" i="2" s="1"/>
  <c r="AO88" i="2"/>
  <c r="AP88" i="2" s="1"/>
  <c r="AO81" i="2"/>
  <c r="AP81" i="2" s="1"/>
  <c r="AO73" i="2"/>
  <c r="AP73" i="2" s="1"/>
  <c r="AO65" i="2"/>
  <c r="AP65" i="2" s="1"/>
  <c r="AO57" i="2"/>
  <c r="AP57" i="2" s="1"/>
  <c r="AO49" i="2"/>
  <c r="AP49" i="2" s="1"/>
  <c r="AO41" i="2"/>
  <c r="AP41" i="2" s="1"/>
  <c r="AO33" i="2"/>
  <c r="AP33" i="2" s="1"/>
  <c r="AO21" i="2"/>
  <c r="AP21" i="2" s="1"/>
  <c r="AO13" i="2"/>
  <c r="AO191" i="2"/>
  <c r="AP191" i="2" s="1"/>
  <c r="AO183" i="2"/>
  <c r="AP183" i="2" s="1"/>
  <c r="AO175" i="2"/>
  <c r="AP175" i="2" s="1"/>
  <c r="AO167" i="2"/>
  <c r="AP167" i="2" s="1"/>
  <c r="AO159" i="2"/>
  <c r="AP159" i="2" s="1"/>
  <c r="AO151" i="2"/>
  <c r="AP151" i="2" s="1"/>
  <c r="AO143" i="2"/>
  <c r="AO135" i="2"/>
  <c r="AP135" i="2" s="1"/>
  <c r="AO127" i="2"/>
  <c r="AP127" i="2" s="1"/>
  <c r="AO122" i="2"/>
  <c r="AP122" i="2" s="1"/>
  <c r="AO114" i="2"/>
  <c r="AP114" i="2" s="1"/>
  <c r="AO106" i="2"/>
  <c r="AP106" i="2" s="1"/>
  <c r="AO98" i="2"/>
  <c r="AP98" i="2" s="1"/>
  <c r="AO90" i="2"/>
  <c r="AP90" i="2" s="1"/>
  <c r="AO217" i="2"/>
  <c r="AP217" i="2" s="1"/>
  <c r="AO86" i="2"/>
  <c r="AP86" i="2" s="1"/>
  <c r="AO78" i="2"/>
  <c r="AP78" i="2" s="1"/>
  <c r="AO70" i="2"/>
  <c r="AP70" i="2" s="1"/>
  <c r="AO60" i="2"/>
  <c r="AP60" i="2" s="1"/>
  <c r="AO46" i="2"/>
  <c r="AP46" i="2" s="1"/>
  <c r="AO38" i="2"/>
  <c r="AP38" i="2" s="1"/>
  <c r="AO30" i="2"/>
  <c r="AP30" i="2" s="1"/>
  <c r="AO22" i="2"/>
  <c r="AP22" i="2" s="1"/>
  <c r="AO14" i="2"/>
  <c r="AP14" i="2" s="1"/>
  <c r="AP6" i="2"/>
  <c r="AO162" i="2"/>
  <c r="AP162" i="2" s="1"/>
  <c r="AO136" i="2"/>
  <c r="AP136" i="2" s="1"/>
  <c r="AO123" i="2"/>
  <c r="AP123" i="2" s="1"/>
  <c r="AO107" i="2"/>
  <c r="AP107" i="2" s="1"/>
  <c r="AO91" i="2"/>
  <c r="AP91" i="2" s="1"/>
  <c r="AO194" i="2"/>
  <c r="AP194" i="2" s="1"/>
  <c r="AO198" i="2"/>
  <c r="AP198" i="2" s="1"/>
  <c r="AO154" i="2"/>
  <c r="AP154" i="2" s="1"/>
  <c r="AO77" i="2"/>
  <c r="AP77" i="2" s="1"/>
  <c r="AO69" i="2"/>
  <c r="AP69" i="2" s="1"/>
  <c r="AO53" i="2"/>
  <c r="AP53" i="2" s="1"/>
  <c r="AO37" i="2"/>
  <c r="AP37" i="2" s="1"/>
  <c r="AO17" i="2"/>
  <c r="AP17" i="2" s="1"/>
  <c r="AO215" i="2"/>
  <c r="AP215" i="2" s="1"/>
  <c r="AO171" i="2"/>
  <c r="AP171" i="2" s="1"/>
  <c r="AO155" i="2"/>
  <c r="AP155" i="2" s="1"/>
  <c r="AO139" i="2"/>
  <c r="AR139" i="2" s="1"/>
  <c r="AS139" i="2" s="1"/>
  <c r="AO110" i="2"/>
  <c r="AP110" i="2" s="1"/>
  <c r="AO94" i="2"/>
  <c r="AP94" i="2" s="1"/>
  <c r="AO82" i="2"/>
  <c r="AP82" i="2" s="1"/>
  <c r="AO64" i="2"/>
  <c r="AP64" i="2" s="1"/>
  <c r="AO42" i="2"/>
  <c r="AP42" i="2" s="1"/>
  <c r="AO26" i="2"/>
  <c r="AP26" i="2" s="1"/>
  <c r="AO10" i="2"/>
  <c r="AP10" i="2" s="1"/>
  <c r="AO218" i="2"/>
  <c r="AP218" i="2" s="1"/>
  <c r="AO152" i="2"/>
  <c r="AP152" i="2" s="1"/>
  <c r="AO134" i="2"/>
  <c r="AP134" i="2" s="1"/>
  <c r="AO121" i="2"/>
  <c r="AP121" i="2" s="1"/>
  <c r="AO105" i="2"/>
  <c r="AP105" i="2" s="1"/>
  <c r="AO166" i="2"/>
  <c r="AR166" i="2" s="1"/>
  <c r="AS166" i="2" s="1"/>
  <c r="AO168" i="2"/>
  <c r="AP168" i="2" s="1"/>
  <c r="AO83" i="2"/>
  <c r="AP83" i="2" s="1"/>
  <c r="AO59" i="2"/>
  <c r="AP59" i="2" s="1"/>
  <c r="AO51" i="2"/>
  <c r="AP51" i="2" s="1"/>
  <c r="AO23" i="2"/>
  <c r="AP23" i="2" s="1"/>
  <c r="AO7" i="2"/>
  <c r="AO197" i="2"/>
  <c r="AP197" i="2" s="1"/>
  <c r="AO169" i="2"/>
  <c r="AP169" i="2" s="1"/>
  <c r="AO153" i="2"/>
  <c r="AP153" i="2" s="1"/>
  <c r="AO137" i="2"/>
  <c r="AR137" i="2" s="1"/>
  <c r="AS137" i="2" s="1"/>
  <c r="C89" i="17"/>
  <c r="AO116" i="2"/>
  <c r="AP116" i="2" s="1"/>
  <c r="AO100" i="2"/>
  <c r="AP100" i="2" s="1"/>
  <c r="AO5" i="2"/>
  <c r="AO89" i="2"/>
  <c r="AP89" i="2" s="1"/>
  <c r="AO62" i="2"/>
  <c r="AP62" i="2" s="1"/>
  <c r="AO48" i="2"/>
  <c r="AP48" i="2" s="1"/>
  <c r="AO32" i="2"/>
  <c r="AP32" i="2" s="1"/>
  <c r="AO8" i="2"/>
  <c r="AP8" i="2" s="1"/>
  <c r="AO54" i="2"/>
  <c r="AP54" i="2" s="1"/>
  <c r="AO186" i="2"/>
  <c r="AP186" i="2" s="1"/>
  <c r="AO164" i="2"/>
  <c r="AP164" i="2" s="1"/>
  <c r="AO148" i="2"/>
  <c r="AP148" i="2" s="1"/>
  <c r="AO138" i="2"/>
  <c r="AR138" i="2" s="1"/>
  <c r="AS138" i="2" s="1"/>
  <c r="AO130" i="2"/>
  <c r="AP130" i="2" s="1"/>
  <c r="AO117" i="2"/>
  <c r="AP117" i="2" s="1"/>
  <c r="AO109" i="2"/>
  <c r="AP109" i="2" s="1"/>
  <c r="AO101" i="2"/>
  <c r="AP101" i="2" s="1"/>
  <c r="AO93" i="2"/>
  <c r="AP93" i="2" s="1"/>
  <c r="AO216" i="2"/>
  <c r="AP216" i="2" s="1"/>
  <c r="AO176" i="2"/>
  <c r="AP176" i="2" s="1"/>
  <c r="AO220" i="2"/>
  <c r="AP220" i="2" s="1"/>
  <c r="AO184" i="2"/>
  <c r="AP184" i="2" s="1"/>
  <c r="AO156" i="2"/>
  <c r="AP156" i="2" s="1"/>
  <c r="AO87" i="2"/>
  <c r="AP87" i="2" s="1"/>
  <c r="AO79" i="2"/>
  <c r="AP79" i="2" s="1"/>
  <c r="AO71" i="2"/>
  <c r="AP71" i="2" s="1"/>
  <c r="AO63" i="2"/>
  <c r="AP63" i="2" s="1"/>
  <c r="AO55" i="2"/>
  <c r="AP55" i="2" s="1"/>
  <c r="AO47" i="2"/>
  <c r="AP47" i="2" s="1"/>
  <c r="AO39" i="2"/>
  <c r="AP39" i="2" s="1"/>
  <c r="AO31" i="2"/>
  <c r="AP31" i="2" s="1"/>
  <c r="AO19" i="2"/>
  <c r="AP19" i="2" s="1"/>
  <c r="AO11" i="2"/>
  <c r="AO219" i="2"/>
  <c r="AP219" i="2" s="1"/>
  <c r="AO189" i="2"/>
  <c r="AP189" i="2" s="1"/>
  <c r="AO181" i="2"/>
  <c r="AP181" i="2" s="1"/>
  <c r="AO173" i="2"/>
  <c r="AO165" i="2"/>
  <c r="AP165" i="2" s="1"/>
  <c r="AO157" i="2"/>
  <c r="AP157" i="2" s="1"/>
  <c r="AO149" i="2"/>
  <c r="AP149" i="2" s="1"/>
  <c r="AO141" i="2"/>
  <c r="AO133" i="2"/>
  <c r="AP133" i="2" s="1"/>
  <c r="AO125" i="2"/>
  <c r="AP125" i="2" s="1"/>
  <c r="AO120" i="2"/>
  <c r="AP120" i="2" s="1"/>
  <c r="AO112" i="2"/>
  <c r="AP112" i="2" s="1"/>
  <c r="AO104" i="2"/>
  <c r="AP104" i="2" s="1"/>
  <c r="AO96" i="2"/>
  <c r="AP96" i="2" s="1"/>
  <c r="AO29" i="2"/>
  <c r="AP29" i="2" s="1"/>
  <c r="AO195" i="2"/>
  <c r="AP195" i="2" s="1"/>
  <c r="AO84" i="2"/>
  <c r="AP84" i="2" s="1"/>
  <c r="AO76" i="2"/>
  <c r="AP76" i="2" s="1"/>
  <c r="AO66" i="2"/>
  <c r="AP66" i="2" s="1"/>
  <c r="AO58" i="2"/>
  <c r="AP58" i="2" s="1"/>
  <c r="AO44" i="2"/>
  <c r="AP44" i="2" s="1"/>
  <c r="AO36" i="2"/>
  <c r="AP36" i="2" s="1"/>
  <c r="AO28" i="2"/>
  <c r="AP28" i="2" s="1"/>
  <c r="AO20" i="2"/>
  <c r="AP20" i="2" s="1"/>
  <c r="AO12" i="2"/>
  <c r="AS3" i="2" l="1"/>
  <c r="AR5" i="2"/>
  <c r="AS5" i="2" s="1"/>
  <c r="AP5" i="2"/>
  <c r="AP224" i="2" s="1"/>
  <c r="AR50" i="2"/>
  <c r="AR180" i="2"/>
  <c r="AS180" i="2" s="1"/>
  <c r="AR144" i="2"/>
  <c r="AR128" i="2"/>
  <c r="AS128" i="2" s="1"/>
  <c r="AR99" i="2"/>
  <c r="AS99" i="2" s="1"/>
  <c r="AR170" i="2"/>
  <c r="AS170" i="2" s="1"/>
  <c r="AR174" i="2"/>
  <c r="AS174" i="2" s="1"/>
  <c r="AR85" i="2"/>
  <c r="AS85" i="2" s="1"/>
  <c r="AR61" i="2"/>
  <c r="AS61" i="2" s="1"/>
  <c r="AR45" i="2"/>
  <c r="AS45" i="2" s="1"/>
  <c r="AR25" i="2"/>
  <c r="AR187" i="2"/>
  <c r="AS187" i="2" s="1"/>
  <c r="AR179" i="2"/>
  <c r="AS179" i="2" s="1"/>
  <c r="AR163" i="2"/>
  <c r="AS163" i="2" s="1"/>
  <c r="AR147" i="2"/>
  <c r="AR131" i="2"/>
  <c r="AS131" i="2" s="1"/>
  <c r="AR118" i="2"/>
  <c r="AR102" i="2"/>
  <c r="AR27" i="2"/>
  <c r="AS27" i="2" s="1"/>
  <c r="AR193" i="2"/>
  <c r="AS193" i="2" s="1"/>
  <c r="AR74" i="2"/>
  <c r="AR56" i="2"/>
  <c r="AR34" i="2"/>
  <c r="AS34" i="2" s="1"/>
  <c r="AR18" i="2"/>
  <c r="AR178" i="2"/>
  <c r="AS178" i="2" s="1"/>
  <c r="AR142" i="2"/>
  <c r="AR126" i="2"/>
  <c r="AS126" i="2" s="1"/>
  <c r="AR113" i="2"/>
  <c r="AR97" i="2"/>
  <c r="AR188" i="2"/>
  <c r="AS188" i="2" s="1"/>
  <c r="AR196" i="2"/>
  <c r="AS196" i="2" s="1"/>
  <c r="AR146" i="2"/>
  <c r="AR75" i="2"/>
  <c r="AS75" i="2" s="1"/>
  <c r="AR67" i="2"/>
  <c r="AR43" i="2"/>
  <c r="AR35" i="2"/>
  <c r="AR15" i="2"/>
  <c r="AS15" i="2" s="1"/>
  <c r="AR185" i="2"/>
  <c r="AS185" i="2" s="1"/>
  <c r="AR177" i="2"/>
  <c r="AS177" i="2" s="1"/>
  <c r="AR161" i="2"/>
  <c r="AS161" i="2" s="1"/>
  <c r="AR145" i="2"/>
  <c r="AR129" i="2"/>
  <c r="AR108" i="2"/>
  <c r="AR92" i="2"/>
  <c r="AS92" i="2" s="1"/>
  <c r="AR221" i="2"/>
  <c r="AS221" i="2" s="1"/>
  <c r="AR80" i="2"/>
  <c r="AR72" i="2"/>
  <c r="AR40" i="2"/>
  <c r="AR24" i="2"/>
  <c r="AR16" i="2"/>
  <c r="AR68" i="2"/>
  <c r="AS68" i="2" s="1"/>
  <c r="AR192" i="2"/>
  <c r="AS192" i="2" s="1"/>
  <c r="AR172" i="2"/>
  <c r="AS172" i="2" s="1"/>
  <c r="AR150" i="2"/>
  <c r="AS150" i="2" s="1"/>
  <c r="AR132" i="2"/>
  <c r="AS132" i="2" s="1"/>
  <c r="AR124" i="2"/>
  <c r="AS124" i="2" s="1"/>
  <c r="AR119" i="2"/>
  <c r="AS119" i="2" s="1"/>
  <c r="AR111" i="2"/>
  <c r="AS111" i="2" s="1"/>
  <c r="AR103" i="2"/>
  <c r="AS103" i="2" s="1"/>
  <c r="AR95" i="2"/>
  <c r="AS95" i="2" s="1"/>
  <c r="AR222" i="2"/>
  <c r="AS222" i="2" s="1"/>
  <c r="AR182" i="2"/>
  <c r="AS182" i="2" s="1"/>
  <c r="AR160" i="2"/>
  <c r="AS160" i="2" s="1"/>
  <c r="AR190" i="2"/>
  <c r="AS190" i="2" s="1"/>
  <c r="AR158" i="2"/>
  <c r="AS158" i="2" s="1"/>
  <c r="AR88" i="2"/>
  <c r="AS88" i="2" s="1"/>
  <c r="AR81" i="2"/>
  <c r="AS81" i="2" s="1"/>
  <c r="AR73" i="2"/>
  <c r="AR65" i="2"/>
  <c r="AS65" i="2" s="1"/>
  <c r="AR57" i="2"/>
  <c r="AS57" i="2" s="1"/>
  <c r="AR49" i="2"/>
  <c r="AR41" i="2"/>
  <c r="AS41" i="2" s="1"/>
  <c r="AR33" i="2"/>
  <c r="AS33" i="2" s="1"/>
  <c r="AR21" i="2"/>
  <c r="AR13" i="2"/>
  <c r="C180" i="17" s="1"/>
  <c r="AR191" i="2"/>
  <c r="AS191" i="2" s="1"/>
  <c r="AR183" i="2"/>
  <c r="AS183" i="2" s="1"/>
  <c r="AR175" i="2"/>
  <c r="AS175" i="2" s="1"/>
  <c r="AR167" i="2"/>
  <c r="AS167" i="2" s="1"/>
  <c r="AR159" i="2"/>
  <c r="AS159" i="2" s="1"/>
  <c r="AR151" i="2"/>
  <c r="AS151" i="2" s="1"/>
  <c r="AR143" i="2"/>
  <c r="AR135" i="2"/>
  <c r="AS135" i="2" s="1"/>
  <c r="AR127" i="2"/>
  <c r="AS127" i="2" s="1"/>
  <c r="AR122" i="2"/>
  <c r="AR114" i="2"/>
  <c r="AS114" i="2" s="1"/>
  <c r="AR106" i="2"/>
  <c r="AR98" i="2"/>
  <c r="AS98" i="2" s="1"/>
  <c r="AR90" i="2"/>
  <c r="AR217" i="2"/>
  <c r="AS217" i="2" s="1"/>
  <c r="AR86" i="2"/>
  <c r="AR78" i="2"/>
  <c r="AS78" i="2" s="1"/>
  <c r="AR70" i="2"/>
  <c r="AR60" i="2"/>
  <c r="AS60" i="2" s="1"/>
  <c r="AR46" i="2"/>
  <c r="AR38" i="2"/>
  <c r="AR30" i="2"/>
  <c r="AR22" i="2"/>
  <c r="AR14" i="2"/>
  <c r="AR6" i="2"/>
  <c r="AR162" i="2"/>
  <c r="AS162" i="2" s="1"/>
  <c r="AR136" i="2"/>
  <c r="AS136" i="2" s="1"/>
  <c r="AR123" i="2"/>
  <c r="AS123" i="2" s="1"/>
  <c r="AR107" i="2"/>
  <c r="AS107" i="2" s="1"/>
  <c r="AR91" i="2"/>
  <c r="AS91" i="2" s="1"/>
  <c r="AR194" i="2"/>
  <c r="AS194" i="2" s="1"/>
  <c r="AR198" i="2"/>
  <c r="AS198" i="2" s="1"/>
  <c r="AR154" i="2"/>
  <c r="AR77" i="2"/>
  <c r="AS77" i="2" s="1"/>
  <c r="AR69" i="2"/>
  <c r="AS69" i="2" s="1"/>
  <c r="AR53" i="2"/>
  <c r="AS53" i="2" s="1"/>
  <c r="AR37" i="2"/>
  <c r="AS37" i="2" s="1"/>
  <c r="AR17" i="2"/>
  <c r="AS17" i="2" s="1"/>
  <c r="AR215" i="2"/>
  <c r="AS215" i="2" s="1"/>
  <c r="AR171" i="2"/>
  <c r="AS171" i="2" s="1"/>
  <c r="AR155" i="2"/>
  <c r="AS155" i="2" s="1"/>
  <c r="AR110" i="2"/>
  <c r="AR94" i="2"/>
  <c r="AS94" i="2" s="1"/>
  <c r="AR82" i="2"/>
  <c r="AS82" i="2" s="1"/>
  <c r="AR64" i="2"/>
  <c r="AR42" i="2"/>
  <c r="AS42" i="2" s="1"/>
  <c r="AR26" i="2"/>
  <c r="AS26" i="2" s="1"/>
  <c r="AR10" i="2"/>
  <c r="AS10" i="2" s="1"/>
  <c r="AS218" i="2"/>
  <c r="AR152" i="2"/>
  <c r="AS152" i="2" s="1"/>
  <c r="AR134" i="2"/>
  <c r="AS134" i="2" s="1"/>
  <c r="AR121" i="2"/>
  <c r="AS121" i="2" s="1"/>
  <c r="AR105" i="2"/>
  <c r="AR168" i="2"/>
  <c r="AS168" i="2" s="1"/>
  <c r="AR83" i="2"/>
  <c r="AS83" i="2" s="1"/>
  <c r="AR59" i="2"/>
  <c r="AR51" i="2"/>
  <c r="AS51" i="2" s="1"/>
  <c r="AR23" i="2"/>
  <c r="AR7" i="2"/>
  <c r="AR197" i="2"/>
  <c r="AS197" i="2" s="1"/>
  <c r="AR169" i="2"/>
  <c r="AS169" i="2" s="1"/>
  <c r="AR153" i="2"/>
  <c r="AS153" i="2" s="1"/>
  <c r="AR116" i="2"/>
  <c r="AR100" i="2"/>
  <c r="AR89" i="2"/>
  <c r="AR62" i="2"/>
  <c r="AR48" i="2"/>
  <c r="AR32" i="2"/>
  <c r="AR8" i="2"/>
  <c r="AR54" i="2"/>
  <c r="AR186" i="2"/>
  <c r="AS186" i="2" s="1"/>
  <c r="AR164" i="2"/>
  <c r="AS164" i="2" s="1"/>
  <c r="AR148" i="2"/>
  <c r="AS148" i="2" s="1"/>
  <c r="AR130" i="2"/>
  <c r="AS130" i="2" s="1"/>
  <c r="AR117" i="2"/>
  <c r="AS117" i="2" s="1"/>
  <c r="AR109" i="2"/>
  <c r="AS109" i="2" s="1"/>
  <c r="AR101" i="2"/>
  <c r="AS101" i="2" s="1"/>
  <c r="AR93" i="2"/>
  <c r="AS93" i="2" s="1"/>
  <c r="AR216" i="2"/>
  <c r="AS216" i="2" s="1"/>
  <c r="AR176" i="2"/>
  <c r="AS176" i="2" s="1"/>
  <c r="AR220" i="2"/>
  <c r="AS220" i="2" s="1"/>
  <c r="AR184" i="2"/>
  <c r="AS184" i="2" s="1"/>
  <c r="AR156" i="2"/>
  <c r="AS156" i="2" s="1"/>
  <c r="AR87" i="2"/>
  <c r="AS87" i="2" s="1"/>
  <c r="AR79" i="2"/>
  <c r="AS79" i="2" s="1"/>
  <c r="AR71" i="2"/>
  <c r="AS71" i="2" s="1"/>
  <c r="AR63" i="2"/>
  <c r="AS63" i="2" s="1"/>
  <c r="AR55" i="2"/>
  <c r="AS55" i="2" s="1"/>
  <c r="AR47" i="2"/>
  <c r="AR39" i="2"/>
  <c r="AR31" i="2"/>
  <c r="AR19" i="2"/>
  <c r="AS19" i="2" s="1"/>
  <c r="AR11" i="2"/>
  <c r="AR219" i="2"/>
  <c r="AS219" i="2" s="1"/>
  <c r="AR189" i="2"/>
  <c r="AS189" i="2" s="1"/>
  <c r="AR181" i="2"/>
  <c r="AS181" i="2" s="1"/>
  <c r="AR173" i="2"/>
  <c r="AR165" i="2"/>
  <c r="AS165" i="2" s="1"/>
  <c r="AR157" i="2"/>
  <c r="AS157" i="2" s="1"/>
  <c r="AR149" i="2"/>
  <c r="AS149" i="2" s="1"/>
  <c r="AR141" i="2"/>
  <c r="AR133" i="2"/>
  <c r="AS133" i="2" s="1"/>
  <c r="AR125" i="2"/>
  <c r="AS125" i="2" s="1"/>
  <c r="AR120" i="2"/>
  <c r="AS120" i="2" s="1"/>
  <c r="AR112" i="2"/>
  <c r="AR104" i="2"/>
  <c r="AS104" i="2" s="1"/>
  <c r="AR96" i="2"/>
  <c r="AS96" i="2" s="1"/>
  <c r="AR29" i="2"/>
  <c r="AS29" i="2" s="1"/>
  <c r="AR195" i="2"/>
  <c r="AR84" i="2"/>
  <c r="AS84" i="2" s="1"/>
  <c r="AR76" i="2"/>
  <c r="AS76" i="2" s="1"/>
  <c r="AR66" i="2"/>
  <c r="AR58" i="2"/>
  <c r="AR44" i="2"/>
  <c r="AR36" i="2"/>
  <c r="AR28" i="2"/>
  <c r="AR20" i="2"/>
  <c r="AR12" i="2"/>
  <c r="C120" i="17" s="1"/>
  <c r="AO224" i="2"/>
  <c r="AO225" i="2" s="1"/>
  <c r="C17" i="17"/>
  <c r="C82" i="17"/>
  <c r="G11" i="4"/>
  <c r="F4" i="4"/>
  <c r="K11" i="4"/>
  <c r="L9" i="4" s="1"/>
  <c r="C165" i="17" l="1"/>
  <c r="AS50" i="2"/>
  <c r="C182" i="17"/>
  <c r="AS25" i="2"/>
  <c r="C152" i="17"/>
  <c r="AS102" i="2"/>
  <c r="C157" i="17"/>
  <c r="AS74" i="2"/>
  <c r="C161" i="17"/>
  <c r="AS56" i="2"/>
  <c r="C13" i="17"/>
  <c r="AS18" i="2"/>
  <c r="C97" i="17"/>
  <c r="AS113" i="2"/>
  <c r="C14" i="17"/>
  <c r="AS97" i="2"/>
  <c r="C85" i="17"/>
  <c r="AS67" i="2"/>
  <c r="C171" i="17"/>
  <c r="AS43" i="2"/>
  <c r="C103" i="17"/>
  <c r="AS35" i="2"/>
  <c r="C86" i="17"/>
  <c r="AS108" i="2"/>
  <c r="C150" i="17"/>
  <c r="AS80" i="2"/>
  <c r="C193" i="17"/>
  <c r="AS72" i="2"/>
  <c r="C56" i="17"/>
  <c r="AS40" i="2"/>
  <c r="C28" i="17"/>
  <c r="AS24" i="2"/>
  <c r="C166" i="17"/>
  <c r="AS16" i="2"/>
  <c r="C18" i="17"/>
  <c r="AS73" i="2"/>
  <c r="C187" i="17"/>
  <c r="AS49" i="2"/>
  <c r="C93" i="17"/>
  <c r="AS21" i="2"/>
  <c r="C88" i="17"/>
  <c r="AS122" i="2"/>
  <c r="C99" i="17"/>
  <c r="AS106" i="2"/>
  <c r="C64" i="17"/>
  <c r="AS90" i="2"/>
  <c r="C91" i="17"/>
  <c r="AS86" i="2"/>
  <c r="C80" i="17"/>
  <c r="AS70" i="2"/>
  <c r="C201" i="17"/>
  <c r="AS46" i="2"/>
  <c r="C98" i="17"/>
  <c r="AS38" i="2"/>
  <c r="C181" i="17"/>
  <c r="AS30" i="2"/>
  <c r="C106" i="17"/>
  <c r="AS22" i="2"/>
  <c r="C11" i="17"/>
  <c r="AS14" i="2"/>
  <c r="C68" i="17"/>
  <c r="AS6" i="2"/>
  <c r="C10" i="17"/>
  <c r="AS154" i="2"/>
  <c r="C114" i="17"/>
  <c r="AS110" i="2"/>
  <c r="C172" i="17"/>
  <c r="AS64" i="2"/>
  <c r="C192" i="17"/>
  <c r="AS105" i="2"/>
  <c r="C9" i="17"/>
  <c r="AS59" i="2"/>
  <c r="C138" i="17"/>
  <c r="AS23" i="2"/>
  <c r="C7" i="17"/>
  <c r="AS116" i="2"/>
  <c r="C102" i="17"/>
  <c r="AS100" i="2"/>
  <c r="C33" i="17"/>
  <c r="AS89" i="2"/>
  <c r="C37" i="17"/>
  <c r="AS62" i="2"/>
  <c r="C188" i="17"/>
  <c r="AS48" i="2"/>
  <c r="C40" i="17"/>
  <c r="AS32" i="2"/>
  <c r="C24" i="17"/>
  <c r="AS8" i="2"/>
  <c r="C96" i="17"/>
  <c r="AS54" i="2"/>
  <c r="C140" i="17"/>
  <c r="AS47" i="2"/>
  <c r="C141" i="17"/>
  <c r="AS39" i="2"/>
  <c r="C154" i="17"/>
  <c r="AS31" i="2"/>
  <c r="C108" i="17"/>
  <c r="AS112" i="2"/>
  <c r="C147" i="17"/>
  <c r="AS195" i="2"/>
  <c r="C53" i="17"/>
  <c r="AS66" i="2"/>
  <c r="C87" i="17"/>
  <c r="AS58" i="2"/>
  <c r="C195" i="17"/>
  <c r="AS44" i="2"/>
  <c r="C128" i="17"/>
  <c r="AS36" i="2"/>
  <c r="C189" i="17"/>
  <c r="AS28" i="2"/>
  <c r="C196" i="17"/>
  <c r="AS20" i="2"/>
  <c r="C123" i="17"/>
  <c r="C44" i="17"/>
  <c r="C176" i="17"/>
  <c r="C198" i="17"/>
  <c r="C202" i="17"/>
  <c r="C83" i="17"/>
  <c r="C62" i="17"/>
  <c r="C142" i="17"/>
  <c r="C49" i="17"/>
  <c r="C34" i="17"/>
  <c r="C170" i="17"/>
  <c r="C163" i="17"/>
  <c r="C41" i="17"/>
  <c r="C113" i="17"/>
  <c r="C76" i="17"/>
  <c r="C57" i="17"/>
  <c r="C199" i="17"/>
  <c r="C26" i="17"/>
  <c r="C15" i="17"/>
  <c r="C134" i="17"/>
  <c r="C143" i="17"/>
  <c r="C35" i="17"/>
  <c r="C121" i="17"/>
  <c r="C105" i="17"/>
  <c r="C104" i="17"/>
  <c r="C59" i="17"/>
  <c r="C75" i="17"/>
  <c r="C58" i="17"/>
  <c r="C127" i="17"/>
  <c r="C92" i="17"/>
  <c r="C23" i="17"/>
  <c r="C125" i="17"/>
  <c r="C151" i="17"/>
  <c r="C110" i="17"/>
  <c r="C160" i="17"/>
  <c r="C174" i="17"/>
  <c r="C122" i="17"/>
  <c r="C162" i="17"/>
  <c r="C31" i="17"/>
  <c r="C124" i="17"/>
  <c r="C84" i="17"/>
  <c r="C69" i="17"/>
  <c r="C12" i="17"/>
  <c r="C115" i="17"/>
  <c r="C177" i="17"/>
  <c r="C183" i="17"/>
  <c r="C73" i="17"/>
  <c r="C81" i="17"/>
  <c r="C30" i="17"/>
  <c r="C130" i="17"/>
  <c r="C135" i="17"/>
  <c r="C179" i="17"/>
  <c r="C63" i="17"/>
  <c r="C72" i="17"/>
  <c r="C74" i="17"/>
  <c r="C100" i="17"/>
  <c r="C71" i="17"/>
  <c r="C204" i="17"/>
  <c r="C126" i="17"/>
  <c r="C156" i="17"/>
  <c r="C79" i="17"/>
  <c r="C50" i="17"/>
  <c r="C45" i="17"/>
  <c r="C46" i="17"/>
  <c r="C109" i="17"/>
  <c r="C43" i="17"/>
  <c r="C61" i="17"/>
  <c r="C16" i="17"/>
  <c r="AR224" i="2"/>
  <c r="H7" i="4"/>
  <c r="H4" i="4"/>
  <c r="H8" i="4"/>
  <c r="H5" i="4"/>
  <c r="H6" i="4"/>
  <c r="L6" i="4"/>
  <c r="C21" i="17"/>
  <c r="C173" i="17"/>
  <c r="C65" i="17"/>
  <c r="C159" i="17"/>
  <c r="C70" i="17"/>
  <c r="C52" i="17"/>
  <c r="C200" i="17"/>
  <c r="C191" i="17"/>
  <c r="C19" i="17"/>
  <c r="C137" i="17"/>
  <c r="C8" i="17"/>
  <c r="C32" i="17"/>
  <c r="C112" i="17"/>
  <c r="C47" i="17"/>
  <c r="C178" i="17"/>
  <c r="C205" i="17"/>
  <c r="C101" i="17"/>
  <c r="C90" i="17"/>
  <c r="C48" i="17"/>
  <c r="C146" i="17"/>
  <c r="C116" i="17"/>
  <c r="C78" i="17"/>
  <c r="C168" i="17"/>
  <c r="C107" i="17"/>
  <c r="C54" i="17"/>
  <c r="C55" i="17"/>
  <c r="C39" i="17"/>
  <c r="C149" i="17"/>
  <c r="C148" i="17"/>
  <c r="C42" i="17"/>
  <c r="C66" i="17"/>
  <c r="C158" i="17"/>
  <c r="C133" i="17"/>
  <c r="C22" i="17"/>
  <c r="C132" i="17"/>
  <c r="C186" i="17"/>
  <c r="C153" i="17"/>
  <c r="C139" i="17"/>
  <c r="C119" i="17"/>
  <c r="C169" i="17"/>
  <c r="C136" i="17"/>
  <c r="C184" i="17"/>
  <c r="C145" i="17"/>
  <c r="C25" i="17"/>
  <c r="C36" i="17"/>
  <c r="C167" i="17"/>
  <c r="C129" i="17"/>
  <c r="C51" i="17"/>
  <c r="C67" i="17"/>
  <c r="C27" i="17"/>
  <c r="C131" i="17"/>
  <c r="C203" i="17"/>
  <c r="C197" i="17"/>
  <c r="C77" i="17"/>
  <c r="C94" i="17"/>
  <c r="C29" i="17"/>
  <c r="C185" i="17"/>
  <c r="C20" i="17"/>
  <c r="C164" i="17"/>
  <c r="C60" i="17"/>
  <c r="C38" i="17"/>
  <c r="C118" i="17"/>
  <c r="C111" i="17"/>
  <c r="C175" i="17"/>
  <c r="C190" i="17"/>
  <c r="C155" i="17"/>
  <c r="I11" i="4"/>
  <c r="J7" i="4" s="1"/>
  <c r="F8" i="4"/>
  <c r="F6" i="4"/>
  <c r="F10" i="4"/>
  <c r="H9" i="4"/>
  <c r="F9" i="4"/>
  <c r="F5" i="4"/>
  <c r="H10" i="4"/>
  <c r="L10" i="4"/>
  <c r="L5" i="4"/>
  <c r="L8" i="4"/>
  <c r="L4" i="4"/>
  <c r="L7" i="4"/>
  <c r="F7" i="4"/>
  <c r="P262" i="2" l="1"/>
  <c r="AS224" i="2"/>
  <c r="C95" i="17"/>
  <c r="F11" i="4"/>
  <c r="L11" i="4"/>
  <c r="H11" i="4"/>
  <c r="J6" i="4"/>
  <c r="J10" i="4"/>
  <c r="J4" i="4"/>
  <c r="J5" i="4"/>
  <c r="J8" i="4"/>
  <c r="J9" i="4"/>
  <c r="C6" i="17" l="1"/>
  <c r="J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tc={8C0101AF-5972-4CA5-A79E-AFED686E99B3}</author>
    <author>tc={B5DEFF37-8FF5-4EA9-83CB-3FC7F3E525AE}</author>
    <author>tc={FC09414F-E711-4BBD-869D-2CC831A26C02}</author>
    <author>tc={5A5403CB-EFD3-4F37-A4C1-1748ADACD11F}</author>
    <author>tc={712DE6E2-3CEB-4299-9772-3534F7989F98}</author>
    <author>tc={2B089F2D-D79E-4D60-AEB0-85C8A8AD9BBB}</author>
    <author>tc={38B5C730-B385-4F62-8CB7-FA6456AF82C8}</author>
    <author>tc={0B2431F9-81DD-4D9A-AB5A-9ADCDDC9471F}</author>
    <author>tc={6EF130E0-4F2E-4643-9E38-68312B76B439}</author>
    <author>tc={3C832719-C5A3-4A04-8E0A-BC326CC8EE6B}</author>
    <author>tc={B7C5C788-2CF5-424E-B609-CA1270E884AC}</author>
    <author>tc={6C6BEDAD-FD1E-406A-99A1-D32982E420B7}</author>
    <author>tc={F559D279-01CB-4079-859E-821B46EE83B8}</author>
    <author>tc={DD6548C6-6E61-4ED5-A028-58DB2DA7D8DE}</author>
  </authors>
  <commentList>
    <comment ref="AJ1" authorId="0" shapeId="0" xr:uid="{8C0101AF-5972-4CA5-A79E-AFED686E99B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nota 1</t>
      </text>
    </comment>
    <comment ref="AK1" authorId="1" shapeId="0" xr:uid="{B5DEFF37-8FF5-4EA9-83CB-3FC7F3E525A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nota 2</t>
      </text>
    </comment>
    <comment ref="AL1" authorId="2" shapeId="0" xr:uid="{FC09414F-E711-4BBD-869D-2CC831A26C0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nota 3</t>
      </text>
    </comment>
    <comment ref="AM1" authorId="3" shapeId="0" xr:uid="{5A5403CB-EFD3-4F37-A4C1-1748ADACD11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nota 4
</t>
      </text>
    </comment>
    <comment ref="AN1" authorId="4" shapeId="0" xr:uid="{712DE6E2-3CEB-4299-9772-3534F7989F9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nota 5
</t>
      </text>
    </comment>
    <comment ref="AO1" authorId="5" shapeId="0" xr:uid="{2B089F2D-D79E-4D60-AEB0-85C8A8AD9BB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nota 6
</t>
      </text>
    </comment>
    <comment ref="AR1" authorId="6" shapeId="0" xr:uid="{38B5C730-B385-4F62-8CB7-FA6456AF82C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VER NOTA 7</t>
      </text>
    </comment>
    <comment ref="R2" authorId="7" shapeId="0" xr:uid="{0B2431F9-81DD-4D9A-AB5A-9ADCDDC9471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Esta en la cuenta de mudanzas y remodelaciones mayores</t>
      </text>
    </comment>
    <comment ref="P118" authorId="8" shapeId="0" xr:uid="{6EF130E0-4F2E-4643-9E38-68312B76B43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ALCALDIA (LICENCIA DISTRITO CAPITAL)</t>
      </text>
    </comment>
    <comment ref="X118" authorId="9" shapeId="0" xr:uid="{3C832719-C5A3-4A04-8E0A-BC326CC8EE6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ALCALDIA (LICENCIA DISTRITO CAPITAL)</t>
      </text>
    </comment>
    <comment ref="R145" authorId="10" shapeId="0" xr:uid="{B7C5C788-2CF5-424E-B609-CA1270E884A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MERMA POR CIERRE DE TIENDA - LECTOR DE HUELLA FUTRONIC</t>
      </text>
    </comment>
    <comment ref="Z145" authorId="11" shapeId="0" xr:uid="{6C6BEDAD-FD1E-406A-99A1-D32982E420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MERMA POR CIERRE DE TIENDA - papel de aluminio</t>
      </text>
    </comment>
    <comment ref="R147" authorId="12" shapeId="0" xr:uid="{F559D279-01CB-4079-859E-821B46EE83B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Merma por cierre de tienda</t>
      </text>
    </comment>
    <comment ref="Z147" authorId="13" shapeId="0" xr:uid="{DD6548C6-6E61-4ED5-A028-58DB2DA7D8D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Merma por cierre de tienda</t>
      </text>
    </comment>
  </commentList>
</comments>
</file>

<file path=xl/sharedStrings.xml><?xml version="1.0" encoding="utf-8"?>
<sst xmlns="http://schemas.openxmlformats.org/spreadsheetml/2006/main" count="2870" uniqueCount="1347">
  <si>
    <t>Total general</t>
  </si>
  <si>
    <t>Gastos</t>
  </si>
  <si>
    <t>Costos</t>
  </si>
  <si>
    <t>Ingresos</t>
  </si>
  <si>
    <t>Otros Ingresos</t>
  </si>
  <si>
    <t>Centro de Costo</t>
  </si>
  <si>
    <t>Almacen</t>
  </si>
  <si>
    <t>TOTAL RAZONES SOCIALES</t>
  </si>
  <si>
    <t>INGRESOS SERVICIOS ADMINISTRATIVOS CORPORATIVOS A VINCULADAS</t>
  </si>
  <si>
    <t>OTROS INGRESOS</t>
  </si>
  <si>
    <t>PERDIDA POR DIFERENCIA EN CAMBIO</t>
  </si>
  <si>
    <t>GASTO</t>
  </si>
  <si>
    <t>DETALLE DE GASTO</t>
  </si>
  <si>
    <t>ANALISIS VERTICAL</t>
  </si>
  <si>
    <t>Resultado</t>
  </si>
  <si>
    <t>Primeros 10 y Ultimos 10</t>
  </si>
  <si>
    <t>DETALLE DE INGRESOS</t>
  </si>
  <si>
    <t>CAPITAL</t>
  </si>
  <si>
    <t>CENTRO</t>
  </si>
  <si>
    <t>LOS LLANOS</t>
  </si>
  <si>
    <t>MIRANDA</t>
  </si>
  <si>
    <t>OCCIDENTE</t>
  </si>
  <si>
    <t>ORIENTE NORTE</t>
  </si>
  <si>
    <t>ORIENTE SUR</t>
  </si>
  <si>
    <t>Region</t>
  </si>
  <si>
    <t>G%</t>
  </si>
  <si>
    <t>C%</t>
  </si>
  <si>
    <t>I%</t>
  </si>
  <si>
    <t>R%</t>
  </si>
  <si>
    <t>Tiendas por Region</t>
  </si>
  <si>
    <t>Total por Region</t>
  </si>
  <si>
    <t>% ingreso</t>
  </si>
  <si>
    <t>Gasto aplicado</t>
  </si>
  <si>
    <t>Ingreso bruto</t>
  </si>
  <si>
    <t>[ ACO ] - ANACO (100.0%)</t>
  </si>
  <si>
    <t>[ ADO ] - ALTAGRACIA DEL ORITUCO (100.0%)</t>
  </si>
  <si>
    <t>[ ANT ] - ANTIMANO (100.0%)</t>
  </si>
  <si>
    <t>[ APU ] - APURE (100.0%)</t>
  </si>
  <si>
    <t>[ ARO - INT ] - AEROPUERTO INTERNACIONAL (100.0%)</t>
  </si>
  <si>
    <t>[ ARO - NAC ] - AEROPUERTO NACIONAL (100.0%)</t>
  </si>
  <si>
    <t>[ AVM ] - AVENIDA MARIÃ‘O (100.0%)</t>
  </si>
  <si>
    <t>[ BAC ] - BUENOS AIRES CANGURO (100.0%)</t>
  </si>
  <si>
    <t>[ BCC ] - BISCUCUY (100.0%)</t>
  </si>
  <si>
    <t>[ BCD ] - BARINAS CC DORADO (100.0%)</t>
  </si>
  <si>
    <t>[ BCN ] - BARCELONA (100.0%)</t>
  </si>
  <si>
    <t>[ BCO ] - BOCONÃ“ (100.0%)</t>
  </si>
  <si>
    <t>[ BJM ] - BEJUMA (100.0%)</t>
  </si>
  <si>
    <t>[ BNS ] - BARINAS SHOP (100.0%)</t>
  </si>
  <si>
    <t>[ BRC ] - BARRANCAS (100.0%)</t>
  </si>
  <si>
    <t>[ BTA ] - BARUTA (100.0%)</t>
  </si>
  <si>
    <t>[ BVC ] - BAZAR VALENCIA CANGURO (100.0%)</t>
  </si>
  <si>
    <t>[ BZC ] - BAZAR 4 (100.0%)</t>
  </si>
  <si>
    <t>[ BZD ] - BAZAR 2 (100.0%)</t>
  </si>
  <si>
    <t>[ BZT ] - BAZAR 3 (100.0%)</t>
  </si>
  <si>
    <t>[ BZU ] - BAZAR 1 (100.0%)</t>
  </si>
  <si>
    <t>[ CAG ] - CAGUA (100.0%)</t>
  </si>
  <si>
    <t>[ CAT ] - CATIA (100.0%)</t>
  </si>
  <si>
    <t>[ CBM ] - CABIMAS (100.0%)</t>
  </si>
  <si>
    <t>[ CBQ ] - CHABASQUEN (100.0%)</t>
  </si>
  <si>
    <t>[ CBR ] - CABUDARE (100.0%)</t>
  </si>
  <si>
    <t>[ CBV ] - CIUDAD BOLIVAR (100.0%)</t>
  </si>
  <si>
    <t>[ CCB ] - CALLE CAMEJO BARINAS (100.0%)</t>
  </si>
  <si>
    <t>[ CCO ] - CAICARA DEL ORINOCO (100.0%)</t>
  </si>
  <si>
    <t>[ CCT ] - CC CIUDAD TAMANACO (100.0%)</t>
  </si>
  <si>
    <t>[ CDL ] - LA CANDELARIA (100.0%)</t>
  </si>
  <si>
    <t>[ CDO ] - CEDENO (100.0%)</t>
  </si>
  <si>
    <t>[ CHA ] - CHACAO (100.0%)</t>
  </si>
  <si>
    <t>[ CHC ] - CHICHIRIVICHE (100.0%)</t>
  </si>
  <si>
    <t>[ CHI ] - CHIVACOA (100.0%)</t>
  </si>
  <si>
    <t>[ CHV ] - CHARALLAVE (100.0%)</t>
  </si>
  <si>
    <t>[ CJP ] - CINCO DE JULIO (100.0%)</t>
  </si>
  <si>
    <t>[ CLB ] - CALABOZO (100.0%)</t>
  </si>
  <si>
    <t>[ CLL ] - CALLAO (100.0%)</t>
  </si>
  <si>
    <t>[ CLP ] - CATIA LIFE PHONE (100.0%)</t>
  </si>
  <si>
    <t>[ CMC ] - CUA (100.0%)</t>
  </si>
  <si>
    <t>[ CMO ] - COMERCIO (100.0%)</t>
  </si>
  <si>
    <t>[ CNA ] - CUMANACOA (100.0%)</t>
  </si>
  <si>
    <t>[ COD ] - COSMOS SHOP (100.0%)</t>
  </si>
  <si>
    <t>[ COE ] - SAN CARLOS (100.0%)</t>
  </si>
  <si>
    <t>[ COR ] - CORO (100.0%)</t>
  </si>
  <si>
    <t>[ CPN ] - CARUPANO (100.0%)</t>
  </si>
  <si>
    <t>[ CRP ] - CARIPE (100.0%)</t>
  </si>
  <si>
    <t>[ CRR ] - CARORA (100.0%)</t>
  </si>
  <si>
    <t>[ CRT ] - CARIPITO (100.0%)</t>
  </si>
  <si>
    <t>[ CSZ ] - CAJA SECA ZULIA (100.0%)</t>
  </si>
  <si>
    <t>[ CTA ] - CANTAURA (100.0%)</t>
  </si>
  <si>
    <t>[ CTC ] - CITY 4 (100.0%)</t>
  </si>
  <si>
    <t>[ CTD ] - CITY 2 (100.0%)</t>
  </si>
  <si>
    <t>[ CTL ] - CARTANAL (100.0%)</t>
  </si>
  <si>
    <t>[ CTM ] - CATIA LA MAR (100.0%)</t>
  </si>
  <si>
    <t>[ CTO ] - CEMENTERIO (100.0%)</t>
  </si>
  <si>
    <t>[ CTT ] - CITY 3 (100.0%)</t>
  </si>
  <si>
    <t>[ CTU ] - CITY 1 (100.0%)</t>
  </si>
  <si>
    <t>[ CUA ] - CUMANA SHOP (100.0%)</t>
  </si>
  <si>
    <t>[ CUG ] - CAUCAGUA (100.0%)</t>
  </si>
  <si>
    <t>[ DCA ] - DUACA (100.0%)</t>
  </si>
  <si>
    <t>[ ECM ] ECOMMERCE (100.0%)</t>
  </si>
  <si>
    <t>[ EJD ] - EJIDO (100.0%)</t>
  </si>
  <si>
    <t>[ ELZ ] - ELORZA (100.0%)</t>
  </si>
  <si>
    <t>[ FAM ] - FLOR AMARILLO (100.0%)</t>
  </si>
  <si>
    <t>[ FMD ] - FREEMARKET 2 (100.0%)</t>
  </si>
  <si>
    <t>[ FOR - CHV ] - FORUM CHARALLAVE (100.0%)</t>
  </si>
  <si>
    <t>[ FOR - ISF ] - FORUM IPSFA (100.0%)</t>
  </si>
  <si>
    <t>[ FOR - PRS ] - FORUM PARAISO (100.0%)</t>
  </si>
  <si>
    <t>[ FOR - PZV ] - FORUM PLAZA VENEZUELA (100.0%)</t>
  </si>
  <si>
    <t>[ FRM ] - FREEMARKET (100.0%)</t>
  </si>
  <si>
    <t>[ GCA ] - GUACARA (100.0%)</t>
  </si>
  <si>
    <t>[ GIA ] - GÃœIRIA (100.0%)</t>
  </si>
  <si>
    <t>[ GNO ] - GUANARITO (100.0%)</t>
  </si>
  <si>
    <t>[ GNR ] - GUANARE (100.0%)</t>
  </si>
  <si>
    <t>[ GNT ] - GUANTA (100.0%)</t>
  </si>
  <si>
    <t>[ GPT ] - GUASIPATI (100.0%)</t>
  </si>
  <si>
    <t>[ GRA ] - GUARENAS (100.0%)</t>
  </si>
  <si>
    <t>[ GTE ] - GUATIRE (100.0%)</t>
  </si>
  <si>
    <t>[ GTN ] - GATO NEGRO (100.0%)</t>
  </si>
  <si>
    <t>[ HGT ] - HIGUEROTE (100.0%)</t>
  </si>
  <si>
    <t>[ IGD ] - CALLE IGUALDAD (100.0%)</t>
  </si>
  <si>
    <t>[ LBD ] - LA BANDERA (100.0%)</t>
  </si>
  <si>
    <t>[ LCH ] - LECHERIA (100.0%)</t>
  </si>
  <si>
    <t>[ LLN ] - LLANERO (100.0%)</t>
  </si>
  <si>
    <t>[ LMU ] - LA MARRON 1 (100.0%)</t>
  </si>
  <si>
    <t>[ LPG ] - LA PARAGUA (100.0%)</t>
  </si>
  <si>
    <t>[ MCQ ] - MACHIQUES (100.0%)</t>
  </si>
  <si>
    <t>[ MCY ] - MARACAY (100.0%)</t>
  </si>
  <si>
    <t>[ MDB ] - MINAS DE BARUTA (100.0%)</t>
  </si>
  <si>
    <t>[ MEC ] - MARACAY ESTACION CENTRAL (100.0%)</t>
  </si>
  <si>
    <t>[ MGT ] - MARGARITA SHOP (100.0%)</t>
  </si>
  <si>
    <t>[ MGZ ] - MENE GRANDE ZULIA (100.0%)</t>
  </si>
  <si>
    <t>[ MID ] - MÃ‰RIDA SHOP (100.0%)</t>
  </si>
  <si>
    <t>[ MJN ] - MOJAN (100.0%)</t>
  </si>
  <si>
    <t>[ MKD ] - MACROCENTRO 2 SHOP (100.0%)</t>
  </si>
  <si>
    <t>[ MKU ] - MACROCENTRO 1 (100.0%)</t>
  </si>
  <si>
    <t>[ MOC ] - CANGURO MOVIL (100.0%)</t>
  </si>
  <si>
    <t>[ MPC ] - MARKET PLACE CANGURO (100.0%)</t>
  </si>
  <si>
    <t>[ MRN ] - MORON (100.0%)</t>
  </si>
  <si>
    <t>[ MTC ] - MANTECAL (100.0%)</t>
  </si>
  <si>
    <t>[ MTP ] - METROPOLIS (100.0%)</t>
  </si>
  <si>
    <t>[ MUN ] - MATURIN SHOP (100.0%)</t>
  </si>
  <si>
    <t>[ MVT - BVT ] MOVISTAR BELLA VISTA  (100.0%)</t>
  </si>
  <si>
    <t>[ MVT - CCT ] - MOVISTAR CIUDAD TAMANACO (100.0%)</t>
  </si>
  <si>
    <t>[ MVT - GRZ ] MOVISTAR LAS GARZAS (100.0%)</t>
  </si>
  <si>
    <t>[ MVT - LNS ] MOVISTAR LOS LEONES (100.0%)</t>
  </si>
  <si>
    <t>[ MVT - LVÃ‘ ] MOVISTAR LA VIÃ‘A (100.0%)</t>
  </si>
  <si>
    <t>[ MVT - PCC ] - MOVISTAR PARQUE CENTRAL CANAIMA (100.0%)</t>
  </si>
  <si>
    <t>[ MVT - SCB ] MOVISTAR SAN CRISTÃ“BAL (100.0%)</t>
  </si>
  <si>
    <t>[ MVT- LDC ] MOVISTAR LAS DELICIAS  (100.0%)</t>
  </si>
  <si>
    <t>[ NGT ] - NAIGUATA (100.0%)</t>
  </si>
  <si>
    <t>[ OCT ] - OCUMARE DEL TUY (100.0%)</t>
  </si>
  <si>
    <t>[ ODA ] - CIUDAD OJEDA (100.0%)</t>
  </si>
  <si>
    <t>[ OPO ] - OSPINO (100.0%)</t>
  </si>
  <si>
    <t>[ ORK ] - ORINOKIA (100.0%)</t>
  </si>
  <si>
    <t>[ PDB ] - PEDRAZA (100.0%)</t>
  </si>
  <si>
    <t>[ PDM ] - PUNTA DE MATA (100.0%)</t>
  </si>
  <si>
    <t>[ PDV - GCA ] - PDVSA GUACARA (100.0%)</t>
  </si>
  <si>
    <t>[ PDV - GUO ] - PDVSA GUARAGUO (100.0%)</t>
  </si>
  <si>
    <t>[ PDV - LCP ] - PDVSA LA CAMPIÃ‘A (100.0%)</t>
  </si>
  <si>
    <t>[ PDV - LGN ] - PDVSA LAGUNA (100.0%)</t>
  </si>
  <si>
    <t>[ PDV - MUN ] - PDVSA MATURIN (100.0%)</t>
  </si>
  <si>
    <t>[ PDV - PCD ] - PDVSA PETROCEDEÃ‘O (100.0%)</t>
  </si>
  <si>
    <t>[ PDV - PT ] - PDVSA PETROPIAR (100.0%)</t>
  </si>
  <si>
    <t>[ PDV - STM ] - PDVSA SANTOME (100.0%)</t>
  </si>
  <si>
    <t>[ PDV - ZUL ] - PDVSA ZULIA (100.0%)</t>
  </si>
  <si>
    <t>[ PFO ] - PUNTO FIJO (100.0%)</t>
  </si>
  <si>
    <t>[ PLN ] - PALO NEGRO (100.0%)</t>
  </si>
  <si>
    <t>[ PLS ] - PUERTO LA CRUZ SHOP (100.0%)</t>
  </si>
  <si>
    <t>[ PML ] - PLAZA MAYOR LECHERIA (100.0%)</t>
  </si>
  <si>
    <t>[ PPT ] - PROPATRIA (100.0%)</t>
  </si>
  <si>
    <t>[ PRG ] - PARIAGUAN (100.0%)</t>
  </si>
  <si>
    <t>[ PRT ] - PUERTO PIRITU (100.0%)</t>
  </si>
  <si>
    <t>[ PSA ] - ACARIGUA (100.0%)</t>
  </si>
  <si>
    <t>[ PTA ] - PUERTO AYACUCHO (100.0%)</t>
  </si>
  <si>
    <t>[ PTC ] - PUERTO CABELLO (100.0%)</t>
  </si>
  <si>
    <t>[ PTT ] - PETARE 3 (100.0%)</t>
  </si>
  <si>
    <t>[ PTU ] - PETARE 1 (100.0%)</t>
  </si>
  <si>
    <t>[ QBR ] - QUIBOR (100.0%)</t>
  </si>
  <si>
    <t>[ QTC ] - QUINTA CRESPO (100.0%)</t>
  </si>
  <si>
    <t>[ RCO ] - RIO CHICO (100.0%)</t>
  </si>
  <si>
    <t>[ SAM - CDL ] - SAMBIL CANDELARIA (100.0%)</t>
  </si>
  <si>
    <t>[ SAM - CHA ] - SAMBIL CHACAO (100.0%)</t>
  </si>
  <si>
    <t>[ SAM - LAR ] - SAMBIL LARA (100.0%)</t>
  </si>
  <si>
    <t>[ SAM - MGT ] - SAMBIL MARGARITA (100.0%)</t>
  </si>
  <si>
    <t>[ SAM - PFO ] - SAMBIL PUNTO FIJO (100.0%)</t>
  </si>
  <si>
    <t>[ SAM - VLC ] - SAMBIL VALENCIA (100.0%)</t>
  </si>
  <si>
    <t>[ SAM - ZUL ] - SAMBIL ZULIA (100.0%)</t>
  </si>
  <si>
    <t>[ SBB ] - SANTA BARBARA (100.0%)</t>
  </si>
  <si>
    <t>[ SBC ] - SABANA CITY (100.0%)</t>
  </si>
  <si>
    <t>[ SBO ] - EL SOMBRERO (100.0%)</t>
  </si>
  <si>
    <t>[ SCM ] - SANÂ CASIMIRO (100.0%)</t>
  </si>
  <si>
    <t>[ SCP ] - SOCOPO (100.0%)</t>
  </si>
  <si>
    <t>[ SEU ] - SANTA ELENA DE UAIREN (100.0%)</t>
  </si>
  <si>
    <t>[ SFX ] - SAN FELIX (100.0%)</t>
  </si>
  <si>
    <t>[ SGO ] - SABANA GRANDE OUTLET (100.0%)</t>
  </si>
  <si>
    <t>[ SJM ] - SAN JUAN DE LOS MORROS (100.0%)</t>
  </si>
  <si>
    <t>[ SMT ] - SABANA MENDOZA (100.0%)</t>
  </si>
  <si>
    <t>[ SMZ ] - SIERRA MAESTRA (100.0%)</t>
  </si>
  <si>
    <t>[ SNR ] - SANARE (100.0%)</t>
  </si>
  <si>
    <t>[ SNT ] - SABANETA (100.0%)</t>
  </si>
  <si>
    <t>[ STL ] - SANTA LUCIA (100.0%)</t>
  </si>
  <si>
    <t>[ STR ] - SANTA RITA ARAGUA (100.0%)</t>
  </si>
  <si>
    <t>[ STT ] - SANTA TERESA DEL TUY (100.0%)</t>
  </si>
  <si>
    <t>[ TBD ] - TEMBLADOR (100.0%)</t>
  </si>
  <si>
    <t>[ TCC ] - TUCACAS (100.0%)</t>
  </si>
  <si>
    <t>[ TCD ] - TUCUPIDO (100.0%)</t>
  </si>
  <si>
    <t>[ TCO ] - TOCUYO (100.0%)</t>
  </si>
  <si>
    <t>[ TCP ] - TUCUPITA (100.0%)</t>
  </si>
  <si>
    <t>[ TCY ] - TOCUYITO (100.0%)</t>
  </si>
  <si>
    <t>[ TED ] - LOS TEQUES DOS (100.0%)</t>
  </si>
  <si>
    <t>[ TEQ ] - LOS TEQUES SHOP (100.0%)</t>
  </si>
  <si>
    <t>[ TGO ] - EL TIGRITO (100.0%)</t>
  </si>
  <si>
    <t>[ TGR ] - TIGRE SHOP (100.0%)</t>
  </si>
  <si>
    <t>[ THA ] - TACHIRA (100.0%)</t>
  </si>
  <si>
    <t>[ TJL ] - TRUJILLO (100.0%)</t>
  </si>
  <si>
    <t>[ TLG ] - TERMINAL LA GUAIRA (100.0%)</t>
  </si>
  <si>
    <t>[ TMO ] - TURMERO (100.0%)</t>
  </si>
  <si>
    <t>[ TMR ] - TUMEREMO (100.0%)</t>
  </si>
  <si>
    <t>[ TPV ] - TERMINAL PLAZA VENEZUELA (100.0%)</t>
  </si>
  <si>
    <t>[ TQO ] - TINAQUILLO (100.0%)</t>
  </si>
  <si>
    <t>[ TRN ] - TUREN (100.0%)</t>
  </si>
  <si>
    <t>[ TRU ] - VALERA SHOP (100.0%)</t>
  </si>
  <si>
    <t>[ UNR ] - UNARE (100.0%)</t>
  </si>
  <si>
    <t>[ UPT ] - UPATA (100.0%)</t>
  </si>
  <si>
    <t>[ URD ] - URDANETA SHOP (100.0%)</t>
  </si>
  <si>
    <t>[ URF ] - URDANETA FIX (100.0%)</t>
  </si>
  <si>
    <t>[ VAR ] - LA GUAIRA (100.0%)</t>
  </si>
  <si>
    <t>[ VDC ] - VILLA DE CURA (100.0%)</t>
  </si>
  <si>
    <t>[ VDP ] - VALLE DE LA PASCUA (100.0%)</t>
  </si>
  <si>
    <t>[ VGA ] - LA VEGA (100.0%)</t>
  </si>
  <si>
    <t>[ VIG ] - VIGIA (100.0%)</t>
  </si>
  <si>
    <t>[ VLL ] - EL VALLE (100.0%)</t>
  </si>
  <si>
    <t>[ VTA ] - LA VICTORIA (100.0%)</t>
  </si>
  <si>
    <t>[ YAR ] - SAN FELIPE (100.0%)</t>
  </si>
  <si>
    <t>[ YTG ] - YARITAGUA (100.0%)</t>
  </si>
  <si>
    <t>[ ZAR ] - ZARAZA (100.0%)</t>
  </si>
  <si>
    <t>RAZONES SOCIALES / Centro de Costo</t>
  </si>
  <si>
    <t>Total General CC</t>
  </si>
  <si>
    <t>Resultado - Gastos Dis</t>
  </si>
  <si>
    <t>Total Gastos</t>
  </si>
  <si>
    <t>Total Costos</t>
  </si>
  <si>
    <t>GANANCIA POR DIFERENCIA EN CAMBIO</t>
  </si>
  <si>
    <t>Total Ingresos</t>
  </si>
  <si>
    <t>EVENC/Existencias</t>
  </si>
  <si>
    <t>FARMA/Existencias</t>
  </si>
  <si>
    <t>MIXTO/Existencias</t>
  </si>
  <si>
    <t>MTA/Existencias</t>
  </si>
  <si>
    <t>SUM/Existencias</t>
  </si>
  <si>
    <t>Venez/Existencias</t>
  </si>
  <si>
    <t>TOTAL TIENDAS</t>
  </si>
  <si>
    <t>TOTAL CORPORATIVO/CENDIS</t>
  </si>
  <si>
    <t>Total Despues de Distribucion</t>
  </si>
  <si>
    <t>Tiendas</t>
  </si>
  <si>
    <t xml:space="preserve">Septiembre </t>
  </si>
  <si>
    <t>Resultados Canguro</t>
  </si>
  <si>
    <t>Inventario</t>
  </si>
  <si>
    <t>Rentabilidad</t>
  </si>
  <si>
    <t>INVENTARIO TOTAL</t>
  </si>
  <si>
    <t>Gastos de reparacion 18 k</t>
  </si>
  <si>
    <t>Gastos de reparacion 12 k</t>
  </si>
  <si>
    <t>Arrendamiento condominio 6 k</t>
  </si>
  <si>
    <t>Gastos de reparacion 8 k</t>
  </si>
  <si>
    <t>Gastos de reparacion 3 k</t>
  </si>
  <si>
    <t>Gastos de reparacion 4 k</t>
  </si>
  <si>
    <t>Gastos de reparacion 6 k</t>
  </si>
  <si>
    <t>Gastos de reparacion 7 k</t>
  </si>
  <si>
    <t>Gastos de reparacion 5 k</t>
  </si>
  <si>
    <t>Arrendamiento condominio 9 k</t>
  </si>
  <si>
    <t/>
  </si>
  <si>
    <t>Tienda</t>
  </si>
  <si>
    <t>Factor de dist. de Gasto</t>
  </si>
  <si>
    <t>Gasto Aplicado</t>
  </si>
  <si>
    <t>Resultado despues de Gasto A</t>
  </si>
  <si>
    <t>[ ACG ] - ACHAGUAS (100.0%)</t>
  </si>
  <si>
    <t>[ FOR - GTE ] FORUM GUATIRE (100.0%)</t>
  </si>
  <si>
    <t>[ GBZ ] - GRAN BAZAR 5 ZULIA (100.0%)</t>
  </si>
  <si>
    <t>Centros de Costos</t>
  </si>
  <si>
    <t>(en blanco)</t>
  </si>
  <si>
    <t>[ CCA ] - CENTRO COMERCIAL AVIADORES (100.0%)</t>
  </si>
  <si>
    <t>[ CTS ] - CIUDAD TAMANACO SEGUNDO (100.0%)</t>
  </si>
  <si>
    <t>[ NGA ] - NIRGUA (100.0%)</t>
  </si>
  <si>
    <t>[ PDV - ODA ] - PDVSA CIUDAD OJEDA (100.0%)</t>
  </si>
  <si>
    <t>[ ACB ] - AV LIBERTADOR CIUDAD BOLIVAR (100.0%)</t>
  </si>
  <si>
    <t>[ ARB ] - ARAGUA DE BARCELONA (100.0%)</t>
  </si>
  <si>
    <t>[ ECJ ] - EL CUJI (100.0%)</t>
  </si>
  <si>
    <t>[ MNT ] - MONAY TRUJILLO (100.0%)</t>
  </si>
  <si>
    <t>[ SCC ] - CANGURO SELLCENTER (100.0%)</t>
  </si>
  <si>
    <t>[ SRO ] - SAN RAFAEL DE ONOTO (100.0%)</t>
  </si>
  <si>
    <t>[ TUR ] - TOVAR (100.0%)</t>
  </si>
  <si>
    <t>DETALLE DE COSTOS</t>
  </si>
  <si>
    <t>[ ADS - VAR ] - AEDOS LA GUAIRA (100.0%)</t>
  </si>
  <si>
    <t>[ CCM ] - CENTRO COMERCIAL METROCENTER (100.0%)</t>
  </si>
  <si>
    <t>[ EMT ] - EL MANTECO (100.0%)</t>
  </si>
  <si>
    <t>[ TQT ] - LOS TEQUES TRES (100.0%)</t>
  </si>
  <si>
    <t>LOS LLANOS 2</t>
  </si>
  <si>
    <t>LOS ANDES</t>
  </si>
  <si>
    <t>[ JQT ] - EL JUNQUITO (100.0%)</t>
  </si>
  <si>
    <t>CENSWM/Existencias</t>
  </si>
  <si>
    <t>PICK/Existencias</t>
  </si>
  <si>
    <t>DEVVENEZ/Existencias</t>
  </si>
  <si>
    <t>GECOM/Existencias</t>
  </si>
  <si>
    <t>ICDD/Existencias</t>
  </si>
  <si>
    <t>[ CRN ] - CLARINES (100.0%)</t>
  </si>
  <si>
    <t>PCRTI/Existencias</t>
  </si>
  <si>
    <t>CTDD/Existencias</t>
  </si>
  <si>
    <t>TOTALES</t>
  </si>
  <si>
    <t>Varios</t>
  </si>
  <si>
    <t xml:space="preserve">Monto Ingresos Bs </t>
  </si>
  <si>
    <t>TOTAL GASTOS</t>
  </si>
  <si>
    <t>TOTAL COSTOS</t>
  </si>
  <si>
    <t>Gasto Aplicado Total</t>
  </si>
  <si>
    <t>Resultado despues de Gasto Aplicado</t>
  </si>
  <si>
    <t>Costo Mercancia</t>
  </si>
  <si>
    <t>Valor Inicial</t>
  </si>
  <si>
    <t>ACB/Existencias</t>
  </si>
  <si>
    <t>ACB-GAR/Existencias</t>
  </si>
  <si>
    <t>ACG/Existencias</t>
  </si>
  <si>
    <t>ACG-GAR/Existencias</t>
  </si>
  <si>
    <t>ACO/Existencias</t>
  </si>
  <si>
    <t>ACO-GAR/Existencias</t>
  </si>
  <si>
    <t>ADO/Existencias</t>
  </si>
  <si>
    <t>ADO-GAR/Existencias</t>
  </si>
  <si>
    <t>ANT/Existencias</t>
  </si>
  <si>
    <t>ANT-GAR/Existencias</t>
  </si>
  <si>
    <t>APU/Existencias</t>
  </si>
  <si>
    <t>APU-GAR/Existencias</t>
  </si>
  <si>
    <t>ARO - INT/Existencias</t>
  </si>
  <si>
    <t>ARO - NAC/Existencias</t>
  </si>
  <si>
    <t>AROINT-GAR/Existencias</t>
  </si>
  <si>
    <t>ARONAC-GAR/Existencias</t>
  </si>
  <si>
    <t>ATV/Existencias</t>
  </si>
  <si>
    <t>AVM/Existencias</t>
  </si>
  <si>
    <t>AVM-GAR/Existencias</t>
  </si>
  <si>
    <t>BAC/Existencias</t>
  </si>
  <si>
    <t>BAC-GAR/Existencias</t>
  </si>
  <si>
    <t>BCC/Existencias</t>
  </si>
  <si>
    <t>BCC-GAR/Existencias</t>
  </si>
  <si>
    <t>BCD/Existencias</t>
  </si>
  <si>
    <t>BCD-GAR/Existencias</t>
  </si>
  <si>
    <t>BCN/Existencias</t>
  </si>
  <si>
    <t>BCN-GAR/Existencias</t>
  </si>
  <si>
    <t>BCO/Existencias</t>
  </si>
  <si>
    <t>BCO-GAR/Existencias</t>
  </si>
  <si>
    <t>BJM/Existencias</t>
  </si>
  <si>
    <t>BJM-GAR/Existencias</t>
  </si>
  <si>
    <t>BNS/Existencias</t>
  </si>
  <si>
    <t>BNS-GAR/Existencias</t>
  </si>
  <si>
    <t>BRC/Existencias</t>
  </si>
  <si>
    <t>BRC-GAR/Existencias</t>
  </si>
  <si>
    <t>BTA/Existencias</t>
  </si>
  <si>
    <t>BTA-GAR/Existencias</t>
  </si>
  <si>
    <t>BVC/Existencias</t>
  </si>
  <si>
    <t>BVC-GAR/Existencias</t>
  </si>
  <si>
    <t>BZC/Existencias</t>
  </si>
  <si>
    <t>BZC-GAR/Existencias</t>
  </si>
  <si>
    <t>BZD/Existencias</t>
  </si>
  <si>
    <t>BZD-GAR/Existencias</t>
  </si>
  <si>
    <t>BZT/Existencias</t>
  </si>
  <si>
    <t>BZT-GAR/Existencias</t>
  </si>
  <si>
    <t>BZU/Existencias</t>
  </si>
  <si>
    <t>BZU-GAR/Existencias</t>
  </si>
  <si>
    <t>CAG/Existencias</t>
  </si>
  <si>
    <t>CAG-GAR/Existencias</t>
  </si>
  <si>
    <t>CAT/Existencias</t>
  </si>
  <si>
    <t>CAT-GAR/Existencias</t>
  </si>
  <si>
    <t>CBM/Existencias</t>
  </si>
  <si>
    <t>CBM-GAR/Existencias</t>
  </si>
  <si>
    <t>CBQ/Existencias</t>
  </si>
  <si>
    <t>CBQ-GAR/Existencias</t>
  </si>
  <si>
    <t>CBR/Existencias</t>
  </si>
  <si>
    <t>CBR-GAR/Existencias</t>
  </si>
  <si>
    <t>CBV/Existencias</t>
  </si>
  <si>
    <t>CBV-GAR/Existencias</t>
  </si>
  <si>
    <t>CCA/Existencias</t>
  </si>
  <si>
    <t>CCA-GAR/Existencias</t>
  </si>
  <si>
    <t>CCB/Existencias</t>
  </si>
  <si>
    <t>CCB-GAR/Existencias</t>
  </si>
  <si>
    <t>CCM/Existencias</t>
  </si>
  <si>
    <t>CCM-GAR/Existencias</t>
  </si>
  <si>
    <t>CCO/Existencias</t>
  </si>
  <si>
    <t>CCO-GAR/Control de calidad</t>
  </si>
  <si>
    <t>CCO-GAR/Existencias</t>
  </si>
  <si>
    <t>CCT/Existencias</t>
  </si>
  <si>
    <t>CCT-GAR/Existencias</t>
  </si>
  <si>
    <t>CDL/Existencias</t>
  </si>
  <si>
    <t>CDL-GAR/Control de calidad</t>
  </si>
  <si>
    <t>CDL-GAR/Existencias</t>
  </si>
  <si>
    <t>CDO/Existencias</t>
  </si>
  <si>
    <t>CDO-GAR/Existencias</t>
  </si>
  <si>
    <t>CEN - MYR/Existencias</t>
  </si>
  <si>
    <t>CEN-GAR/Existencias</t>
  </si>
  <si>
    <t>CGA/Existencias</t>
  </si>
  <si>
    <t>CHA/Existencias</t>
  </si>
  <si>
    <t>CHA-GAR/Existencias</t>
  </si>
  <si>
    <t>CHC/Existencias</t>
  </si>
  <si>
    <t>CHC-GAR/Existencias</t>
  </si>
  <si>
    <t>CHI/Existencias</t>
  </si>
  <si>
    <t>CHI-GAR/Existencias</t>
  </si>
  <si>
    <t>CHV/Existencias</t>
  </si>
  <si>
    <t>CHV-GAR/Existencias</t>
  </si>
  <si>
    <t>CJP/Existencias</t>
  </si>
  <si>
    <t>CJP-GAR/Existencias</t>
  </si>
  <si>
    <t>CLB/Existencias</t>
  </si>
  <si>
    <t>CLB-GAR/Existencias</t>
  </si>
  <si>
    <t>CLL/Existencias</t>
  </si>
  <si>
    <t>CLP/Existencias</t>
  </si>
  <si>
    <t>CLP-GAR/Existencias</t>
  </si>
  <si>
    <t>CMC/Existencias</t>
  </si>
  <si>
    <t>CMC-GAR/Existencias</t>
  </si>
  <si>
    <t>CMO/Existencias</t>
  </si>
  <si>
    <t>CMO-GAR/Existencias</t>
  </si>
  <si>
    <t>CNA/Existencias</t>
  </si>
  <si>
    <t>CNA-GAR/Existencias</t>
  </si>
  <si>
    <t>COD/Existencias</t>
  </si>
  <si>
    <t>COD-GAR/Existencias</t>
  </si>
  <si>
    <t>COE/Existencias</t>
  </si>
  <si>
    <t>COE-GAR/Existencias</t>
  </si>
  <si>
    <t>COR/Existencias</t>
  </si>
  <si>
    <t>COR-GAR/Existencias</t>
  </si>
  <si>
    <t>CPN/Existencias</t>
  </si>
  <si>
    <t>CPN-GAR/Existencias</t>
  </si>
  <si>
    <t>CRN/Existencias</t>
  </si>
  <si>
    <t>CRN-GAR/Existencias</t>
  </si>
  <si>
    <t>CRP/Existencias</t>
  </si>
  <si>
    <t>CRP-GAR/Existencias</t>
  </si>
  <si>
    <t>CRR/Existencias</t>
  </si>
  <si>
    <t>CRR-GAR/Existencias</t>
  </si>
  <si>
    <t>CRT/Existencias</t>
  </si>
  <si>
    <t>CRT-GAR/Existencias</t>
  </si>
  <si>
    <t>CSZ/Existencias</t>
  </si>
  <si>
    <t>CSZ-GAR/Existencias</t>
  </si>
  <si>
    <t>CTA/Existencias</t>
  </si>
  <si>
    <t>CTA-GAR/Existencias</t>
  </si>
  <si>
    <t>CTD/Existencias</t>
  </si>
  <si>
    <t>CTD-GAR/Existencias</t>
  </si>
  <si>
    <t>CTL/Existencias</t>
  </si>
  <si>
    <t>CTL-GAR/Existencias</t>
  </si>
  <si>
    <t>CTM/Existencias</t>
  </si>
  <si>
    <t>CTO/Existencias</t>
  </si>
  <si>
    <t>CTO-GAR/Existencias</t>
  </si>
  <si>
    <t>CTS/Existencias</t>
  </si>
  <si>
    <t>CTS-GAR/Existencias</t>
  </si>
  <si>
    <t>CTT/Existencias</t>
  </si>
  <si>
    <t>CTT-GAR/Existencias</t>
  </si>
  <si>
    <t>CTU/Existencias</t>
  </si>
  <si>
    <t>CTU-GAR/Existencias</t>
  </si>
  <si>
    <t>CUA/Existencias</t>
  </si>
  <si>
    <t>CUA-GAR/Existencias</t>
  </si>
  <si>
    <t>CUG/Existencias</t>
  </si>
  <si>
    <t>DCA/Existencias</t>
  </si>
  <si>
    <t>DCA-GAR/Existencias</t>
  </si>
  <si>
    <t>ECJ/Existencias</t>
  </si>
  <si>
    <t>ECJ-GAR/Existencias</t>
  </si>
  <si>
    <t>ECM-GAR/Existencias</t>
  </si>
  <si>
    <t>ECOM/Existencias</t>
  </si>
  <si>
    <t>EJD/Existencias</t>
  </si>
  <si>
    <t>EJD-GAR/Existencias</t>
  </si>
  <si>
    <t>ELZ/Existencias</t>
  </si>
  <si>
    <t>ELZ-GAR/Existencias</t>
  </si>
  <si>
    <t>EMT/Existencias</t>
  </si>
  <si>
    <t>EMT-GAR/Existencias</t>
  </si>
  <si>
    <t>FAM/Existencias</t>
  </si>
  <si>
    <t>FAM-GAR/Existencias</t>
  </si>
  <si>
    <t>FMD/Existencias</t>
  </si>
  <si>
    <t>FMD-GAR/Existencias</t>
  </si>
  <si>
    <t>FOR - CHV/Existencias</t>
  </si>
  <si>
    <t>FOR - GTE/Existencias</t>
  </si>
  <si>
    <t>FOR - ISF/Existencias</t>
  </si>
  <si>
    <t>FOR - PRS/Existencias</t>
  </si>
  <si>
    <t>FOR - PZV/Existencias</t>
  </si>
  <si>
    <t>FORGTE-GAR/Existencias</t>
  </si>
  <si>
    <t>FORISF-GAR/Existencias</t>
  </si>
  <si>
    <t>FORPRS-GAR/Existencias</t>
  </si>
  <si>
    <t>FORPZV-GAR/Existencias</t>
  </si>
  <si>
    <t>FRM/Existencias</t>
  </si>
  <si>
    <t>FRM-GAR/Existencias</t>
  </si>
  <si>
    <t>GCA/Existencias</t>
  </si>
  <si>
    <t>GCA-GAR/Existencias</t>
  </si>
  <si>
    <t>GIA/Existencias</t>
  </si>
  <si>
    <t>GIA-GAR/Existencias</t>
  </si>
  <si>
    <t>GNO/Existencias</t>
  </si>
  <si>
    <t>GNO-GAR/Existencias</t>
  </si>
  <si>
    <t>GNR/Existencias</t>
  </si>
  <si>
    <t>GNR-GAR/Existencias</t>
  </si>
  <si>
    <t>GNT/Existencias</t>
  </si>
  <si>
    <t>GNT-GAR/Existencias</t>
  </si>
  <si>
    <t>GPT/Existencias</t>
  </si>
  <si>
    <t>GRA/Existencias</t>
  </si>
  <si>
    <t>GRA-GAR/Existencias</t>
  </si>
  <si>
    <t>GTA/Entrada</t>
  </si>
  <si>
    <t>GTE/Existencias</t>
  </si>
  <si>
    <t>GTE-GAR/Existencias</t>
  </si>
  <si>
    <t>GTN/Existencias</t>
  </si>
  <si>
    <t>GTN-GAR/Existencias</t>
  </si>
  <si>
    <t>HGT/Existencias</t>
  </si>
  <si>
    <t>HGT-GAR/Existencias</t>
  </si>
  <si>
    <t>IGD/Existencias</t>
  </si>
  <si>
    <t>IGD-GAR/Existencias</t>
  </si>
  <si>
    <t>JQT/Existencias</t>
  </si>
  <si>
    <t>LBD/Existencias</t>
  </si>
  <si>
    <t>LBD-GAR/Existencias</t>
  </si>
  <si>
    <t>LCH/Existencias</t>
  </si>
  <si>
    <t>LLN/Existencias</t>
  </si>
  <si>
    <t>LLN-GAR/Existencias</t>
  </si>
  <si>
    <t>LMU/Existencias</t>
  </si>
  <si>
    <t>LMU-GAR/Existencias</t>
  </si>
  <si>
    <t>LPG/Existencias</t>
  </si>
  <si>
    <t>LPG-GAR/Existencias</t>
  </si>
  <si>
    <t>MCQ/Existencias</t>
  </si>
  <si>
    <t>MCY/Existencias</t>
  </si>
  <si>
    <t>MCY-GAR/Existencias</t>
  </si>
  <si>
    <t>MDB/Existencias</t>
  </si>
  <si>
    <t>MDB-GAR/Existencias</t>
  </si>
  <si>
    <t>MEC/Existencias</t>
  </si>
  <si>
    <t>MEC-GAR/Existencias</t>
  </si>
  <si>
    <t>MGT/Existencias</t>
  </si>
  <si>
    <t>MGT-GAR/Existencias</t>
  </si>
  <si>
    <t>MGZ/Existencias</t>
  </si>
  <si>
    <t>MID/Existencias</t>
  </si>
  <si>
    <t>MID-GAR/Existencias</t>
  </si>
  <si>
    <t>MJN/Existencias</t>
  </si>
  <si>
    <t>MJN-GAR/Existencias</t>
  </si>
  <si>
    <t>MKD/Existencias</t>
  </si>
  <si>
    <t>MKD-GAR/Existencias</t>
  </si>
  <si>
    <t>MKU/Existencias</t>
  </si>
  <si>
    <t>MKU-GAR/Existencias</t>
  </si>
  <si>
    <t>MNT/Existencias</t>
  </si>
  <si>
    <t>MNT-GAR/Existencias</t>
  </si>
  <si>
    <t>MOC/Existencias</t>
  </si>
  <si>
    <t>MPC/Existencias</t>
  </si>
  <si>
    <t>MPC-GAR/Existencias</t>
  </si>
  <si>
    <t>MRN/Existencias</t>
  </si>
  <si>
    <t>MRN-GAR/Existencias</t>
  </si>
  <si>
    <t>MTC/Existencias</t>
  </si>
  <si>
    <t>MTC-GAR/Existencias</t>
  </si>
  <si>
    <t>MTP/Existencias</t>
  </si>
  <si>
    <t>MTP-GAR/Control de calidad</t>
  </si>
  <si>
    <t>MTP-GAR/Existencias</t>
  </si>
  <si>
    <t>MUN/Existencias</t>
  </si>
  <si>
    <t>MUN-GAR/Existencias</t>
  </si>
  <si>
    <t>MVT - BVT/Existencias</t>
  </si>
  <si>
    <t>MVT - CCT/Existencias</t>
  </si>
  <si>
    <t>MVT - GRZ/Existencias</t>
  </si>
  <si>
    <t>MVT - LDC/Existencias</t>
  </si>
  <si>
    <t>MVT - LNS/Existencias</t>
  </si>
  <si>
    <t>MVT - LVÃ‘/Existencias</t>
  </si>
  <si>
    <t>MVT - PCC/Existencias</t>
  </si>
  <si>
    <t>MVT - SCB/Existencias</t>
  </si>
  <si>
    <t>NGA/Existencias</t>
  </si>
  <si>
    <t>NGA-GAR/Existencias</t>
  </si>
  <si>
    <t>NGT/Existencias</t>
  </si>
  <si>
    <t>OCT/Existencias</t>
  </si>
  <si>
    <t>OCT-GAR/Existencias</t>
  </si>
  <si>
    <t>ODA/Existencias</t>
  </si>
  <si>
    <t>ODA-GAR/Existencias</t>
  </si>
  <si>
    <t>OPO/Existencias</t>
  </si>
  <si>
    <t>OPO-GAR/Existencias</t>
  </si>
  <si>
    <t>ORK/Existencias</t>
  </si>
  <si>
    <t>ORK-GAR/Existencias</t>
  </si>
  <si>
    <t>PDB/Existencias</t>
  </si>
  <si>
    <t>PDB-GAR/Existencias</t>
  </si>
  <si>
    <t>PDM/Existencias</t>
  </si>
  <si>
    <t>PDM-GAR/Existencias</t>
  </si>
  <si>
    <t>PDV - GCA/Existencias</t>
  </si>
  <si>
    <t>PDV - GUO/Existencias</t>
  </si>
  <si>
    <t>PDV - LCP/Existencias</t>
  </si>
  <si>
    <t>PDV - LGN/Existencias</t>
  </si>
  <si>
    <t>PDV - MUN/Existencias</t>
  </si>
  <si>
    <t>PDV - ODA/Existencias</t>
  </si>
  <si>
    <t>PDV - PCD/Existencias</t>
  </si>
  <si>
    <t>PDV - PT/Existencias</t>
  </si>
  <si>
    <t>PDV - STM/Existencias</t>
  </si>
  <si>
    <t>PDV - ZUL/Existencias</t>
  </si>
  <si>
    <t>PFO/Existencias</t>
  </si>
  <si>
    <t>PFO-GAR/Existencias</t>
  </si>
  <si>
    <t>PLN/Existencias</t>
  </si>
  <si>
    <t>PLN-GAR/Existencias</t>
  </si>
  <si>
    <t>PLS/Existencias</t>
  </si>
  <si>
    <t>PLS-GAR/Existencias</t>
  </si>
  <si>
    <t>PML/Existencias</t>
  </si>
  <si>
    <t>PML-GAR/Existencias</t>
  </si>
  <si>
    <t>PPT/Existencias</t>
  </si>
  <si>
    <t>PPT-GAR/Existencias</t>
  </si>
  <si>
    <t>PRG/Existencias</t>
  </si>
  <si>
    <t>PRG-GAR/Existencias</t>
  </si>
  <si>
    <t>PRT/Existencias</t>
  </si>
  <si>
    <t>PRT-GAR/Existencias</t>
  </si>
  <si>
    <t>PSA/Existencias</t>
  </si>
  <si>
    <t>PSA-GAR/Control de calidad</t>
  </si>
  <si>
    <t>PSA-GAR/Existencias</t>
  </si>
  <si>
    <t>PTA/Existencias</t>
  </si>
  <si>
    <t>PTC/Existencias</t>
  </si>
  <si>
    <t>PTC-GAR/Existencias</t>
  </si>
  <si>
    <t>PTT/Existencias</t>
  </si>
  <si>
    <t>PTT-GAR/Existencias</t>
  </si>
  <si>
    <t>PTU/Existencias</t>
  </si>
  <si>
    <t>PTU-GAR/Existencias</t>
  </si>
  <si>
    <t>QBR/Existencias</t>
  </si>
  <si>
    <t>QBR-GAR/Existencias</t>
  </si>
  <si>
    <t>QTC/Existencias</t>
  </si>
  <si>
    <t>RCO/Existencias</t>
  </si>
  <si>
    <t>RCO-GAR/Existencias</t>
  </si>
  <si>
    <t>SAM - CDL/Existencias</t>
  </si>
  <si>
    <t>SAM - CHA/Existencias</t>
  </si>
  <si>
    <t>SAM - LAR/Existencias</t>
  </si>
  <si>
    <t>SAM - MGT/Existencias</t>
  </si>
  <si>
    <t>SAM - PFO/Existencias</t>
  </si>
  <si>
    <t>SAM - VLC/Existencias</t>
  </si>
  <si>
    <t>SAM - ZUL/Existencias</t>
  </si>
  <si>
    <t>SAMCDL-GAR/Existencias</t>
  </si>
  <si>
    <t>SAMCHA-GAR/Existencias</t>
  </si>
  <si>
    <t>SAMLAR-GAR/Existencias</t>
  </si>
  <si>
    <t>SAMMGT-GAR/Existencias</t>
  </si>
  <si>
    <t>SAMPFO-GAR/Existencias</t>
  </si>
  <si>
    <t>SAMVLC-GAR/Existencias</t>
  </si>
  <si>
    <t>SAMZUL-GAR/Existencias</t>
  </si>
  <si>
    <t>SBB/Existencias</t>
  </si>
  <si>
    <t>SBB-GAR/Existencias</t>
  </si>
  <si>
    <t>SBC/Existencias</t>
  </si>
  <si>
    <t>SBC-GAR/Existencias</t>
  </si>
  <si>
    <t>SBO/Existencias</t>
  </si>
  <si>
    <t>SBO-GAR/Existencias</t>
  </si>
  <si>
    <t>SCM/Existencias</t>
  </si>
  <si>
    <t>SCM-GAR/Existencias</t>
  </si>
  <si>
    <t>SCP/Existencias</t>
  </si>
  <si>
    <t>SCP-GAR/Existencias</t>
  </si>
  <si>
    <t>SEU/Existencias</t>
  </si>
  <si>
    <t>SEU-GAR/Control de calidad</t>
  </si>
  <si>
    <t>SEU-GAR/Existencias</t>
  </si>
  <si>
    <t>SFX/Existencias</t>
  </si>
  <si>
    <t>SFX-GAR/Existencias</t>
  </si>
  <si>
    <t>SGO/Existencias</t>
  </si>
  <si>
    <t>SGO-GAR/Existencias</t>
  </si>
  <si>
    <t>SJM/Existencias</t>
  </si>
  <si>
    <t>SJM-GAR/Existencias</t>
  </si>
  <si>
    <t>SMT/Existencias</t>
  </si>
  <si>
    <t>SMT-GAR/Existencias</t>
  </si>
  <si>
    <t>SMZ/Existencias</t>
  </si>
  <si>
    <t>SMZ-GAR/Existencias</t>
  </si>
  <si>
    <t>SNR/Existencias</t>
  </si>
  <si>
    <t>SNR-GAR/Existencias</t>
  </si>
  <si>
    <t>SNT/Existencias</t>
  </si>
  <si>
    <t>SNT-GAR/Existencias</t>
  </si>
  <si>
    <t>SRO/Existencias</t>
  </si>
  <si>
    <t>SRO-GAR/Existencias</t>
  </si>
  <si>
    <t>STL/Existencias</t>
  </si>
  <si>
    <t>STL-GAR/Existencias</t>
  </si>
  <si>
    <t>STR/Existencias</t>
  </si>
  <si>
    <t>STR-GAR/Existencias</t>
  </si>
  <si>
    <t>STT/Existencias</t>
  </si>
  <si>
    <t>STT-GAR/Existencias</t>
  </si>
  <si>
    <t>TBD/Existencias</t>
  </si>
  <si>
    <t>TBD-GAR/Existencias</t>
  </si>
  <si>
    <t>TCC/Existencias</t>
  </si>
  <si>
    <t>TCC-GAR/Existencias</t>
  </si>
  <si>
    <t>TCD/Existencias</t>
  </si>
  <si>
    <t>TCD-GAR/Existencias</t>
  </si>
  <si>
    <t>TCO/Existencias</t>
  </si>
  <si>
    <t>TCO-GAR/Existencias</t>
  </si>
  <si>
    <t>TCP/Existencias</t>
  </si>
  <si>
    <t>TCP-GAR/Existencias</t>
  </si>
  <si>
    <t>TCY/Existencias</t>
  </si>
  <si>
    <t>TCY-GAR/Existencias</t>
  </si>
  <si>
    <t>TED/Existencias</t>
  </si>
  <si>
    <t>TED-GAR/Existencias</t>
  </si>
  <si>
    <t>TEQ/Existencias</t>
  </si>
  <si>
    <t>TEQ-GAR/Existencias</t>
  </si>
  <si>
    <t>TGO/Existencias</t>
  </si>
  <si>
    <t>TGO-GAR/Existencias</t>
  </si>
  <si>
    <t>TGR/Existencias</t>
  </si>
  <si>
    <t>TGR-GAR/Existencias</t>
  </si>
  <si>
    <t>THA/Existencias</t>
  </si>
  <si>
    <t>THA-GAR/Existencias</t>
  </si>
  <si>
    <t>TI-CENDIS/Existencias</t>
  </si>
  <si>
    <t>TJL/Existencias</t>
  </si>
  <si>
    <t>TJL-GAR/Existencias</t>
  </si>
  <si>
    <t>TLG/Existencias</t>
  </si>
  <si>
    <t>TMO/Existencias</t>
  </si>
  <si>
    <t>TMO-GAR/Existencias</t>
  </si>
  <si>
    <t>TMR/Existencias</t>
  </si>
  <si>
    <t>TMR-GAR/Existencias</t>
  </si>
  <si>
    <t>TPV/Existencias</t>
  </si>
  <si>
    <t>TPV-GAR/Existencias</t>
  </si>
  <si>
    <t>TQO/Existencias</t>
  </si>
  <si>
    <t>TQO-GAR/Existencias</t>
  </si>
  <si>
    <t>TQT/Existencias</t>
  </si>
  <si>
    <t>TQT-GAR/Existencias</t>
  </si>
  <si>
    <t>TRN/Existencias</t>
  </si>
  <si>
    <t>TRN-GAR/Existencias</t>
  </si>
  <si>
    <t>TRU/Existencias</t>
  </si>
  <si>
    <t>TRU-GAR/Existencias</t>
  </si>
  <si>
    <t>UNR/Existencias</t>
  </si>
  <si>
    <t>UNR-GAR/Existencias</t>
  </si>
  <si>
    <t>UPT/Existencias</t>
  </si>
  <si>
    <t>UPT-GAR/Existencias</t>
  </si>
  <si>
    <t>URD/Existencias</t>
  </si>
  <si>
    <t>URD-GAR/Existencias</t>
  </si>
  <si>
    <t>URF/Existencias</t>
  </si>
  <si>
    <t>VAR/Existencias</t>
  </si>
  <si>
    <t>VAR-GAR/Existencias</t>
  </si>
  <si>
    <t>VDC/Existencias</t>
  </si>
  <si>
    <t>VDC-GAR/Existencias</t>
  </si>
  <si>
    <t>VDP/Existencias</t>
  </si>
  <si>
    <t>VDP-GAR/Existencias</t>
  </si>
  <si>
    <t>VGA/Existencias</t>
  </si>
  <si>
    <t>VGA-GAR/Existencias</t>
  </si>
  <si>
    <t>VIG/Existencias</t>
  </si>
  <si>
    <t>VIG-GAR/Existencias</t>
  </si>
  <si>
    <t>VLL/Existencias</t>
  </si>
  <si>
    <t>VLL-GAR/Existencias</t>
  </si>
  <si>
    <t>VTA/Existencias</t>
  </si>
  <si>
    <t>VTA-GAR/Existencias</t>
  </si>
  <si>
    <t>YAR/Existencias</t>
  </si>
  <si>
    <t>YAR-GAR/Existencias</t>
  </si>
  <si>
    <t>YTG/Existencias</t>
  </si>
  <si>
    <t>YTG-GAR/Existencias</t>
  </si>
  <si>
    <t>ZAR/Existencias</t>
  </si>
  <si>
    <t>ZAR-GAR/Existencias</t>
  </si>
  <si>
    <t>CAPITAL 2</t>
  </si>
  <si>
    <t>CAPITAL 1</t>
  </si>
  <si>
    <t>EXCLUIDA</t>
  </si>
  <si>
    <t xml:space="preserve">Valor Final </t>
  </si>
  <si>
    <t>ADS - TCY/Existencias</t>
  </si>
  <si>
    <t>Totales</t>
  </si>
  <si>
    <t>NOTAS</t>
  </si>
  <si>
    <t xml:space="preserve">Factor de ingresos en bs </t>
  </si>
  <si>
    <t>% impacto sobre ingresos generales</t>
  </si>
  <si>
    <t>1- Porcentaje  impacto sobre ingresos generales: Analisis vertical de los ingresos por tienda contra el monto total de ingresos</t>
  </si>
  <si>
    <t>Ingreso Bruto</t>
  </si>
  <si>
    <t>4- Factor de Ingresos en bs: El impacto que tiene cada tienda sobre el total del ingreso en bolivares del Período</t>
  </si>
  <si>
    <t>Gasto Aplicado por  Venta</t>
  </si>
  <si>
    <t xml:space="preserve">Resultado - Gastos Distribuidos </t>
  </si>
  <si>
    <t xml:space="preserve">OBSERVACION </t>
  </si>
  <si>
    <t>Arrendamiento</t>
  </si>
  <si>
    <t>Honorarios Profesionales</t>
  </si>
  <si>
    <t>PROMEDIO (MEDIA)</t>
  </si>
  <si>
    <t>ADSTCY-GAR/Existencias</t>
  </si>
  <si>
    <t>ATV-GAR/Existencias</t>
  </si>
  <si>
    <t>CEN-GAR/Control de calidad</t>
  </si>
  <si>
    <t>CEN-GAR/Entrada</t>
  </si>
  <si>
    <t>CEN-GAR/PosproducciÃ³n</t>
  </si>
  <si>
    <t>CLT-GAR/Existencias</t>
  </si>
  <si>
    <t>CRM/Existencias</t>
  </si>
  <si>
    <t>FORCHV-GAR/Existencias</t>
  </si>
  <si>
    <t>GCEN - SWM/Existencias</t>
  </si>
  <si>
    <t>GLMU/Existencias</t>
  </si>
  <si>
    <t>GPT-GAR/Existencias</t>
  </si>
  <si>
    <t>LCH-GAR/Existencias</t>
  </si>
  <si>
    <t>MCQ-GAR/Existencias</t>
  </si>
  <si>
    <t>MGZ-GAR/Existencias</t>
  </si>
  <si>
    <t>MVTBVT-GAR/Existencias</t>
  </si>
  <si>
    <t>MVTLDC-GAR/Existencias</t>
  </si>
  <si>
    <t>MVTPCC-GAR/Existencias</t>
  </si>
  <si>
    <t>PTA-GAR/Existencias</t>
  </si>
  <si>
    <t>QTC-GAR/Existencias</t>
  </si>
  <si>
    <t>SAMLAR-GAR/Entrada</t>
  </si>
  <si>
    <t>VMC /Existencias</t>
  </si>
  <si>
    <t>[ ABM ] - AV BOLIVAR DE MATURIN</t>
  </si>
  <si>
    <t>[ ACB ] - AV LIBERTADOR CIUDAD BOLIVAR</t>
  </si>
  <si>
    <t>[ ACG ] - ACHAGUAS</t>
  </si>
  <si>
    <t>[ ACO ] - ANACO</t>
  </si>
  <si>
    <t>[ ADO ] - ALTAGRACIA DEL ORITUCO</t>
  </si>
  <si>
    <t>[ ADS - TCY ] - AEDOS TOCUYITO</t>
  </si>
  <si>
    <t>[ ANT ] - ANTIMANO</t>
  </si>
  <si>
    <t>[ APU ] - APURE</t>
  </si>
  <si>
    <t>[ ARO - INT ] - AEROPUERTO INTERNACIONAL</t>
  </si>
  <si>
    <t>[ ARO - NAC ] - AEROPUERTO NACIONAL</t>
  </si>
  <si>
    <t>[ ATV ] - ALTA VISTA</t>
  </si>
  <si>
    <t>[ AVM ] - AVENIDA MARIÑO</t>
  </si>
  <si>
    <t>[ BAC ] - BUENOS AIRES CANGURO</t>
  </si>
  <si>
    <t>[ BCC ] - BISCUCUY</t>
  </si>
  <si>
    <t>[ BCD ] - BARINAS CC DORADO</t>
  </si>
  <si>
    <t>[ BCN ] - BARCELONA</t>
  </si>
  <si>
    <t>[ BCO ] - BOCONO</t>
  </si>
  <si>
    <t>[ BJM ] - BEJUMA</t>
  </si>
  <si>
    <t>[ BNS ] - BARINAS SHOP</t>
  </si>
  <si>
    <t>[ BRC ] - BARRANCAS</t>
  </si>
  <si>
    <t>[ BTA ] - BARUTA</t>
  </si>
  <si>
    <t>[ BVC ] - BAZAR VALENCIA CANGURO</t>
  </si>
  <si>
    <t>[ BZC ] - BAZAR 4</t>
  </si>
  <si>
    <t>[ BZD ] - BAZAR 2</t>
  </si>
  <si>
    <t>[ BZT ] - BAZAR 3</t>
  </si>
  <si>
    <t>[ BZU ] - BAZAR 1</t>
  </si>
  <si>
    <t>[ CAG ] - CAGUA</t>
  </si>
  <si>
    <t>[ CAT ] - CATIA</t>
  </si>
  <si>
    <t>[ CBM ] - CABIMAS</t>
  </si>
  <si>
    <t>[ CBQ ] - CHABASQUEN</t>
  </si>
  <si>
    <t>[ CBR ] - CABUDARE</t>
  </si>
  <si>
    <t>[ CBV ] - CIUDAD BOLIVAR</t>
  </si>
  <si>
    <t>[ CCA ] - CENTRO COMERCIAL AVIADORES</t>
  </si>
  <si>
    <t>[ CCB ] - CALLE CAMEJO BARINAS</t>
  </si>
  <si>
    <t>[ CCM ] - CENTRO COMERCIAL METROCENTER</t>
  </si>
  <si>
    <t>[ CCO ] - CAICARA DEL ORINOCO</t>
  </si>
  <si>
    <t>[ CCT ] - CC CIUDAD TAMANACO</t>
  </si>
  <si>
    <t>[ CDL ] - LA CANDELARIA</t>
  </si>
  <si>
    <t>[ CDO ] - CEDENO</t>
  </si>
  <si>
    <t>[ CEN - MYR ] - CENDIS MAYOR</t>
  </si>
  <si>
    <t>[ CEN - SWM ] - CENDIS SHOWROOM</t>
  </si>
  <si>
    <t>[ CHA ] - CHACAO</t>
  </si>
  <si>
    <t>[ CHC ] - CHICHIRIVICHE</t>
  </si>
  <si>
    <t>[ CHI ] - CHIVACOA</t>
  </si>
  <si>
    <t>[ CHV ] - CHARALLAVE</t>
  </si>
  <si>
    <t>[ CJP ] - CINCO DE JULIO</t>
  </si>
  <si>
    <t>[ CLB ] - CALABOZO</t>
  </si>
  <si>
    <t>[ CLL ] - CALLAO</t>
  </si>
  <si>
    <t>[ CLP ] - CATIA LIFE PHONE</t>
  </si>
  <si>
    <t>[ CLT ] - COLONIA TOVAR</t>
  </si>
  <si>
    <t>[ CMC ] - CUA</t>
  </si>
  <si>
    <t>[ CMO ] - COMERCIO</t>
  </si>
  <si>
    <t>[ CNA ] - CUMANACOA</t>
  </si>
  <si>
    <t>[ COD ] - COSMOS SHOP</t>
  </si>
  <si>
    <t>[ COE ] - SAN CARLOS</t>
  </si>
  <si>
    <t>[ COR ] - CORO</t>
  </si>
  <si>
    <t>[ CPN ] - CARUPANO</t>
  </si>
  <si>
    <t>[ CRN ] - CLARINES</t>
  </si>
  <si>
    <t>[ CRP ] - CARIPE</t>
  </si>
  <si>
    <t>[ CRR ] - CARORA</t>
  </si>
  <si>
    <t>[ CRT ] - CARIPITO</t>
  </si>
  <si>
    <t>[ CSZ ] - CAJA SECA ZULIA</t>
  </si>
  <si>
    <t>[ CTA ] - CANTAURA</t>
  </si>
  <si>
    <t>[ CTD ] - CITY 2</t>
  </si>
  <si>
    <t>[ CTL ] - CARTANAL</t>
  </si>
  <si>
    <t>[ CTM ] - CATIA LA MAR</t>
  </si>
  <si>
    <t>[ CTO ] - CEMENTERIO</t>
  </si>
  <si>
    <t>[ CTS ] - CIUDAD TAMANACO SEGUNDO</t>
  </si>
  <si>
    <t>[ CTT ] - CITY 3</t>
  </si>
  <si>
    <t>[ CTU ] - CITY 1</t>
  </si>
  <si>
    <t>[ CUA ] - CUMANA SHOP</t>
  </si>
  <si>
    <t>[ CUG ] - CAUCAGUA</t>
  </si>
  <si>
    <t>[ DCA ] - DUACA</t>
  </si>
  <si>
    <t>[ ECJ ] - EL CUJI</t>
  </si>
  <si>
    <t>[ ECM ] ECOMMERCE</t>
  </si>
  <si>
    <t>[ EJD ] - EJIDO</t>
  </si>
  <si>
    <t>[ ELZ ] - ELORZA</t>
  </si>
  <si>
    <t>[ EMT ] - EL MANTECO</t>
  </si>
  <si>
    <t>[ FAM ] - FLOR AMARILLO</t>
  </si>
  <si>
    <t>[ FMD ] - FREEMARKET 2</t>
  </si>
  <si>
    <t>[ FOR - CHV ] - FORUM CHARALLAVE</t>
  </si>
  <si>
    <t>[ FOR - GTE ] - FORUM GUATIRE</t>
  </si>
  <si>
    <t>[ FOR - ISF ] - FORUM IPSFA</t>
  </si>
  <si>
    <t>[ FOR - PRS ] - FORUM PARAISO</t>
  </si>
  <si>
    <t>[ FOR - PZV ] - FORUM PLAZA VENEZUELA</t>
  </si>
  <si>
    <t>[ FRM ] - FREEMARKET</t>
  </si>
  <si>
    <t>[ GCA ] - GUACARA</t>
  </si>
  <si>
    <t>[ GIA ] - GUIRIA</t>
  </si>
  <si>
    <t>[ GNO ] - GUANARITO</t>
  </si>
  <si>
    <t>[ GNR ] - GUANARE</t>
  </si>
  <si>
    <t>[ GNT ] - GUANTA</t>
  </si>
  <si>
    <t>[ GPT ] - GUASIPATI</t>
  </si>
  <si>
    <t>[ GRA ] - GUARENAS</t>
  </si>
  <si>
    <t>[ GTE ] - GUATIRE</t>
  </si>
  <si>
    <t>[ GTN ] - GATO NEGRO</t>
  </si>
  <si>
    <t>[ HGT ] - HIGUEROTE</t>
  </si>
  <si>
    <t>[ IGD ] - CALLE IGUALDAD</t>
  </si>
  <si>
    <t>[ LBD ] - LA BANDERA</t>
  </si>
  <si>
    <t>[ LCH ] - LECHERIA</t>
  </si>
  <si>
    <t>[ LLN ] - LLANERO</t>
  </si>
  <si>
    <t>[ LMU ] - LA MARRON 1</t>
  </si>
  <si>
    <t>[ LPG ] - LA PARAGUA</t>
  </si>
  <si>
    <t>[ MCQ ] - MACHIQUES</t>
  </si>
  <si>
    <t>[ MCY ] - MARACAY</t>
  </si>
  <si>
    <t>[ MDB ] - MINAS DE BARUTA</t>
  </si>
  <si>
    <t>[ MEC ] - MARACAY ESTACION CENTRAL</t>
  </si>
  <si>
    <t>[ MGT ] - MARGARITA SHOP</t>
  </si>
  <si>
    <t>[ MGZ ] - MENE GRANDE ZULIA</t>
  </si>
  <si>
    <t>[ MID ] - MERIDA SHOP</t>
  </si>
  <si>
    <t>[ MJN ] - MOJAN</t>
  </si>
  <si>
    <t>[ MKD ] - MACROCENTRO 2 SHOP</t>
  </si>
  <si>
    <t>[ MKU ] - MACROCENTRO 1</t>
  </si>
  <si>
    <t>[ MNT ] - MONAY TRUJILLO</t>
  </si>
  <si>
    <t>[ MOC ] - CANGURO MOVIL</t>
  </si>
  <si>
    <t>[ MPC ] - MARKET PLACE CANGURO</t>
  </si>
  <si>
    <t>[ MRN ] - MORON</t>
  </si>
  <si>
    <t>[ MTC ] - MANTECAL</t>
  </si>
  <si>
    <t>[ MTP ] - METROPOLIS</t>
  </si>
  <si>
    <t>[ MUN ] - MATURIN SHOP</t>
  </si>
  <si>
    <t xml:space="preserve">[ MVT - BVT ] MOVISTAR BELLA VISTA </t>
  </si>
  <si>
    <t>[ MVT - CCT ] - MOVISTAR CIUDAD TAMANACO</t>
  </si>
  <si>
    <t>[ MVT - GRZ ] - MOVISTAR LAS GARZAS</t>
  </si>
  <si>
    <t>[ MVT - LNS ] MOVISTAR LOS LEONES</t>
  </si>
  <si>
    <t>[ MVT - LVÑ ] MOVISTAR LA VIÑA</t>
  </si>
  <si>
    <t>[ MVT - PCC ] - MOVISTAR PARQUE CENTRAL CANAIMA</t>
  </si>
  <si>
    <t>[ MVT - SCB ] MOVISTAR SAN CRISTÓBAL</t>
  </si>
  <si>
    <t xml:space="preserve">[ MVT- LDC ] MOVISTAR LAS DELICIAS </t>
  </si>
  <si>
    <t>[ NGA ] - NIRGUA</t>
  </si>
  <si>
    <t>[ NGT ] - NAIGUATA</t>
  </si>
  <si>
    <t>[ OCT ] - OCUMARE DEL TUY</t>
  </si>
  <si>
    <t>[ ODA ] - CIUDAD OJEDA</t>
  </si>
  <si>
    <t>[ OPO ] - OSPINO</t>
  </si>
  <si>
    <t>[ ORK ] - ORINOKIA</t>
  </si>
  <si>
    <t>[ PDB ] - PEDRAZA</t>
  </si>
  <si>
    <t>[ PDM ] - PUNTA DE MATA</t>
  </si>
  <si>
    <t>[ PDV - GCA ] - PDVSA GUACARA</t>
  </si>
  <si>
    <t>[ PDV - LCP ] - PDVSA LA CAMPIÑA</t>
  </si>
  <si>
    <t>[ PDV - PT ] - PDVSA PETROPIAR</t>
  </si>
  <si>
    <t>[ PDV - STM ] - PDVSA SANTOME</t>
  </si>
  <si>
    <t>[ PFO ] - PUNTO FIJO</t>
  </si>
  <si>
    <t>[ PLN ] - PALO NEGRO</t>
  </si>
  <si>
    <t>[ PLS ] - PUERTO LA CRUZ SHOP</t>
  </si>
  <si>
    <t>[ PML ] - PLAZA MAYOR LECHERIA</t>
  </si>
  <si>
    <t>[ PPT ] - PROPATRIA</t>
  </si>
  <si>
    <t>[ PRG ] - PARIAGUAN</t>
  </si>
  <si>
    <t>[ PRT ] - PUERTO PIRITU</t>
  </si>
  <si>
    <t>[ PSA ] - ACARIGUA</t>
  </si>
  <si>
    <t>[ PTA ] - PUERTO AYACUCHO</t>
  </si>
  <si>
    <t>[ PTC ] - PUERTO CABELLO</t>
  </si>
  <si>
    <t>[ PTT ] - PETARE 3</t>
  </si>
  <si>
    <t>[ PTU ] - PETARE 1</t>
  </si>
  <si>
    <t>[ QBR ] - QUIBOR</t>
  </si>
  <si>
    <t>[ QTC ] - QUINTA CRESPO</t>
  </si>
  <si>
    <t>[ RCO ] - RIO CHICO</t>
  </si>
  <si>
    <t>[ SAM - CDL ] - SAMBIL CANDELARIA</t>
  </si>
  <si>
    <t>[ SAM - CHA ] - SAMBIL CHACAO</t>
  </si>
  <si>
    <t>[ SAM - LAR ] - SAMBIL LARA</t>
  </si>
  <si>
    <t>[ SAM - MGT ] - SAMBIL MARGARITA</t>
  </si>
  <si>
    <t>[ SAM - PFO ] - SAMBIL PUNTO FIJO</t>
  </si>
  <si>
    <t>[ SAM - VLC ] - SAMBIL VALENCIA</t>
  </si>
  <si>
    <t>[ SAM - ZUL ] - SAMBIL ZULIA</t>
  </si>
  <si>
    <t>[ SBB ] - SANTA BARBARA</t>
  </si>
  <si>
    <t>[ SBC ] - SABANA CITY</t>
  </si>
  <si>
    <t>[ SBO ] - EL SOMBRERO</t>
  </si>
  <si>
    <t>[ SCM ] - SAN CASIMIRO</t>
  </si>
  <si>
    <t>[ SCP ] - SOCOPO</t>
  </si>
  <si>
    <t>[ SEU ] - SANTA ELENA DE UAIREN</t>
  </si>
  <si>
    <t>[ SFX ] - SAN FELIX</t>
  </si>
  <si>
    <t>[ SGO ] - SABANA GRANDE OUTLET</t>
  </si>
  <si>
    <t>[ SJM ] - SAN JUAN DE LOS MORROS</t>
  </si>
  <si>
    <t>[ SMT ] - SABANA MENDOZA</t>
  </si>
  <si>
    <t>[ SMZ ] - SIERRA MAESTRA</t>
  </si>
  <si>
    <t>[ SNR ] - SANARE</t>
  </si>
  <si>
    <t>[ SNT ] - SABANETA</t>
  </si>
  <si>
    <t>[ SRO ] - SAN RAFAEL DE ONOTO</t>
  </si>
  <si>
    <t>[ STL ] - SANTA LUCIA</t>
  </si>
  <si>
    <t>[ STR ] - SANTA RITA ARAGUA</t>
  </si>
  <si>
    <t>[ STT ] - SANTA TERESA DEL TUY</t>
  </si>
  <si>
    <t>[ TBD ] - TEMBLADOR</t>
  </si>
  <si>
    <t>[ TCC ] - TUCACAS</t>
  </si>
  <si>
    <t>[ TCD ] - TUCUPIDO</t>
  </si>
  <si>
    <t>[ TCO ] - TOCUYO</t>
  </si>
  <si>
    <t>[ TCP ] - TUCUPITA</t>
  </si>
  <si>
    <t>[ TCY ] - TOCUYITO</t>
  </si>
  <si>
    <t>[ TED ] - LOS TEQUES DOS</t>
  </si>
  <si>
    <t>[ TEQ ] - LOS TEQUES SHOP</t>
  </si>
  <si>
    <t>[ TGO ] - EL TIGRITO</t>
  </si>
  <si>
    <t>[ TGR ] - TIGRE SHOP</t>
  </si>
  <si>
    <t>[ THA ] - TACHIRA</t>
  </si>
  <si>
    <t>[ TJL ] - TRUJILLO</t>
  </si>
  <si>
    <t>[ TLG ] - TERMINAL LA GUAIRA</t>
  </si>
  <si>
    <t>[ TMO ] - TURMERO</t>
  </si>
  <si>
    <t>[ TMR ] - TUMEREMO</t>
  </si>
  <si>
    <t>[ TPV ] - TERMINAL PLAZA VENEZUELA</t>
  </si>
  <si>
    <t>[ TQO ] - TINAQUILLO</t>
  </si>
  <si>
    <t>[ TQT ] - LOS TEQUES TRES</t>
  </si>
  <si>
    <t>[ TRN ] - TUREN</t>
  </si>
  <si>
    <t>[ TRU ] - VALERA SHOP</t>
  </si>
  <si>
    <t>[ UNR ] - UNARE</t>
  </si>
  <si>
    <t>[ UPT ] - UPATA</t>
  </si>
  <si>
    <t>[ URD ] - URDANETA SHOP</t>
  </si>
  <si>
    <t>[ URF ] - URDANETA FIX</t>
  </si>
  <si>
    <t>[ VAR ] - LA GUAIRA</t>
  </si>
  <si>
    <t>[ VDC ] - VILLA DE CURA</t>
  </si>
  <si>
    <t>[ VDP ] - VALLE DE LA PASCUA</t>
  </si>
  <si>
    <t>[ VGA ] - LA VEGA</t>
  </si>
  <si>
    <t>[ VIG ] - VIGIA</t>
  </si>
  <si>
    <t>[ VLL ] - EL VALLE</t>
  </si>
  <si>
    <t>[ VTA ] - LA VICTORIA</t>
  </si>
  <si>
    <t>[ YAR ] - SAN FELIPE</t>
  </si>
  <si>
    <t>[ YTG ] - YARITAGUA</t>
  </si>
  <si>
    <t>[ ZAR ] - ZARAZA</t>
  </si>
  <si>
    <t>Total de ingresos</t>
  </si>
  <si>
    <t>TOTAL OTROS INGRESOS</t>
  </si>
  <si>
    <t>Amortizacion</t>
  </si>
  <si>
    <t>%</t>
  </si>
  <si>
    <t>Fletes y Transporte</t>
  </si>
  <si>
    <t>Gastos IT</t>
  </si>
  <si>
    <t>Gastos de Personal</t>
  </si>
  <si>
    <t>Gastos Financieros</t>
  </si>
  <si>
    <t>Impuestos, Tasas y Contribuciones</t>
  </si>
  <si>
    <t>Marketing y Promocion</t>
  </si>
  <si>
    <t xml:space="preserve">Servicios </t>
  </si>
  <si>
    <t xml:space="preserve">2- Gasto aplicado por venta: Se toman los  ingresos costos y gastos mas los gastos del corporativo menos el diferencial de cambio </t>
  </si>
  <si>
    <t>3- Monto ingresos en bs: Son todos los metodos de pago recibidos en VES (pago movil, biopago, efectivo bs , punto de venta, etc)  este dado es suministrado por la Gerencia de Cuentas por Pagar</t>
  </si>
  <si>
    <t>5- Gasto aplicado a diferencial de cambio:  El gasto del diferencial de cambio (perdida por diferencia en cambio) que se aplica sobre el factor de ingresos en bolivares de cada tienda</t>
  </si>
  <si>
    <t xml:space="preserve">7- Resultado de la tienda  ( total general + gasto aplicado) </t>
  </si>
  <si>
    <t>6- Gasto Aplicado : Es el gasto aplicado por venta + el gasto aplicado a diferencia de cambio</t>
  </si>
  <si>
    <t xml:space="preserve">Los ingresos, costos y gastos del cendis se distribuyen al igual que los gastos del corporativo entre las tiendas en funcion de la venta. </t>
  </si>
  <si>
    <t>Ingresos en bolivares</t>
  </si>
  <si>
    <t>Impacto sobre Ingresos Generales</t>
  </si>
  <si>
    <t>Factor ingresos en Bs</t>
  </si>
  <si>
    <t>Gasto Aplicado Factor Ingreso Bs</t>
  </si>
  <si>
    <t xml:space="preserve">Total General </t>
  </si>
  <si>
    <t>Perdida</t>
  </si>
  <si>
    <t>Ganancias Hasta $10,000</t>
  </si>
  <si>
    <t>ARRENDAMIENTO</t>
  </si>
  <si>
    <t>Ganancia Mayor A $10,000</t>
  </si>
  <si>
    <t>Gastos superiores a $2000</t>
  </si>
  <si>
    <t>Gastos entre $1001 hasta $2000</t>
  </si>
  <si>
    <t>Gastos entre $0 hasta $1000</t>
  </si>
  <si>
    <t>GASTOS DE PERSONAL</t>
  </si>
  <si>
    <t>Gastos superiores a $6000</t>
  </si>
  <si>
    <t>Gastos entre $3001 hasta $6000</t>
  </si>
  <si>
    <t>Gastos entre $0 hasta $3000</t>
  </si>
  <si>
    <t>Gastos superiores a $7000</t>
  </si>
  <si>
    <t>Gastos entre $4001 hasta $7000</t>
  </si>
  <si>
    <t>Gastos entre $0 hasta $4000</t>
  </si>
  <si>
    <t xml:space="preserve">TOTAL DE GASTOS </t>
  </si>
  <si>
    <t xml:space="preserve">Inventario  Inicial/Final Tiendas </t>
  </si>
  <si>
    <t>BLS /Existencias</t>
  </si>
  <si>
    <t>CLT/Existencias</t>
  </si>
  <si>
    <t>Inventario Inicial/Final Almacenes de Cendis</t>
  </si>
  <si>
    <t>CENTRO DE DISTRIBUCION (BULTO CERRADO)</t>
  </si>
  <si>
    <t>SHOW  ROOM</t>
  </si>
  <si>
    <t>EVENTOS</t>
  </si>
  <si>
    <t>FARMATODO</t>
  </si>
  <si>
    <t>INSUMOS</t>
  </si>
  <si>
    <t>ZONA MIXTA</t>
  </si>
  <si>
    <t>MATERIA PRIMA</t>
  </si>
  <si>
    <t>REDES</t>
  </si>
  <si>
    <t>DEVOLUCIONES</t>
  </si>
  <si>
    <t>PICKING VARIEDAD DE MERCANCIA</t>
  </si>
  <si>
    <t>CHUCHERIAS</t>
  </si>
  <si>
    <t>Total almacenes cendis</t>
  </si>
  <si>
    <t xml:space="preserve">Garantias  Inicial/Final Tiendas </t>
  </si>
  <si>
    <t>ABM-GAR/Existencias</t>
  </si>
  <si>
    <t>ABM-GAR/Existencias/Existencias</t>
  </si>
  <si>
    <t>CCB-GAR/Control de calidad</t>
  </si>
  <si>
    <t>CLL-GAR/Existencias</t>
  </si>
  <si>
    <t>CUG-GAR/Existencias</t>
  </si>
  <si>
    <t>GTE-GAR/Entrada</t>
  </si>
  <si>
    <t>MUN-GAR/Entrada</t>
  </si>
  <si>
    <t>MVTCCT-GAR/Existencias</t>
  </si>
  <si>
    <t>PDVMUN-GAR/Existencias</t>
  </si>
  <si>
    <t>URF-GAR/Existencias</t>
  </si>
  <si>
    <t>Garantias Inicial/Final Almacenes de Cendis</t>
  </si>
  <si>
    <t>CENSWM-GAR/Existencias</t>
  </si>
  <si>
    <t>[ ADS - BQT ] - AEDOS BARQUISIMETO</t>
  </si>
  <si>
    <t>[ ARY ] - AROA YARACUY</t>
  </si>
  <si>
    <t>[ BLS ] - BAILADORES</t>
  </si>
  <si>
    <t>[ PDV - GUO ] - PDVSA GUARAGUO</t>
  </si>
  <si>
    <t>[ PDV - LGN ] - PDVSA LAGUNA</t>
  </si>
  <si>
    <t>[ PDV - MUN ] - PDVSA MATURIN</t>
  </si>
  <si>
    <t>[ PDV - PCD ] - PDVSA PETROCEDEÑO</t>
  </si>
  <si>
    <t>[ SBZ ] - SANTA BARBARA DE ZULIA</t>
  </si>
  <si>
    <t>[ TVR ] - TOVAR MERIDA</t>
  </si>
  <si>
    <t>[ VMC ] - VENDING MACHINE CENDIS</t>
  </si>
  <si>
    <t>Seguros</t>
  </si>
  <si>
    <t>CENDIS</t>
  </si>
  <si>
    <t>CENDIS LARA</t>
  </si>
  <si>
    <t>COMERCIAL VEN</t>
  </si>
  <si>
    <t>COMPRAS VEN</t>
  </si>
  <si>
    <t>CONTROL INTERNO VEN</t>
  </si>
  <si>
    <t>Corporativo VEN</t>
  </si>
  <si>
    <t>DIRECCION GENERAL VEN</t>
  </si>
  <si>
    <t>Eventos VEN</t>
  </si>
  <si>
    <t>FINANZAS VEN</t>
  </si>
  <si>
    <t>Fletes Caracas</t>
  </si>
  <si>
    <t>Fletes resto del pais</t>
  </si>
  <si>
    <t>IT VEN</t>
  </si>
  <si>
    <t>Legal VEN</t>
  </si>
  <si>
    <t>LOGISTICA VEN</t>
  </si>
  <si>
    <t>OPERACIONES VEN</t>
  </si>
  <si>
    <t>PRESIDENCIA VEN</t>
  </si>
  <si>
    <t>R Capital</t>
  </si>
  <si>
    <t>R Centro</t>
  </si>
  <si>
    <t>R Occidente</t>
  </si>
  <si>
    <t>R Oriente</t>
  </si>
  <si>
    <t>REGION CAPITAL 1</t>
  </si>
  <si>
    <t>REGION CAPITAL 2</t>
  </si>
  <si>
    <t>REGION CENTRO</t>
  </si>
  <si>
    <t>REGION LOS ANDES</t>
  </si>
  <si>
    <t>REGION LOS LLANOS 1</t>
  </si>
  <si>
    <t>REGION LOS LLANOS 2</t>
  </si>
  <si>
    <t>REGION MIRANDA</t>
  </si>
  <si>
    <t>REGION OCCIDENTE</t>
  </si>
  <si>
    <t>REGION ORIENTE NORTE</t>
  </si>
  <si>
    <t>REGION ORIENTE SUR</t>
  </si>
  <si>
    <t>RRHH VEN</t>
  </si>
  <si>
    <t>ACCESORIOS BOOMERANG,C,A</t>
  </si>
  <si>
    <t>ACCESORIOS CANGURO, C.A.</t>
  </si>
  <si>
    <t>ACCESORIOS FC, C.A.</t>
  </si>
  <si>
    <t>ACCESORIOS KAMI, C.A.</t>
  </si>
  <si>
    <t>ACCESORIOS LONDRES, C.A</t>
  </si>
  <si>
    <t>ACCESORIOS MW, C.A</t>
  </si>
  <si>
    <t>ACCESORIOS NAPOLES, C.A</t>
  </si>
  <si>
    <t>ACCESORIOS WONG, C.A.</t>
  </si>
  <si>
    <t>AEDOS 7, C.A.</t>
  </si>
  <si>
    <t>ANKARA 2018,C.A</t>
  </si>
  <si>
    <t>BERLIN 2021, C.A</t>
  </si>
  <si>
    <t>CANGURO CAFE, C.A.</t>
  </si>
  <si>
    <t>CYCLING PRO, C.A</t>
  </si>
  <si>
    <t>DISTRICUEROS EL CANGURO, C.A</t>
  </si>
  <si>
    <t>EL MARTILLITO</t>
  </si>
  <si>
    <t>INVERSIONES ALASKA 77, C.A</t>
  </si>
  <si>
    <t>INVERSIONES BELEN 0817, C.A</t>
  </si>
  <si>
    <t>INVERSIONES BETS 2021, C.A.</t>
  </si>
  <si>
    <t>INVERSIONES CANGURO CARACAS, C.A</t>
  </si>
  <si>
    <t>INVERSIONES DUBAI 2020, C.A.</t>
  </si>
  <si>
    <t>INVERSIONES FLORIDA 2022 C.A</t>
  </si>
  <si>
    <t>INVERSIONES GIODANY, C.A.</t>
  </si>
  <si>
    <t>INVERSIONES HERM, C.A.</t>
  </si>
  <si>
    <t>INVERSIONES LARA, C.A</t>
  </si>
  <si>
    <t>INVERSIONES MARCUPIAL, C.A</t>
  </si>
  <si>
    <t>INVERSIONES MERIDA 2024, C.A</t>
  </si>
  <si>
    <t>INVERSIONES NAIM 7, C.A.</t>
  </si>
  <si>
    <t>INVERSIONES OTTAWA, C.A</t>
  </si>
  <si>
    <t>INVERSIONES PAMPLONA, C.A</t>
  </si>
  <si>
    <t>INVERSIONES PEGASO, C.A</t>
  </si>
  <si>
    <t>INVERSIONES SIQUEM, C.A</t>
  </si>
  <si>
    <t>INVERSIONES SOFI, C.A</t>
  </si>
  <si>
    <t>INVERSIONES SOZU, C.A</t>
  </si>
  <si>
    <t>INVERSIONES TEXAS 7, C.A</t>
  </si>
  <si>
    <t>INVERSIONES TORONTO, C.A.</t>
  </si>
  <si>
    <t>INVERSIONES TW, C.A</t>
  </si>
  <si>
    <t>INVERSIONES YOS, C.A</t>
  </si>
  <si>
    <t>JEZETECH, C.A</t>
  </si>
  <si>
    <t>MAXCELL, C.A</t>
  </si>
  <si>
    <t>MULTICANGURO LOS CORTIJOS, C.A</t>
  </si>
  <si>
    <t>MULTITIENDAS ZD, C,A</t>
  </si>
  <si>
    <t>TD SYSTEMS 2025, C.A</t>
  </si>
  <si>
    <t>TOKIO 2021, C.A</t>
  </si>
  <si>
    <t>VARIEDADES GERO 2021, C.A.</t>
  </si>
  <si>
    <t>VARIEDADES ISRRAEL 2021</t>
  </si>
  <si>
    <t>VARIEDADES LUCY, C.A.</t>
  </si>
  <si>
    <t>VARIEDADES PAG, C.A.</t>
  </si>
  <si>
    <t>VARIEDADES SHANGAY, C.A</t>
  </si>
  <si>
    <t>VENEZIA SHOP, C.A</t>
  </si>
  <si>
    <t>INGRESOS ACCESORIOS</t>
  </si>
  <si>
    <t>INGRESOS  ACRILICOS Y CASES</t>
  </si>
  <si>
    <t>INGRESOS  AUDIFONOS</t>
  </si>
  <si>
    <t>INGRESOS  CANGURO HOME</t>
  </si>
  <si>
    <t>INGRESOS CARGADORES Y CABLES</t>
  </si>
  <si>
    <t>INGRESOS EQUIPOS DE AUDIO</t>
  </si>
  <si>
    <t>INGRESOS EQUIPOS ELECTRONICOS</t>
  </si>
  <si>
    <t>INGRESOS EQUIPOS Y HERRAMIENTAS FIX</t>
  </si>
  <si>
    <t>INGRESOS LENTES</t>
  </si>
  <si>
    <t>INGRESOS PROTECTORES DE PANTALLA</t>
  </si>
  <si>
    <t>INGRESOS VASOS</t>
  </si>
  <si>
    <t>INGRESOS VIDEO JUEGOS Y ACCESORIOS</t>
  </si>
  <si>
    <t>INGRESOS BATERIAS</t>
  </si>
  <si>
    <t>INGRESOS MICAS</t>
  </si>
  <si>
    <t>INGRESOS MICROPIEZAS</t>
  </si>
  <si>
    <t>INGRESOS PANTALLAS</t>
  </si>
  <si>
    <t>INGRESOS TAPAS TRASERAS</t>
  </si>
  <si>
    <t>INGRESOS  TELEFONIA</t>
  </si>
  <si>
    <t>INGRESOS  SMARTWATCHES Y ACCESORIOS</t>
  </si>
  <si>
    <t>INGRESOS TARJETAS</t>
  </si>
  <si>
    <t>INGRESOS  JUGUETES Y JUEGOS</t>
  </si>
  <si>
    <t>INGRESOS SNACKS Y DULCES</t>
  </si>
  <si>
    <t>INGRESOS CHOCOLATES</t>
  </si>
  <si>
    <t>INGRESOS TORTAS Y PONQUES</t>
  </si>
  <si>
    <t>INGRESOS MUEBLES Y ORGANIZADORES</t>
  </si>
  <si>
    <t>INGRESOS DECORACION HOGAR</t>
  </si>
  <si>
    <t>INGRESOS ENSERES DE COCINA</t>
  </si>
  <si>
    <t>INGRESOS ARTICULOS DE REPOSTERIA</t>
  </si>
  <si>
    <t>INGRESOS HERRAMIENTAS E INSUMOS DE LIMPIEZA</t>
  </si>
  <si>
    <t>INGRESOS ELECTRODOMESTICOS MENORES</t>
  </si>
  <si>
    <t>INGRESOS ACCESORIOS DE USO FRECUENTE</t>
  </si>
  <si>
    <t>INGRESOS CARNAVAL Y FIESTAS TEMATICAS</t>
  </si>
  <si>
    <t>INGRESOS CELEBRACIONES ESPECIALES</t>
  </si>
  <si>
    <t>INGRESOS ARTICULOS PARA FIESTAS</t>
  </si>
  <si>
    <t>INGRESOS  REGALOS Y EMPAQUE</t>
  </si>
  <si>
    <t xml:space="preserve">INGRESOS PELUCHES </t>
  </si>
  <si>
    <t>INGRESOS SOUVENIRS Y RECUERDOS</t>
  </si>
  <si>
    <t>INGRESOS PAPELERIA Y OFICINA</t>
  </si>
  <si>
    <t>INGRESOS CUIDADO DEL CABELLO</t>
  </si>
  <si>
    <t>INGRESOS ARTICULOS  Y HERRAMIENTAS DE BELLEZA</t>
  </si>
  <si>
    <t>INGRESOS ACCESORIOS DIVERSOS</t>
  </si>
  <si>
    <t>INGRESOS ROPA Y CALZADO HOMBRE</t>
  </si>
  <si>
    <t>INGRESOS JUGUETES PARA EXTERIOR</t>
  </si>
  <si>
    <t>INGRESOS JUGUETERIA VARIADA NIÑOS</t>
  </si>
  <si>
    <t>INGRESOS ACCESORIOS Y JUGUETES MASCOTAS</t>
  </si>
  <si>
    <t>INGRESOS HERRAMIENTAS MANUALES</t>
  </si>
  <si>
    <t>INGRESOS MATERIALES ELECTRICOS, ILUMINACION Y ACCESORIOS</t>
  </si>
  <si>
    <t>INGRESOS FERRETERIA GENERAL</t>
  </si>
  <si>
    <t>INGRESOS ARTICULOS DEPORTIVOS Y DE CAMPING</t>
  </si>
  <si>
    <t>Materiales y Mercancias de Uso</t>
  </si>
  <si>
    <t>Devoluciones en Ventas</t>
  </si>
  <si>
    <t>Ingresos Servicios de Etiquetado y Codificacion</t>
  </si>
  <si>
    <t>Ingresos Servicios Fix</t>
  </si>
  <si>
    <t>Delivery</t>
  </si>
  <si>
    <t>CANGURO CARGO</t>
  </si>
  <si>
    <t>ACCESORIOS</t>
  </si>
  <si>
    <t xml:space="preserve"> ACRILICOS Y CASES</t>
  </si>
  <si>
    <t>AUDIFONOS</t>
  </si>
  <si>
    <t>CANGURO HOME</t>
  </si>
  <si>
    <t>CARGADORES Y CABLES</t>
  </si>
  <si>
    <t>CASCOS</t>
  </si>
  <si>
    <t>EQUIPOS DE AUDIO</t>
  </si>
  <si>
    <t>EQUIPOS ELECTRONICOS</t>
  </si>
  <si>
    <t>EQUIPOS Y HERRAMIENTAS FIX</t>
  </si>
  <si>
    <t>LENTES</t>
  </si>
  <si>
    <t xml:space="preserve"> PROTECTORES DE PANTALLA</t>
  </si>
  <si>
    <t>VASOS</t>
  </si>
  <si>
    <t>VIDEO JUEGOS Y ACCESORIOS</t>
  </si>
  <si>
    <t xml:space="preserve"> BATERIAS</t>
  </si>
  <si>
    <t xml:space="preserve"> IC-CIRCUITOS INTEGRADOS Y STENCIL</t>
  </si>
  <si>
    <t xml:space="preserve"> MICAS</t>
  </si>
  <si>
    <t xml:space="preserve"> MICROPIEZAS</t>
  </si>
  <si>
    <t xml:space="preserve"> PANTALLAS</t>
  </si>
  <si>
    <t xml:space="preserve"> TACTILES</t>
  </si>
  <si>
    <t xml:space="preserve"> TAPAS TRASERAS</t>
  </si>
  <si>
    <t>TELEFONIA</t>
  </si>
  <si>
    <t>SMARTWATCHES Y ACCESORIOS</t>
  </si>
  <si>
    <t>TARJETAS</t>
  </si>
  <si>
    <t>JUGUETES Y JUEGOS</t>
  </si>
  <si>
    <t>SNACKS Y DULCES</t>
  </si>
  <si>
    <t>CHOCOLATES</t>
  </si>
  <si>
    <t>TORTAS Y PONQUES</t>
  </si>
  <si>
    <t xml:space="preserve"> MUEBLES Y ORGANIZADORES</t>
  </si>
  <si>
    <t xml:space="preserve"> DECORACION HOGAR</t>
  </si>
  <si>
    <t xml:space="preserve"> ENSERES DE COCINA</t>
  </si>
  <si>
    <t xml:space="preserve"> ARTICULOS DE REPOSTERIA</t>
  </si>
  <si>
    <t xml:space="preserve"> HERRAMIENTAS E INSUMOS DE LIMPIEZA</t>
  </si>
  <si>
    <t xml:space="preserve"> ELECTRODOMESTICOS MENORES</t>
  </si>
  <si>
    <t xml:space="preserve"> ACCESORIOS DE USO FRECUENTE</t>
  </si>
  <si>
    <t xml:space="preserve"> CARNAVAL Y FIESTAS TEMATICAS</t>
  </si>
  <si>
    <t xml:space="preserve"> CELEBRACIONES ESPECIALES</t>
  </si>
  <si>
    <t xml:space="preserve"> ARTICULOS PARA FIESTAS</t>
  </si>
  <si>
    <t>ARTICULOS PARA REGALOS Y EMPAQUE</t>
  </si>
  <si>
    <t xml:space="preserve"> PELUCHES </t>
  </si>
  <si>
    <t xml:space="preserve"> SOUVENIRS Y RECUERDOS</t>
  </si>
  <si>
    <t xml:space="preserve"> PAPELERIA Y OFICINA</t>
  </si>
  <si>
    <t xml:space="preserve"> CUIDADO DEL CABELLO</t>
  </si>
  <si>
    <t xml:space="preserve"> ARTICULOS Y HERRAMIENTAS DE BELLEZA</t>
  </si>
  <si>
    <t xml:space="preserve"> ACCESORIOS DIVERSOS</t>
  </si>
  <si>
    <t>ROPA Y CALZADO HOMBRE</t>
  </si>
  <si>
    <t xml:space="preserve"> JUGUETES PARA EXTERIOR</t>
  </si>
  <si>
    <t xml:space="preserve"> JUGUETERIA VARIADA NIÑOS</t>
  </si>
  <si>
    <t xml:space="preserve"> ACCESORIOS Y JUGUETES MASCOTAS</t>
  </si>
  <si>
    <t xml:space="preserve"> HERRAMIENTAS MANUALES</t>
  </si>
  <si>
    <t>MATERIALES ELECTRICOS, ILUMINACION Y ACCESORIOS</t>
  </si>
  <si>
    <t xml:space="preserve"> FERRETERIA GENERAL</t>
  </si>
  <si>
    <t xml:space="preserve"> ARTICULOS DEPORTIVOS Y DE CAMPING</t>
  </si>
  <si>
    <t>Sueldos</t>
  </si>
  <si>
    <t>Gastos Nomina Vacaciones</t>
  </si>
  <si>
    <t>Ayuda Transporte</t>
  </si>
  <si>
    <t>Gastos Nomina Liquidacion</t>
  </si>
  <si>
    <t>Gastos Nomina Domingos y Feriados</t>
  </si>
  <si>
    <t>Pagos cesta tickets</t>
  </si>
  <si>
    <t>Gastos Bono Nocturno</t>
  </si>
  <si>
    <t>Aportes al Seguro Social Obligatorio</t>
  </si>
  <si>
    <t>Aportes a Regimen Prestacional Vivienda y Habitat</t>
  </si>
  <si>
    <t>Aportes a INCE</t>
  </si>
  <si>
    <t>Gastos complemento Variable</t>
  </si>
  <si>
    <t>Gastos Nomina FIX Complementaria</t>
  </si>
  <si>
    <t>Gastos Nomina Complementaria de Alimentacion</t>
  </si>
  <si>
    <t>Gastos Nomina Liquidación Complemento</t>
  </si>
  <si>
    <t>Viaticos</t>
  </si>
  <si>
    <t>Cursos y Capacitaciones</t>
  </si>
  <si>
    <t>Gastos médicos</t>
  </si>
  <si>
    <t>Seguros HCM</t>
  </si>
  <si>
    <t>Seguros Accidentes Personales</t>
  </si>
  <si>
    <t>Viaticos RRHH</t>
  </si>
  <si>
    <t>Asesoría técnica</t>
  </si>
  <si>
    <t>Otros honorarios</t>
  </si>
  <si>
    <t>Municipales</t>
  </si>
  <si>
    <t>Arrendamiento oficinas Administrativas VEN</t>
  </si>
  <si>
    <t>Arrendamiento Sede Comercial</t>
  </si>
  <si>
    <t>Otros Arrendamientos</t>
  </si>
  <si>
    <t>Arrendamientos bienes Inmuebles</t>
  </si>
  <si>
    <t>Mantenimientos bienes Inmuebles arrendados</t>
  </si>
  <si>
    <t>Condominios bienes Inmuebles arrendados</t>
  </si>
  <si>
    <t xml:space="preserve">Dotaciones varias </t>
  </si>
  <si>
    <t>La Ley de Protección de las Pensiones de Seguridad Social</t>
  </si>
  <si>
    <t>Ley de Ciencia y Tecnologia (FONACIT</t>
  </si>
  <si>
    <t>Servicio de Alarmas</t>
  </si>
  <si>
    <t>Flota y Equipo de Transporte</t>
  </si>
  <si>
    <t>Otros Seguros</t>
  </si>
  <si>
    <t>Seguros latitud</t>
  </si>
  <si>
    <t>Aseo</t>
  </si>
  <si>
    <t>Vigilancia</t>
  </si>
  <si>
    <t>Agua Potable y Saneamiento</t>
  </si>
  <si>
    <t>Teléfono y Lineas Corporativas (POST PAGO)</t>
  </si>
  <si>
    <t>Internet</t>
  </si>
  <si>
    <t>Energia Electrica</t>
  </si>
  <si>
    <t>Correos y Valijas</t>
  </si>
  <si>
    <t>Transporte de personal</t>
  </si>
  <si>
    <t xml:space="preserve"> Transporte y  fletes</t>
  </si>
  <si>
    <t>Gasolina</t>
  </si>
  <si>
    <t>Gasoil</t>
  </si>
  <si>
    <t>Servicios de Personal no relacionado</t>
  </si>
  <si>
    <t>Condominio</t>
  </si>
  <si>
    <t>Publicidad y Promocion</t>
  </si>
  <si>
    <t>Redes Sociales</t>
  </si>
  <si>
    <t>Eventos CANGURO</t>
  </si>
  <si>
    <t>Reparaciones y mantenimientos a sedes y otras oficinas</t>
  </si>
  <si>
    <t>Estacionamiento</t>
  </si>
  <si>
    <t>Otros Servicios</t>
  </si>
  <si>
    <t>Servidor</t>
  </si>
  <si>
    <t>Aplicaciones</t>
  </si>
  <si>
    <t>Licencias</t>
  </si>
  <si>
    <t>Licencias y Usuarios ERP</t>
  </si>
  <si>
    <t>Credito de Servidores FIX</t>
  </si>
  <si>
    <t xml:space="preserve">Otros Servicios de Procesamiento </t>
  </si>
  <si>
    <t>Trámites y licencias</t>
  </si>
  <si>
    <t>Otros gastos legales</t>
  </si>
  <si>
    <t>Materiales para la construccion y  remodelaciones</t>
  </si>
  <si>
    <t>Mantenimiento de Flota y equipo de transporte</t>
  </si>
  <si>
    <t>Otros gastos de mantenimiento</t>
  </si>
  <si>
    <t>Mudanza y Remodelaciones mayores</t>
  </si>
  <si>
    <t>Pasajes aéreos</t>
  </si>
  <si>
    <t>Otros gastos de viajes</t>
  </si>
  <si>
    <t>Edificios y Almacenes Depreciacion</t>
  </si>
  <si>
    <t>Mejora en Propiedades Arrendadas</t>
  </si>
  <si>
    <t>Camiones Depreciacion</t>
  </si>
  <si>
    <t>Amortizacion Derechos en Arrendamiento</t>
  </si>
  <si>
    <t>Viaticos China</t>
  </si>
  <si>
    <t>Comisiones y Servicios Bancarios</t>
  </si>
  <si>
    <t>Intereses</t>
  </si>
  <si>
    <t>Comisiones Financiadoras</t>
  </si>
  <si>
    <t>Papeleria, utiles de Oficina y consumibles</t>
  </si>
  <si>
    <t>Elementos de Aseo y Cafetería</t>
  </si>
  <si>
    <t>Material publicitario</t>
  </si>
  <si>
    <t>Mobiliario y equipo de oficinas</t>
  </si>
  <si>
    <t>Equipo y partes electronicas de oficinas</t>
  </si>
  <si>
    <t>Electrodomesticos y otros elementos de equipamiento</t>
  </si>
  <si>
    <t xml:space="preserve">Equipos, materiales e insumos FIX </t>
  </si>
  <si>
    <t>Herramientas para la construccion</t>
  </si>
  <si>
    <t>Otros elementos de consumo</t>
  </si>
  <si>
    <t>Otras comisiones</t>
  </si>
  <si>
    <t>Otros gastos diversos</t>
  </si>
  <si>
    <t>Insumos</t>
  </si>
  <si>
    <t>Redes y materiales de Conectabilidad</t>
  </si>
  <si>
    <t>OTRAS CONTINGENCIAS E IMPREVISTOS</t>
  </si>
  <si>
    <t>Multas y Sanciones</t>
  </si>
  <si>
    <t xml:space="preserve">Donaciones </t>
  </si>
  <si>
    <t>Perdidas daños fix</t>
  </si>
  <si>
    <t>Perdida por deterioro de Inventarios</t>
  </si>
  <si>
    <t>25 tiendas</t>
  </si>
  <si>
    <t>114 tiendas</t>
  </si>
  <si>
    <t>83 tiendas</t>
  </si>
  <si>
    <t>82 tiendas</t>
  </si>
  <si>
    <t>88 tiendas</t>
  </si>
  <si>
    <t>52 tiendas</t>
  </si>
  <si>
    <t xml:space="preserve">TIENDAS NUEVAS </t>
  </si>
  <si>
    <t>TOTAL RESULTADOS JULIO 2026</t>
  </si>
  <si>
    <t>% resultado  en base a ingresos</t>
  </si>
  <si>
    <t>Materiales, Mantenimiento y Reparaciones</t>
  </si>
  <si>
    <t>Gasto Aplicado Factor de Ingresos</t>
  </si>
  <si>
    <t>17 tiendas</t>
  </si>
  <si>
    <t>30 tiendas</t>
  </si>
  <si>
    <t>123 tiendas</t>
  </si>
  <si>
    <t>69 tiendas</t>
  </si>
  <si>
    <t xml:space="preserve"> </t>
  </si>
  <si>
    <t>35 tiendas</t>
  </si>
  <si>
    <t>170 tiendas</t>
  </si>
  <si>
    <t>103 tiendas</t>
  </si>
  <si>
    <t>89 tiendas</t>
  </si>
  <si>
    <t>RESULTADOS ANTES DE DISTRIBUCION JULIO 2026</t>
  </si>
  <si>
    <t>RESULTADOS DESPUES DE DISTRIBUCION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</si>
</sst>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540A]#,##0.00"/>
    <numFmt numFmtId="165" formatCode="0.00000%"/>
    <numFmt numFmtId="166" formatCode="&quot;$&quot;#,##0.0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17E84"/>
      <name val="Segoe UI"/>
      <family val="2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C00000"/>
      <name val="Arial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4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249977111117893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5B5B5"/>
        <bgColor indexed="64"/>
      </patternFill>
    </fill>
    <fill>
      <patternFill patternType="solid">
        <fgColor rgb="FFFEEBB0"/>
        <bgColor indexed="64"/>
      </patternFill>
    </fill>
    <fill>
      <patternFill patternType="solid">
        <fgColor rgb="FFC1F0C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CCCCCC"/>
      </left>
      <right/>
      <top/>
      <bottom style="thin">
        <color indexed="64"/>
      </bottom>
      <diagonal/>
    </border>
    <border>
      <left/>
      <right style="medium">
        <color rgb="FFCCCCCC"/>
      </right>
      <top/>
      <bottom style="thin">
        <color indexed="64"/>
      </bottom>
      <diagonal/>
    </border>
    <border>
      <left style="medium">
        <color rgb="FFCCCCCC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medium">
        <color rgb="FFCCCCCC"/>
      </right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164" fontId="0" fillId="0" borderId="0" xfId="0" applyNumberFormat="1"/>
    <xf numFmtId="164" fontId="1" fillId="4" borderId="0" xfId="0" applyNumberFormat="1" applyFont="1" applyFill="1"/>
    <xf numFmtId="10" fontId="1" fillId="2" borderId="1" xfId="0" applyNumberFormat="1" applyFont="1" applyFill="1" applyBorder="1"/>
    <xf numFmtId="10" fontId="0" fillId="0" borderId="0" xfId="0" applyNumberFormat="1"/>
    <xf numFmtId="0" fontId="1" fillId="4" borderId="0" xfId="0" applyFont="1" applyFill="1"/>
    <xf numFmtId="165" fontId="0" fillId="0" borderId="0" xfId="0" applyNumberFormat="1"/>
    <xf numFmtId="10" fontId="1" fillId="4" borderId="0" xfId="0" applyNumberFormat="1" applyFont="1" applyFill="1"/>
    <xf numFmtId="0" fontId="0" fillId="0" borderId="0" xfId="0" pivotButton="1"/>
    <xf numFmtId="164" fontId="1" fillId="0" borderId="0" xfId="0" applyNumberFormat="1" applyFont="1"/>
    <xf numFmtId="164" fontId="1" fillId="5" borderId="0" xfId="0" applyNumberFormat="1" applyFont="1" applyFill="1"/>
    <xf numFmtId="0" fontId="1" fillId="6" borderId="0" xfId="0" applyFont="1" applyFill="1"/>
    <xf numFmtId="164" fontId="1" fillId="6" borderId="0" xfId="0" applyNumberFormat="1" applyFont="1" applyFill="1"/>
    <xf numFmtId="0" fontId="1" fillId="0" borderId="0" xfId="0" applyFont="1"/>
    <xf numFmtId="0" fontId="0" fillId="7" borderId="0" xfId="0" applyFill="1"/>
    <xf numFmtId="164" fontId="0" fillId="7" borderId="0" xfId="0" applyNumberFormat="1" applyFill="1"/>
    <xf numFmtId="0" fontId="1" fillId="8" borderId="0" xfId="0" applyFont="1" applyFill="1"/>
    <xf numFmtId="0" fontId="1" fillId="8" borderId="1" xfId="0" applyFont="1" applyFill="1" applyBorder="1"/>
    <xf numFmtId="166" fontId="0" fillId="0" borderId="0" xfId="0" applyNumberFormat="1"/>
    <xf numFmtId="4" fontId="2" fillId="0" borderId="0" xfId="0" applyNumberFormat="1" applyFont="1" applyAlignment="1">
      <alignment horizontal="right" vertical="center"/>
    </xf>
    <xf numFmtId="10" fontId="0" fillId="4" borderId="0" xfId="0" applyNumberFormat="1" applyFill="1"/>
    <xf numFmtId="0" fontId="0" fillId="9" borderId="0" xfId="0" applyFill="1"/>
    <xf numFmtId="10" fontId="1" fillId="0" borderId="0" xfId="0" applyNumberFormat="1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left"/>
    </xf>
    <xf numFmtId="164" fontId="0" fillId="11" borderId="0" xfId="0" applyNumberFormat="1" applyFill="1"/>
    <xf numFmtId="164" fontId="1" fillId="3" borderId="0" xfId="0" applyNumberFormat="1" applyFont="1" applyFill="1"/>
    <xf numFmtId="0" fontId="1" fillId="0" borderId="0" xfId="0" applyFont="1" applyAlignment="1">
      <alignment horizontal="center"/>
    </xf>
    <xf numFmtId="164" fontId="1" fillId="0" borderId="1" xfId="0" applyNumberFormat="1" applyFont="1" applyBorder="1" applyAlignment="1">
      <alignment vertical="center" wrapText="1"/>
    </xf>
    <xf numFmtId="16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left"/>
    </xf>
    <xf numFmtId="0" fontId="3" fillId="13" borderId="0" xfId="0" applyFont="1" applyFill="1" applyAlignment="1">
      <alignment horizontal="left"/>
    </xf>
    <xf numFmtId="10" fontId="3" fillId="13" borderId="0" xfId="0" applyNumberFormat="1" applyFont="1" applyFill="1"/>
    <xf numFmtId="164" fontId="3" fillId="13" borderId="0" xfId="0" applyNumberFormat="1" applyFont="1" applyFill="1" applyAlignment="1">
      <alignment horizontal="left"/>
    </xf>
    <xf numFmtId="164" fontId="3" fillId="13" borderId="0" xfId="0" applyNumberFormat="1" applyFont="1" applyFill="1"/>
    <xf numFmtId="0" fontId="3" fillId="14" borderId="1" xfId="0" applyFont="1" applyFill="1" applyBorder="1" applyAlignment="1">
      <alignment vertical="center" wrapText="1"/>
    </xf>
    <xf numFmtId="165" fontId="3" fillId="13" borderId="0" xfId="0" applyNumberFormat="1" applyFont="1" applyFill="1"/>
    <xf numFmtId="10" fontId="3" fillId="13" borderId="0" xfId="0" applyNumberFormat="1" applyFont="1" applyFill="1" applyAlignment="1">
      <alignment horizontal="left"/>
    </xf>
    <xf numFmtId="0" fontId="1" fillId="12" borderId="0" xfId="0" applyFont="1" applyFill="1" applyAlignment="1">
      <alignment horizontal="left"/>
    </xf>
    <xf numFmtId="0" fontId="1" fillId="10" borderId="0" xfId="0" applyFont="1" applyFill="1"/>
    <xf numFmtId="164" fontId="1" fillId="10" borderId="0" xfId="0" applyNumberFormat="1" applyFont="1" applyFill="1"/>
    <xf numFmtId="0" fontId="1" fillId="12" borderId="0" xfId="0" applyFont="1" applyFill="1"/>
    <xf numFmtId="164" fontId="1" fillId="12" borderId="0" xfId="0" applyNumberFormat="1" applyFont="1" applyFill="1"/>
    <xf numFmtId="165" fontId="1" fillId="0" borderId="0" xfId="0" applyNumberFormat="1" applyFont="1"/>
    <xf numFmtId="0" fontId="7" fillId="14" borderId="1" xfId="0" applyFont="1" applyFill="1" applyBorder="1" applyAlignment="1">
      <alignment wrapText="1"/>
    </xf>
    <xf numFmtId="0" fontId="7" fillId="13" borderId="1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vertical="center" wrapText="1"/>
    </xf>
    <xf numFmtId="0" fontId="7" fillId="14" borderId="1" xfId="0" applyFont="1" applyFill="1" applyBorder="1" applyAlignment="1">
      <alignment vertical="center" wrapText="1"/>
    </xf>
    <xf numFmtId="164" fontId="3" fillId="14" borderId="1" xfId="0" applyNumberFormat="1" applyFont="1" applyFill="1" applyBorder="1" applyAlignment="1">
      <alignment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5" borderId="0" xfId="0" applyFont="1" applyFill="1"/>
    <xf numFmtId="0" fontId="1" fillId="3" borderId="0" xfId="0" applyFont="1" applyFill="1"/>
    <xf numFmtId="164" fontId="0" fillId="15" borderId="0" xfId="0" applyNumberFormat="1" applyFill="1"/>
    <xf numFmtId="164" fontId="0" fillId="16" borderId="0" xfId="0" applyNumberFormat="1" applyFill="1"/>
    <xf numFmtId="0" fontId="3" fillId="14" borderId="1" xfId="0" applyFont="1" applyFill="1" applyBorder="1"/>
    <xf numFmtId="0" fontId="6" fillId="15" borderId="2" xfId="0" applyFont="1" applyFill="1" applyBorder="1" applyAlignment="1">
      <alignment horizontal="left"/>
    </xf>
    <xf numFmtId="0" fontId="6" fillId="15" borderId="3" xfId="0" applyFont="1" applyFill="1" applyBorder="1" applyAlignment="1">
      <alignment horizontal="left"/>
    </xf>
    <xf numFmtId="0" fontId="6" fillId="15" borderId="4" xfId="0" applyFont="1" applyFill="1" applyBorder="1" applyAlignment="1">
      <alignment horizontal="left"/>
    </xf>
    <xf numFmtId="0" fontId="6" fillId="15" borderId="5" xfId="0" applyFont="1" applyFill="1" applyBorder="1" applyAlignment="1">
      <alignment horizontal="left"/>
    </xf>
    <xf numFmtId="164" fontId="6" fillId="15" borderId="6" xfId="0" applyNumberFormat="1" applyFont="1" applyFill="1" applyBorder="1"/>
    <xf numFmtId="164" fontId="6" fillId="15" borderId="7" xfId="0" applyNumberFormat="1" applyFont="1" applyFill="1" applyBorder="1"/>
    <xf numFmtId="164" fontId="3" fillId="13" borderId="0" xfId="0" applyNumberFormat="1" applyFont="1" applyFill="1" applyAlignment="1">
      <alignment horizontal="right"/>
    </xf>
    <xf numFmtId="0" fontId="1" fillId="15" borderId="0" xfId="0" applyFont="1" applyFill="1"/>
    <xf numFmtId="164" fontId="1" fillId="15" borderId="0" xfId="0" applyNumberFormat="1" applyFont="1" applyFill="1"/>
    <xf numFmtId="10" fontId="1" fillId="15" borderId="0" xfId="0" applyNumberFormat="1" applyFont="1" applyFill="1"/>
    <xf numFmtId="0" fontId="5" fillId="13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8" fillId="17" borderId="0" xfId="0" applyFont="1" applyFill="1" applyAlignment="1">
      <alignment wrapText="1"/>
    </xf>
    <xf numFmtId="0" fontId="1" fillId="18" borderId="0" xfId="0" applyFont="1" applyFill="1" applyAlignment="1">
      <alignment wrapText="1"/>
    </xf>
    <xf numFmtId="0" fontId="1" fillId="19" borderId="0" xfId="0" applyFont="1" applyFill="1" applyAlignment="1">
      <alignment wrapText="1"/>
    </xf>
    <xf numFmtId="0" fontId="1" fillId="0" borderId="0" xfId="0" applyFont="1" applyAlignment="1">
      <alignment horizontal="right" wrapText="1"/>
    </xf>
    <xf numFmtId="0" fontId="10" fillId="0" borderId="0" xfId="0" applyFont="1" applyAlignment="1">
      <alignment wrapText="1"/>
    </xf>
    <xf numFmtId="0" fontId="11" fillId="17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9" fillId="18" borderId="0" xfId="0" applyFont="1" applyFill="1" applyAlignment="1">
      <alignment wrapText="1"/>
    </xf>
    <xf numFmtId="0" fontId="9" fillId="0" borderId="0" xfId="0" applyFont="1" applyAlignment="1">
      <alignment vertical="center" wrapText="1"/>
    </xf>
    <xf numFmtId="0" fontId="9" fillId="19" borderId="0" xfId="0" applyFont="1" applyFill="1" applyAlignment="1">
      <alignment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" fillId="19" borderId="0" xfId="0" applyNumberFormat="1" applyFont="1" applyFill="1" applyAlignment="1">
      <alignment horizontal="right" wrapText="1"/>
    </xf>
    <xf numFmtId="164" fontId="8" fillId="17" borderId="0" xfId="0" applyNumberFormat="1" applyFont="1" applyFill="1" applyAlignment="1">
      <alignment horizontal="right" vertical="center" wrapText="1"/>
    </xf>
    <xf numFmtId="164" fontId="1" fillId="18" borderId="0" xfId="0" applyNumberFormat="1" applyFont="1" applyFill="1" applyAlignment="1">
      <alignment horizontal="right" wrapText="1"/>
    </xf>
    <xf numFmtId="0" fontId="9" fillId="0" borderId="0" xfId="0" applyFont="1" applyAlignment="1">
      <alignment horizontal="center" vertical="center" wrapText="1"/>
    </xf>
    <xf numFmtId="10" fontId="0" fillId="20" borderId="0" xfId="0" applyNumberFormat="1" applyFill="1" applyAlignment="1">
      <alignment horizontal="left"/>
    </xf>
    <xf numFmtId="164" fontId="0" fillId="21" borderId="0" xfId="0" applyNumberFormat="1" applyFill="1"/>
    <xf numFmtId="0" fontId="0" fillId="10" borderId="0" xfId="0" applyFill="1"/>
    <xf numFmtId="164" fontId="0" fillId="10" borderId="0" xfId="0" applyNumberFormat="1" applyFill="1"/>
    <xf numFmtId="0" fontId="3" fillId="22" borderId="0" xfId="0" applyFont="1" applyFill="1"/>
    <xf numFmtId="164" fontId="3" fillId="22" borderId="0" xfId="0" applyNumberFormat="1" applyFont="1" applyFill="1"/>
    <xf numFmtId="0" fontId="12" fillId="0" borderId="0" xfId="0" applyFont="1"/>
    <xf numFmtId="0" fontId="13" fillId="12" borderId="0" xfId="0" applyFont="1" applyFill="1" applyAlignment="1">
      <alignment horizontal="left"/>
    </xf>
    <xf numFmtId="164" fontId="12" fillId="0" borderId="0" xfId="0" applyNumberFormat="1" applyFont="1"/>
    <xf numFmtId="0" fontId="13" fillId="12" borderId="0" xfId="0" applyFont="1" applyFill="1"/>
    <xf numFmtId="164" fontId="13" fillId="12" borderId="0" xfId="0" applyNumberFormat="1" applyFont="1" applyFill="1"/>
    <xf numFmtId="166" fontId="0" fillId="0" borderId="0" xfId="0" applyNumberFormat="1" applyAlignment="1">
      <alignment horizontal="left"/>
    </xf>
    <xf numFmtId="0" fontId="1" fillId="12" borderId="0" xfId="0" applyFont="1" applyFill="1" applyAlignment="1">
      <alignment horizontal="center" vertical="center"/>
    </xf>
    <xf numFmtId="164" fontId="0" fillId="23" borderId="0" xfId="0" applyNumberFormat="1" applyFill="1"/>
    <xf numFmtId="10" fontId="0" fillId="0" borderId="0" xfId="0" applyNumberFormat="1" applyAlignment="1">
      <alignment horizontal="left"/>
    </xf>
    <xf numFmtId="164" fontId="8" fillId="17" borderId="0" xfId="0" applyNumberFormat="1" applyFont="1" applyFill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164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24" borderId="0" xfId="0" applyNumberFormat="1" applyFont="1" applyFill="1"/>
    <xf numFmtId="10" fontId="1" fillId="24" borderId="0" xfId="0" applyNumberFormat="1" applyFont="1" applyFill="1"/>
    <xf numFmtId="0" fontId="1" fillId="0" borderId="0" xfId="0" applyFont="1" applyAlignment="1">
      <alignment wrapText="1"/>
    </xf>
    <xf numFmtId="0" fontId="3" fillId="14" borderId="1" xfId="0" applyFont="1" applyFill="1" applyBorder="1" applyAlignment="1">
      <alignment horizontal="center" vertical="center" wrapText="1"/>
    </xf>
    <xf numFmtId="164" fontId="5" fillId="13" borderId="0" xfId="0" applyNumberFormat="1" applyFont="1" applyFill="1" applyAlignment="1">
      <alignment vertical="center" wrapText="1"/>
    </xf>
    <xf numFmtId="0" fontId="1" fillId="12" borderId="0" xfId="0" applyFont="1" applyFill="1" applyAlignment="1">
      <alignment vertical="center"/>
    </xf>
    <xf numFmtId="10" fontId="0" fillId="20" borderId="0" xfId="0" applyNumberFormat="1" applyFill="1"/>
    <xf numFmtId="0" fontId="1" fillId="0" borderId="8" xfId="0" applyFont="1" applyBorder="1" applyAlignment="1">
      <alignment horizont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12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3" fillId="22" borderId="0" xfId="0" applyFont="1" applyFill="1" applyAlignment="1">
      <alignment horizontal="center"/>
    </xf>
    <xf numFmtId="0" fontId="7" fillId="22" borderId="0" xfId="0" applyFont="1" applyFill="1" applyAlignment="1">
      <alignment horizontal="center"/>
    </xf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EBB0"/>
      <color rgb="FFF5B5B5"/>
      <color rgb="FFFFEDB3"/>
      <color rgb="FFFFE9A3"/>
      <color rgb="FFFFE389"/>
      <color rgb="FFFFC1C1"/>
      <color rgb="FFFDCBCB"/>
      <color rgb="FFCC3300"/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chelle Valentina" id="{4851483C-F0D6-4EE5-A3C1-1A8DC853744A}" userId="Michelle Valentina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dryn Guzman" refreshedDate="46076.630499189814" createdVersion="8" refreshedVersion="8" minRefreshableVersion="3" recordCount="214" xr:uid="{FA403875-3538-424F-9BDF-52314B3CD272}">
  <cacheSource type="worksheet">
    <worksheetSource ref="AB97:AB108" sheet="RSM JULIO"/>
  </cacheSource>
  <cacheFields count="11">
    <cacheField name="Centro de Costo" numFmtId="0">
      <sharedItems containsBlank="1" count="426">
        <s v="[ ACB ] - AV LIBERTADOR CIUDAD BOLIVAR (100.0%)"/>
        <s v="[ ACG ] - ACHAGUAS (100.0%)"/>
        <s v="[ ACO ] - ANACO (100.0%)"/>
        <s v="[ ADO ] - ALTAGRACIA DEL ORITUCO (100.0%)"/>
        <s v="[ ANT ] - ANTIMANO (100.0%)"/>
        <s v="[ APU ] - APURE (100.0%)"/>
        <s v="[ ARB ] - ARAGUA DE BARCELONA (100.0%)"/>
        <s v="[ ARO - INT ] - AEROPUERTO INTERNACIONAL (100.0%)"/>
        <s v="[ ARO - NAC ] - AEROPUERTO NACIONAL (100.0%)"/>
        <s v="[ AVM ] - AVENIDA MARIÃ‘O (100.0%)"/>
        <s v="[ BAC ] - BUENOS AIRES CANGURO (100.0%)"/>
        <s v="[ BCC ] - BISCUCUY (100.0%)"/>
        <s v="[ BCD ] - BARINAS CC DORADO (100.0%)"/>
        <s v="[ BCN ] - BARCELONA (100.0%)"/>
        <s v="[ BCO ] - BOCONÃ“ (100.0%)"/>
        <s v="[ BJM ] - BEJUMA (100.0%)"/>
        <s v="[ BNS ] - BARINAS SHOP (100.0%)"/>
        <s v="[ BRC ] - BARRANCAS (100.0%)"/>
        <s v="[ BTA ] - BARUTA (100.0%)"/>
        <s v="[ BVC ] - BAZAR VALENCIA CANGURO (100.0%)"/>
        <s v="[ BZC ] - BAZAR 4 (100.0%)"/>
        <s v="[ BZD ] - BAZAR 2 (100.0%)"/>
        <s v="[ BZT ] - BAZAR 3 (100.0%)"/>
        <s v="[ BZU ] - BAZAR 1 (100.0%)"/>
        <s v="[ CAG ] - CAGUA (100.0%)"/>
        <s v="[ CAT ] - CATIA (100.0%)"/>
        <s v="[ CBM ] - CABIMAS (100.0%)"/>
        <s v="[ CBQ ] - CHABASQUEN (100.0%)"/>
        <s v="[ CBR ] - CABUDARE (100.0%)"/>
        <s v="[ CBV ] - CIUDAD BOLIVAR (100.0%)"/>
        <s v="[ CCA ] - CENTRO COMERCIAL AVIADORES (100.0%)"/>
        <s v="[ CCB ] - CALLE CAMEJO BARINAS (100.0%)"/>
        <s v="[ CCO ] - CAICARA DEL ORINOCO (100.0%)"/>
        <s v="[ CCT ] - CC CIUDAD TAMANACO (100.0%)"/>
        <s v="[ CDL ] - LA CANDELARIA (100.0%)"/>
        <s v="[ CDO ] - CEDENO (100.0%)"/>
        <s v="[ CHA ] - CHACAO (100.0%)"/>
        <s v="[ CHC ] - CHICHIRIVICHE (100.0%)"/>
        <s v="[ CHI ] - CHIVACOA (100.0%)"/>
        <s v="[ CHV ] - CHARALLAVE (100.0%)"/>
        <s v="[ CJP ] - CINCO DE JULIO (100.0%)"/>
        <s v="[ CLB ] - CALABOZO (100.0%)"/>
        <s v="[ CLL ] - CALLAO (100.0%)"/>
        <s v="[ CLP ] - CATIA LIFE PHONE (100.0%)"/>
        <s v="[ CMC ] - CUA (100.0%)"/>
        <s v="[ CMO ] - COMERCIO (100.0%)"/>
        <s v="[ CNA ] - CUMANACOA (100.0%)"/>
        <s v="[ COD ] - COSMOS SHOP (100.0%)"/>
        <s v="[ COE ] - SAN CARLOS (100.0%)"/>
        <s v="[ COR ] - CORO (100.0%)"/>
        <s v="[ CPN ] - CARUPANO (100.0%)"/>
        <s v="[ CRP ] - CARIPE (100.0%)"/>
        <s v="[ CRR ] - CARORA (100.0%)"/>
        <s v="[ CRT ] - CARIPITO (100.0%)"/>
        <s v="[ CSZ ] - CAJA SECA ZULIA (100.0%)"/>
        <s v="[ CTA ] - CANTAURA (100.0%)"/>
        <s v="[ CTC ] - CITY 4 (100.0%)"/>
        <s v="[ CTD ] - CITY 2 (100.0%)"/>
        <s v="[ CTL ] - CARTANAL (100.0%)"/>
        <s v="[ CTM ] - CATIA LA MAR (100.0%)"/>
        <s v="[ CTO ] - CEMENTERIO (100.0%)"/>
        <s v="[ CTS ] - CIUDAD TAMANACO SEGUNDO (100.0%)"/>
        <s v="[ CTT ] - CITY 3 (100.0%)"/>
        <s v="[ CTU ] - CITY 1 (100.0%)"/>
        <s v="[ CUA ] - CUMANA SHOP (100.0%)"/>
        <s v="[ CUG ] - CAUCAGUA (100.0%)"/>
        <s v="[ DCA ] - DUACA (100.0%)"/>
        <s v="[ ECJ ] - EL CUJI (100.0%)"/>
        <s v="[ ECM ] ECOMMERCE (100.0%)"/>
        <s v="[ EJD ] - EJIDO (100.0%)"/>
        <s v="[ ELZ ] - ELORZA (100.0%)"/>
        <s v="[ FAM ] - FLOR AMARILLO (100.0%)"/>
        <s v="[ FMD ] - FREEMARKET 2 (100.0%)"/>
        <s v="[ FOR - CHV ] - FORUM CHARALLAVE (100.0%)"/>
        <s v="[ FOR - GTE ] FORUM GUATIRE (100.0%)"/>
        <s v="[ FOR - ISF ] - FORUM IPSFA (100.0%)"/>
        <s v="[ FOR - PRS ] - FORUM PARAISO (100.0%)"/>
        <s v="[ FOR - PZV ] - FORUM PLAZA VENEZUELA (100.0%)"/>
        <s v="[ FRM ] - FREEMARKET (100.0%)"/>
        <s v="[ GCA ] - GUACARA (100.0%)"/>
        <s v="[ GIA ] - GÃœIRIA (100.0%)"/>
        <s v="[ GNO ] - GUANARITO (100.0%)"/>
        <s v="[ GNR ] - GUANARE (100.0%)"/>
        <s v="[ GNT ] - GUANTA (100.0%)"/>
        <s v="[ GPT ] - GUASIPATI (100.0%)"/>
        <s v="[ GRA ] - GUARENAS (100.0%)"/>
        <s v="[ GTE ] - GUATIRE (100.0%)"/>
        <s v="[ GTN ] - GATO NEGRO (100.0%)"/>
        <s v="[ HGT ] - HIGUEROTE (100.0%)"/>
        <s v="[ IGD ] - CALLE IGUALDAD (100.0%)"/>
        <s v="[ LBD ] - LA BANDERA (100.0%)"/>
        <s v="[ LCH ] - LECHERIA (100.0%)"/>
        <s v="[ LLN ] - LLANERO (100.0%)"/>
        <s v="[ LMU ] - LA MARRON 1 (100.0%)"/>
        <s v="[ LPG ] - LA PARAGUA (100.0%)"/>
        <s v="[ MCQ ] - MACHIQUES (100.0%)"/>
        <s v="[ MCY ] - MARACAY (100.0%)"/>
        <s v="[ MDB ] - MINAS DE BARUTA (100.0%)"/>
        <s v="[ MEC ] - MARACAY ESTACION CENTRAL (100.0%)"/>
        <s v="[ MGT ] - MARGARITA SHOP (100.0%)"/>
        <s v="[ MGZ ] - MENE GRANDE ZULIA (100.0%)"/>
        <s v="[ MID ] - MÃ‰RIDA SHOP (100.0%)"/>
        <s v="[ MJN ] - MOJAN (100.0%)"/>
        <s v="[ MKD ] - MACROCENTRO 2 SHOP (100.0%)"/>
        <s v="[ MKU ] - MACROCENTRO 1 (100.0%)"/>
        <s v="[ MNT ] - MONAY TRUJILLO (100.0%)"/>
        <s v="[ MOC ] - CANGURO MOVIL (100.0%)"/>
        <s v="[ MPC ] - MARKET PLACE CANGURO (100.0%)"/>
        <s v="[ MRN ] - MORON (100.0%)"/>
        <s v="[ MTC ] - MANTECAL (100.0%)"/>
        <s v="[ MTP ] - METROPOLIS (100.0%)"/>
        <s v="[ MUN ] - MATURIN SHOP (100.0%)"/>
        <s v="[ MVT - BVT ] MOVISTAR BELLA VISTA  (100.0%)"/>
        <s v="[ MVT - CCT ] - MOVISTAR CIUDAD TAMANACO (100.0%)"/>
        <s v="[ MVT - GRZ ] MOVISTAR LAS GARZAS (100.0%)"/>
        <s v="[ MVT - LNS ] MOVISTAR LOS LEONES (100.0%)"/>
        <s v="[ MVT - LVÃ‘ ] MOVISTAR LA VIÃ‘A (100.0%)"/>
        <s v="[ MVT - PCC ] - MOVISTAR PARQUE CENTRAL CANAIMA (100.0%)"/>
        <s v="[ MVT - SCB ] MOVISTAR SAN CRISTÃ“BAL (100.0%)"/>
        <s v="[ MVT- LDC ] MOVISTAR LAS DELICIAS  (100.0%)"/>
        <s v="[ NGA ] - NIRGUA (100.0%)"/>
        <s v="[ NGT ] - NAIGUATA (100.0%)"/>
        <s v="[ OCT ] - OCUMARE DEL TUY (100.0%)"/>
        <s v="[ ODA ] - CIUDAD OJEDA (100.0%)"/>
        <s v="[ OPO ] - OSPINO (100.0%)"/>
        <s v="[ ORK ] - ORINOKIA (100.0%)"/>
        <s v="[ PDB ] - PEDRAZA (100.0%)"/>
        <s v="[ PDM ] - PUNTA DE MATA (100.0%)"/>
        <s v="[ PDV - GCA ] - PDVSA GUACARA (100.0%)"/>
        <s v="[ PDV - GUO ] - PDVSA GUARAGUO (100.0%)"/>
        <s v="[ PDV - LCP ] - PDVSA LA CAMPIÃ‘A (100.0%)"/>
        <s v="[ PDV - LGN ] - PDVSA LAGUNA (100.0%)"/>
        <s v="[ PDV - MUN ] - PDVSA MATURIN (100.0%)"/>
        <s v="[ PDV - ODA ] - PDVSA CIUDAD OJEDA (100.0%)"/>
        <s v="[ PDV - PCD ] - PDVSA PETROCEDEÃ‘O (100.0%)"/>
        <s v="[ PDV - PT ] - PDVSA PETROPIAR (100.0%)"/>
        <s v="[ PDV - STM ] - PDVSA SANTOME (100.0%)"/>
        <s v="[ PDV - ZUL ] - PDVSA ZULIA (100.0%)"/>
        <s v="[ PFO ] - PUNTO FIJO (100.0%)"/>
        <s v="[ PLN ] - PALO NEGRO (100.0%)"/>
        <s v="[ PLS ] - PUERTO LA CRUZ SHOP (100.0%)"/>
        <s v="[ PML ] - PLAZA MAYOR LECHERIA (100.0%)"/>
        <s v="[ PPT ] - PROPATRIA (100.0%)"/>
        <s v="[ PRG ] - PARIAGUAN (100.0%)"/>
        <s v="[ PRT ] - PUERTO PIRITU (100.0%)"/>
        <s v="[ PSA ] - ACARIGUA (100.0%)"/>
        <s v="[ PTA ] - PUERTO AYACUCHO (100.0%)"/>
        <s v="[ PTC ] - PUERTO CABELLO (100.0%)"/>
        <s v="[ PTT ] - PETARE 3 (100.0%)"/>
        <s v="[ PTU ] - PETARE 1 (100.0%)"/>
        <s v="[ QBR ] - QUIBOR (100.0%)"/>
        <s v="[ QTC ] - QUINTA CRESPO (100.0%)"/>
        <s v="[ RCO ] - RIO CHICO (100.0%)"/>
        <s v="[ SAM - CDL ] - SAMBIL CANDELARIA (100.0%)"/>
        <s v="[ SAM - CHA ] - SAMBIL CHACAO (100.0%)"/>
        <s v="[ SAM - LAR ] - SAMBIL LARA (100.0%)"/>
        <s v="[ SAM - MGT ] - SAMBIL MARGARITA (100.0%)"/>
        <s v="[ SAM - PFO ] - SAMBIL PUNTO FIJO (100.0%)"/>
        <s v="[ SAM - VLC ] - SAMBIL VALENCIA (100.0%)"/>
        <s v="[ SAM - ZUL ] - SAMBIL ZULIA (100.0%)"/>
        <s v="[ SBB ] - SANTA BARBARA (100.0%)"/>
        <s v="[ SBC ] - SABANA CITY (100.0%)"/>
        <s v="[ SBO ] - EL SOMBRERO (100.0%)"/>
        <s v="[ SCC ] - CANGURO SELLCENTER (100.0%)"/>
        <s v="[ SCM ] - SANÂ CASIMIRO (100.0%)"/>
        <s v="[ SCP ] - SOCOPO (100.0%)"/>
        <s v="[ SEU ] - SANTA ELENA DE UAIREN (100.0%)"/>
        <s v="[ SFX ] - SAN FELIX (100.0%)"/>
        <s v="[ SGO ] - SABANA GRANDE OUTLET (100.0%)"/>
        <s v="[ SJM ] - SAN JUAN DE LOS MORROS (100.0%)"/>
        <s v="[ SMT ] - SABANA MENDOZA (100.0%)"/>
        <s v="[ SMZ ] - SIERRA MAESTRA (100.0%)"/>
        <s v="[ SNR ] - SANARE (100.0%)"/>
        <s v="[ SNT ] - SABANETA (100.0%)"/>
        <s v="[ SRO ] - SAN RAFAEL DE ONOTO (100.0%)"/>
        <s v="[ STL ] - SANTA LUCIA (100.0%)"/>
        <s v="[ STR ] - SANTA RITA ARAGUA (100.0%)"/>
        <s v="[ STT ] - SANTA TERESA DEL TUY (100.0%)"/>
        <s v="[ TBD ] - TEMBLADOR (100.0%)"/>
        <s v="[ TCC ] - TUCACAS (100.0%)"/>
        <s v="[ TCD ] - TUCUPIDO (100.0%)"/>
        <s v="[ TCO ] - TOCUYO (100.0%)"/>
        <s v="[ TCP ] - TUCUPITA (100.0%)"/>
        <s v="[ TCY ] - TOCUYITO (100.0%)"/>
        <s v="[ TED ] - LOS TEQUES DOS (100.0%)"/>
        <s v="[ TEQ ] - LOS TEQUES SHOP (100.0%)"/>
        <s v="[ TGO ] - EL TIGRITO (100.0%)"/>
        <s v="[ TGR ] - TIGRE SHOP (100.0%)"/>
        <s v="[ THA ] - TACHIRA (100.0%)"/>
        <s v="[ TJL ] - TRUJILLO (100.0%)"/>
        <s v="[ TLG ] - TERMINAL LA GUAIRA (100.0%)"/>
        <s v="[ TMO ] - TURMERO (100.0%)"/>
        <s v="[ TMR ] - TUMEREMO (100.0%)"/>
        <s v="[ TPV ] - TERMINAL PLAZA VENEZUELA (100.0%)"/>
        <s v="[ TQO ] - TINAQUILLO (100.0%)"/>
        <s v="[ TRN ] - TUREN (100.0%)"/>
        <s v="[ TRU ] - VALERA SHOP (100.0%)"/>
        <s v="[ TUR ] - TOVAR (100.0%)"/>
        <s v="[ UNR ] - UNARE (100.0%)"/>
        <s v="[ UPT ] - UPATA (100.0%)"/>
        <s v="[ URD ] - URDANETA SHOP (100.0%)"/>
        <s v="[ URF ] - URDANETA FIX (100.0%)"/>
        <s v="[ VAR ] - LA GUAIRA (100.0%)"/>
        <s v="[ VDC ] - VILLA DE CURA (100.0%)"/>
        <s v="[ VDP ] - VALLE DE LA PASCUA (100.0%)"/>
        <s v="[ VGA ] - LA VEGA (100.0%)"/>
        <s v="[ VIG ] - VIGIA (100.0%)"/>
        <s v="[ VLL ] - EL VALLE (100.0%)"/>
        <s v="[ VTA ] - LA VICTORIA (100.0%)"/>
        <s v="[ YAR ] - SAN FELIPE (100.0%)"/>
        <s v="[ YTG ] - YARITAGUA (100.0%)"/>
        <s v="[ ZAR ] - ZARAZA (100.0%)"/>
        <m/>
        <s v="TOTAL TIENDAS"/>
        <s v="[ GBZ ] - GRAN BAZAR 5 ZULIA (100.0%)" u="1"/>
        <s v="[ ACG ] - ACHAGUAS" u="1"/>
        <s v="[ ACO ] - ANACO" u="1"/>
        <s v="[ ADO ] - ALTAGRACIA DEL ORITUCO" u="1"/>
        <s v="[ ANT ] - ANTIMANO" u="1"/>
        <s v="[ APU ] - APURE" u="1"/>
        <s v="[ ARO - INT ] - AEROPUERTO INTERNACIONAL" u="1"/>
        <s v="[ ARO - NAC ] - AEROPUERTO NACIONAL" u="1"/>
        <s v="[ ARY ] - AROA YARACUY" u="1"/>
        <s v="[ AVM ] - AVENIDA MARIÃ‘O" u="1"/>
        <s v="[ BAC ] - BUENOS AIRES CANGURO" u="1"/>
        <s v="[ BCC ] - BISCUCUY" u="1"/>
        <s v="[ BCD ] - BARINAS CC DORADO" u="1"/>
        <s v="[ BCN ] - BARCELONA" u="1"/>
        <s v="[ BCO ] - BOCONÃ“" u="1"/>
        <s v="[ BJM ] - BEJUMA" u="1"/>
        <s v="[ BNS ] - BARINAS SHOP" u="1"/>
        <s v="[ BRC ] - BARRANCAS" u="1"/>
        <s v="[ BTA ] - BARUTA" u="1"/>
        <s v="[ BVC ] - BAZAR VALENCIA CANGURO" u="1"/>
        <s v="[ BZC ] - BAZAR 4" u="1"/>
        <s v="[ BZD ] - BAZAR 2" u="1"/>
        <s v="[ BZT ] - BAZAR 3" u="1"/>
        <s v="[ BZU ] - BAZAR 1" u="1"/>
        <s v="[ CAG ] - CAGUA" u="1"/>
        <s v="[ CAT ] - CATIA" u="1"/>
        <s v="[ CBM ] - CABIMAS" u="1"/>
        <s v="[ CBQ ] - CHABASQUEN" u="1"/>
        <s v="[ CBR ] - CABUDARE" u="1"/>
        <s v="[ CBV ] - CIUDAD BOLIVAR" u="1"/>
        <s v="[ CCB ] - CALLE CAMEJO BARINAS" u="1"/>
        <s v="[ CCO ] - CAICARA DEL ORINOCO" u="1"/>
        <s v="[ CCT ] - CC CIUDAD TAMANACO" u="1"/>
        <s v="[ CDL ] - LA CANDELARIA" u="1"/>
        <s v="[ CDO ] - CEDENO" u="1"/>
        <s v="[ CHA ] - CHACAO" u="1"/>
        <s v="[ CHC ] - CHICHIRIVICHE" u="1"/>
        <s v="[ CHI ] - CHIVACOA" u="1"/>
        <s v="[ CHV ] - CHARALLAVE" u="1"/>
        <s v="[ CJP ] - CINCO DE JULIO" u="1"/>
        <s v="[ CLB ] - CALABOZO" u="1"/>
        <s v="[ CLL ] - CALLAO" u="1"/>
        <s v="[ CLP ] - CATIA LIFE PHONE" u="1"/>
        <s v="[ CMC ] - CUA" u="1"/>
        <s v="[ CMO ] - COMERCIO" u="1"/>
        <s v="[ CNA ] - CUMANACOA" u="1"/>
        <s v="[ COD ] - COSMOS SHOP" u="1"/>
        <s v="[ COE ] - SAN CARLOS" u="1"/>
        <s v="[ COR ] - CORO" u="1"/>
        <s v="[ CPN ] - CARUPANO" u="1"/>
        <s v="[ CRP ] - CARIPE" u="1"/>
        <s v="[ CRR ] - CARORA" u="1"/>
        <s v="[ CRT ] - CARIPITO" u="1"/>
        <s v="[ CSZ ] - CAJA SECA ZULIA" u="1"/>
        <s v="[ CTA ] - CANTAURA" u="1"/>
        <s v="[ CTC ] - CITY 4" u="1"/>
        <s v="[ CTD ] - CITY 2" u="1"/>
        <s v="[ CTL ] - CARTANAL" u="1"/>
        <s v="[ CTM ] - CATIA LA MAR" u="1"/>
        <s v="[ CTO ] - CEMENTERIO" u="1"/>
        <s v="[ CTS ] - CIUDAD TAMANACO SEGUNDO" u="1"/>
        <s v="[ CTT ] - CITY 3" u="1"/>
        <s v="[ CTU ] - CITY 1" u="1"/>
        <s v="[ CUA ] - CUMANA SHOP" u="1"/>
        <s v="[ CUG ] - CAUCAGUA" u="1"/>
        <s v="[ DBJ ] - DABAJURO" u="1"/>
        <s v="[ DCA ] - DUACA" u="1"/>
        <s v="[ ECM ] ECOMMERCE" u="1"/>
        <s v="[ EJD ] - EJIDO" u="1"/>
        <s v="[ ELZ ] - ELORZA" u="1"/>
        <s v="[ FAM ] - FLOR AMARILLO" u="1"/>
        <s v="[ FMD ] - FREEMARKET 2" u="1"/>
        <s v="[ FOR - CHV ] - FORUM CHARALLAVE" u="1"/>
        <s v="[ FOR - GTE ] FORUM GUATIRE" u="1"/>
        <s v="[ FOR - ISF ] - FORUM IPSFA" u="1"/>
        <s v="[ FOR - PRS ] - FORUM PARAISO" u="1"/>
        <s v="[ FOR - PZV ] - FORUM PLAZA VENEZUELA" u="1"/>
        <s v="[ FRM ] - FREEMARKET" u="1"/>
        <s v="[ GCA ] - GUACARA" u="1"/>
        <s v="[ GIA ] - GÃœIRIA" u="1"/>
        <s v="[ GNO ] - GUANARITO" u="1"/>
        <s v="[ GNR ] - GUANARE" u="1"/>
        <s v="[ GNT ] - GUANTA" u="1"/>
        <s v="[ GPT ] - GUASIPATI" u="1"/>
        <s v="[ GRA ] - GUARENAS" u="1"/>
        <s v="[ GTE ] - GUATIRE" u="1"/>
        <s v="[ GTN ] - GATO NEGRO" u="1"/>
        <s v="[ HGT ] - HIGUEROTE" u="1"/>
        <s v="[ IGD ] - CALLE IGUALDAD" u="1"/>
        <s v="[ LBD ] - LA BANDERA" u="1"/>
        <s v="[ LCH ] - LECHERIA" u="1"/>
        <s v="[ LLN ] - LLANERO" u="1"/>
        <s v="[ LMU ] - LA MARRON 1" u="1"/>
        <s v="[ LPG ] - LA PARAGUA" u="1"/>
        <s v="[ MCQ ] - MACHIQUES" u="1"/>
        <s v="[ MCY ] - MARACAY" u="1"/>
        <s v="[ MDB ] - MINAS DE BARUTA" u="1"/>
        <s v="[ MEC ] - MARACAY ESTACION CENTRAL" u="1"/>
        <s v="[ MGT ] - MARGARITA SHOP" u="1"/>
        <s v="[ MGZ ] - MENE GRANDE ZULIA" u="1"/>
        <s v="[ MID ] - MÃ‰RIDA SHOP" u="1"/>
        <s v="[ MJN ] - MOJAN" u="1"/>
        <s v="[ MKD ] - MACROCENTRO 2 SHOP" u="1"/>
        <s v="[ MKU ] - MACROCENTRO 1" u="1"/>
        <s v="[ MOC ] - CANGURO MOVIL" u="1"/>
        <s v="[ MPC ] - MARKET PLACE CANGURO" u="1"/>
        <s v="[ MRN ] - MORON" u="1"/>
        <s v="[ MTC ] - MANTECAL" u="1"/>
        <s v="[ MTP ] - METROPOLIS" u="1"/>
        <s v="[ MUN ] - MATURIN SHOP" u="1"/>
        <s v="[ MVT - BVT ] MOVISTAR BELLA VISTA " u="1"/>
        <s v="[ MVT - CCT ] - MOVISTAR CIUDAD TAMANACO" u="1"/>
        <s v="[ MVT - GRZ ] MOVISTAR LAS GARZAS" u="1"/>
        <s v="[ MVT - LNS ] MOVISTAR LOS LEONES" u="1"/>
        <s v="[ MVT - LVÃ‘ ] MOVISTAR LA VIÃ‘A" u="1"/>
        <s v="[ MVT - PCC ] - MOVISTAR PARQUE CENTRAL CANAIMA" u="1"/>
        <s v="[ MVT - SCB ] MOVISTAR SAN CRISTÃ“BAL" u="1"/>
        <s v="[ MVT- LDC ] MOVISTAR LAS DELICIAS " u="1"/>
        <s v="[ NGA ] - NIRGUA" u="1"/>
        <s v="[ NGT ] - NAIGUATA" u="1"/>
        <s v="[ OCT ] - OCUMARE DEL TUY" u="1"/>
        <s v="[ ODA ] - CIUDAD OJEDA" u="1"/>
        <s v="[ OPO ] - OSPINO" u="1"/>
        <s v="[ ORK ] - ORINOKIA" u="1"/>
        <s v="[ PDB ] - PEDRAZA" u="1"/>
        <s v="[ PDM ] - PUNTA DE MATA" u="1"/>
        <s v="[ PDV - GCA ] - PDVSA GUACARA" u="1"/>
        <s v="[ PDV - GUO ] - PDVSA GUARAGUO" u="1"/>
        <s v="[ PDV - LCP ] - PDVSA LA CAMPIÃ‘A" u="1"/>
        <s v="[ PDV - LGN ] - PDVSA LAGUNA" u="1"/>
        <s v="[ PDV - MUN ] - PDVSA MATURIN" u="1"/>
        <s v="[ PDV - PCD ] - PDVSA PETROCEDEÃ‘O" u="1"/>
        <s v="[ PDV - PT ] - PDVSA PETROPIAR" u="1"/>
        <s v="[ PDV - STM ] - PDVSA SANTOME" u="1"/>
        <s v="[ PDV - ZUL ] - PDVSA ZULIA" u="1"/>
        <s v="[ PFO ] - PUNTO FIJO" u="1"/>
        <s v="[ PLN ] - PALO NEGRO" u="1"/>
        <s v="[ PLS ] - PUERTO LA CRUZ SHOP" u="1"/>
        <s v="[ PML ] - PLAZA MAYOR LECHERIA" u="1"/>
        <s v="[ PPT ] - PROPATRIA" u="1"/>
        <s v="[ PRG ] - PARIAGUAN" u="1"/>
        <s v="[ PRT ] - PUERTO PIRITU" u="1"/>
        <s v="[ PSA ] - ACARIGUA" u="1"/>
        <s v="[ PTA ] - PUERTO AYACUCHO" u="1"/>
        <s v="[ PTC ] - PUERTO CABELLO" u="1"/>
        <s v="[ PTT ] - PETARE 3" u="1"/>
        <s v="[ PTU ] - PETARE 1" u="1"/>
        <s v="[ QBR ] - QUIBOR" u="1"/>
        <s v="[ QTC ] - QUINTA CRESPO" u="1"/>
        <s v="[ RCO ] - RIO CHICO" u="1"/>
        <s v="[ SAM - CDL ] - SAMBIL CANDELARIA" u="1"/>
        <s v="[ SAM - CHA ] - SAMBIL CHACAO" u="1"/>
        <s v="[ SAM - LAR ] - SAMBIL LARA" u="1"/>
        <s v="[ SAM - MGT ] - SAMBIL MARGARITA" u="1"/>
        <s v="[ SAM - PFO ] - SAMBIL PUNTO FIJO" u="1"/>
        <s v="[ SAM - VLC ] - SAMBIL VALENCIA" u="1"/>
        <s v="[ SAM - ZUL ] - SAMBIL ZULIA" u="1"/>
        <s v="[ SBB ] - SANTA BARBARA" u="1"/>
        <s v="[ SBC ] - SABANA CITY" u="1"/>
        <s v="[ SBO ] - EL SOMBRERO" u="1"/>
        <s v="[ SCC ] - CANGURO SELLCENTER" u="1"/>
        <s v="[ SCM ] - SANÂ CASIMIRO" u="1"/>
        <s v="[ SCP ] - SOCOPO" u="1"/>
        <s v="[ SEU ] - SANTA ELENA DE UAIREN" u="1"/>
        <s v="[ SFX ] - SAN FELIX" u="1"/>
        <s v="[ SGO ] - SABANA GRANDE OUTLET" u="1"/>
        <s v="[ SJM ] - SAN JUAN DE LOS MORROS" u="1"/>
        <s v="[ SJQ ] - SAN JOAQUIN" u="1"/>
        <s v="[ SMT ] - SABANA MENDOZA" u="1"/>
        <s v="[ SMZ ] - SIERRA MAESTRA" u="1"/>
        <s v="[ SNR ] - SANARE" u="1"/>
        <s v="[ SNT ] - SABANETA" u="1"/>
        <s v="[ STL ] - SANTA LUCIA" u="1"/>
        <s v="[ STR ] - SANTA RITA ARAGUA" u="1"/>
        <s v="[ STT ] - SANTA TERESA DEL TUY" u="1"/>
        <s v="[ TBD ] - TEMBLADOR" u="1"/>
        <s v="[ TCC ] - TUCACAS" u="1"/>
        <s v="[ TCD ] - TUCUPIDO" u="1"/>
        <s v="[ TCO ] - TOCUYO" u="1"/>
        <s v="[ TCP ] - TUCUPITA" u="1"/>
        <s v="[ TCY ] - TOCUYITO" u="1"/>
        <s v="[ TED ] - LOS TEQUES DOS" u="1"/>
        <s v="[ TEQ ] - LOS TEQUES SHOP" u="1"/>
        <s v="[ TGO ] - EL TIGRITO" u="1"/>
        <s v="[ TGR ] - TIGRE SHOP" u="1"/>
        <s v="[ THA ] - TACHIRA" u="1"/>
        <s v="[ TJL ] - TRUJILLO" u="1"/>
        <s v="[ TLG ] - TERMINAL LA GUAIRA" u="1"/>
        <s v="[ TMO ] - TURMERO" u="1"/>
        <s v="[ TMR ] - TUMEREMO" u="1"/>
        <s v="[ TPV ] - TERMINAL PLAZA VENEZUELA" u="1"/>
        <s v="[ TQO ] - TINAQUILLO" u="1"/>
        <s v="[ TRN ] - TUREN" u="1"/>
        <s v="[ TRU ] - VALERA SHOP" u="1"/>
        <s v="[ UNR ] - UNARE" u="1"/>
        <s v="[ UPT ] - UPATA" u="1"/>
        <s v="[ URD ] - URDANETA SHOP" u="1"/>
        <s v="[ URF ] - URDANETA FIX" u="1"/>
        <s v="[ VAR ] - LA GUAIRA" u="1"/>
        <s v="[ VDC ] - VILLA DE CURA" u="1"/>
        <s v="[ VDP ] - VALLE DE LA PASCUA" u="1"/>
        <s v="[ VGA ] - LA VEGA" u="1"/>
        <s v="[ VIG ] - VIGIA" u="1"/>
        <s v="[ VLL ] - EL VALLE" u="1"/>
        <s v="[ VTA ] - LA VICTORIA" u="1"/>
        <s v="[ YAR ] - SAN FELIPE" u="1"/>
        <s v="[ YTG ] - YARITAGUA" u="1"/>
        <s v="[ ZAR ] - ZARAZA" u="1"/>
        <s v="[ ARY ] - AROA YARACUY (100.0%)" u="1"/>
        <s v="[ DBJ ] - DABAJURO (100.0%)" u="1"/>
        <s v="[ SJQ ] - SAN JOAQUIN (100.0%)" u="1"/>
        <s v="[ GBZ ] - GRAN BAZAR 5 ZULIA" u="1"/>
      </sharedItems>
    </cacheField>
    <cacheField name="Total Gastos" numFmtId="164">
      <sharedItems containsString="0" containsBlank="1" containsNumber="1" minValue="-837.91679999999974" maxValue="1809962.9706000003" count="1061">
        <n v="0"/>
        <n v="3710.0826000000006"/>
        <n v="8926.9090999999989"/>
        <n v="4007.7649999999994"/>
        <n v="4953.7052000000003"/>
        <n v="8243.6856000000007"/>
        <n v="1280.06"/>
        <n v="1300.6474999999998"/>
        <n v="5114.6923999999999"/>
        <n v="4367.5986000000003"/>
        <n v="2812.1097"/>
        <n v="2877.8226999999997"/>
        <n v="9221.4418000000005"/>
        <n v="4770.793999999999"/>
        <n v="3229.9431000000004"/>
        <n v="11920.939800000002"/>
        <n v="2726.7022000000006"/>
        <n v="4412.3079000000007"/>
        <n v="8873.6725999999999"/>
        <n v="3175.0146999999997"/>
        <n v="6402.190599999999"/>
        <n v="3625.6247999999991"/>
        <n v="4308.3310999999994"/>
        <n v="4256.4154000000008"/>
        <n v="12591.489500000003"/>
        <n v="4745.6503000000012"/>
        <n v="3410.2719000000002"/>
        <n v="4005.5963000000006"/>
        <n v="4761.1460999999999"/>
        <n v="12310.892799999998"/>
        <n v="2941.9350999999997"/>
        <n v="4363.3168000000005"/>
        <n v="4817.0900999999985"/>
        <n v="8783.091699999999"/>
        <n v="4292.0171000000009"/>
        <n v="5232.8946000000005"/>
        <n v="1173.6035000000002"/>
        <n v="3480.9109000000003"/>
        <n v="9848.357"/>
        <n v="4807.1869999999999"/>
        <n v="5356.3493999999992"/>
        <n v="9025.8654000000006"/>
        <n v="7681.8180000000002"/>
        <n v="4950.8448000000017"/>
        <n v="7154.0311000000011"/>
        <n v="3940.4513000000006"/>
        <n v="20167.952800000003"/>
        <n v="5933.8024000000005"/>
        <n v="5400.4542999999985"/>
        <n v="8991.5445"/>
        <n v="5268.1636000000008"/>
        <n v="5523.8226000000004"/>
        <n v="5778.7933000000003"/>
        <n v="3620.9410000000003"/>
        <n v="2606.4639999999995"/>
        <n v="312.49979999999999"/>
        <n v="2924.1035999999995"/>
        <n v="3497.7169000000004"/>
        <n v="5158.5051999999987"/>
        <n v="8214.3152999999966"/>
        <n v="5365.4024000000009"/>
        <n v="12720.4197"/>
        <n v="2604.9811"/>
        <n v="6272.7398999999996"/>
        <n v="4604.9153000000006"/>
        <n v="3526.1233000000002"/>
        <n v="2577.59"/>
        <n v="1934.1743000000001"/>
        <n v="2621.3684000000003"/>
        <n v="3304.8839000000003"/>
        <n v="2244.6202999999991"/>
        <n v="2433.6684999999998"/>
        <n v="2706.0539000000003"/>
        <n v="3950.1833000000001"/>
        <n v="2779.1048999999998"/>
        <n v="2072.9969999999998"/>
        <n v="6044.122199999998"/>
        <n v="6020.0696000000007"/>
        <n v="2685.4778000000001"/>
        <n v="6303.9434999999985"/>
        <n v="5263.9643999999998"/>
        <n v="1992.8072999999997"/>
        <n v="3946.3833999999988"/>
        <n v="3886.0248000000001"/>
        <n v="4352.0585999999994"/>
        <n v="6528.7195000000011"/>
        <n v="11957.685899999999"/>
        <n v="5544.9269000000004"/>
        <n v="3696.7380000000003"/>
        <n v="4074.7298999999989"/>
        <n v="5936.0498000000007"/>
        <n v="8019.0051999999996"/>
        <n v="4346.9749999999995"/>
        <n v="8498.0190999999995"/>
        <n v="7086.2856000000002"/>
        <n v="4134.5360999999994"/>
        <n v="2271.2354"/>
        <n v="4856.1212000000005"/>
        <n v="4133.3717999999999"/>
        <n v="4392.4524000000019"/>
        <n v="4062.8688000000006"/>
        <n v="9881.2192999999988"/>
        <n v="4818.8411999999998"/>
        <n v="204.63460000000003"/>
        <n v="9589.6753999999983"/>
        <n v="3575.3854000000006"/>
        <n v="2891.2991999999995"/>
        <n v="5941.6230999999989"/>
        <n v="10337.465100000001"/>
        <n v="505.18959999999998"/>
        <n v="-120.03119999999998"/>
        <n v="945.55469999999991"/>
        <n v="204.43339999999995"/>
        <n v="606.37469999999996"/>
        <n v="1618.7636"/>
        <n v="53.862599999999993"/>
        <n v="552.17549999999994"/>
        <n v="1819.3999999999999"/>
        <n v="3396.2266000000004"/>
        <n v="6471.5995000000003"/>
        <n v="6328.4298000000008"/>
        <n v="2909.2976999999996"/>
        <n v="4936.5410999999995"/>
        <n v="3954.1940999999997"/>
        <n v="4142.4059999999999"/>
        <n v="302.1155"/>
        <n v="412.75"/>
        <n v="644.57420000000013"/>
        <n v="297.62"/>
        <n v="349.58870000000002"/>
        <n v="309"/>
        <n v="310.97000000000003"/>
        <n v="363.02699999999999"/>
        <n v="8684.6855000000014"/>
        <n v="4128.1182999999992"/>
        <n v="9615.4077999999972"/>
        <n v="2685.9860000000008"/>
        <n v="6862.665399999999"/>
        <n v="4211.7501999999995"/>
        <n v="3094.5486999999998"/>
        <n v="6154.9069000000009"/>
        <n v="5093.5461999999998"/>
        <n v="5889.7167999999992"/>
        <n v="9132.0317000000014"/>
        <n v="9651.3003999999983"/>
        <n v="3793.8156999999997"/>
        <n v="2929.3233"/>
        <n v="3170.6986000000002"/>
        <n v="7917.0174000000015"/>
        <n v="8214.2908000000007"/>
        <n v="5840.4925999999996"/>
        <n v="6287.5193999999992"/>
        <n v="3411.9325000000003"/>
        <n v="4204.4165000000003"/>
        <n v="4637.8785000000007"/>
        <n v="2375.4712"/>
        <n v="8543.3698000000022"/>
        <n v="3707.5108"/>
        <n v="57.389999999999993"/>
        <n v="1690.2779"/>
        <n v="3933.2087000000001"/>
        <n v="6667.9426000000003"/>
        <n v="5437.5883999999996"/>
        <n v="7585.3731999999964"/>
        <n v="6022.8410000000013"/>
        <n v="2755.4644999999991"/>
        <n v="3293.4607999999994"/>
        <n v="3108.6596999999997"/>
        <n v="2794.0142000000001"/>
        <n v="524.99"/>
        <n v="2039.8145000000002"/>
        <n v="3210.6998999999992"/>
        <n v="6290.2664000000004"/>
        <n v="3807.8253"/>
        <n v="4125.1781000000001"/>
        <n v="3061.3899000000001"/>
        <n v="2488.4020000000005"/>
        <n v="6908.1339999999991"/>
        <n v="4107.6276999999991"/>
        <n v="10383.527800000002"/>
        <n v="11656.341299999998"/>
        <n v="6846.5487999999996"/>
        <n v="6137.5047999999997"/>
        <n v="3918.48"/>
        <n v="3454.1625999999997"/>
        <n v="957.75000000000011"/>
        <n v="5826.3663999999999"/>
        <n v="4697.5047999999997"/>
        <n v="4998.9735999999984"/>
        <n v="3791.3079999999995"/>
        <n v="5408.9624000000003"/>
        <n v="5353.7525000000014"/>
        <n v="3740.8190999999993"/>
        <n v="4700.0415000000003"/>
        <n v="3738.3478"/>
        <n v="7787.777"/>
        <n v="11183.128599999996"/>
        <n v="4704.0480000000007"/>
        <n v="5480.2020999999968"/>
        <n v="5232.2915000000003"/>
        <n v="2753.2238000000002"/>
        <n v="7346.2342000000008"/>
        <n v="5800.6467000000011"/>
        <n v="10653.3604"/>
        <n v="3452.9980000000005"/>
        <n v="1735.7923000000001"/>
        <m/>
        <n v="980407.39500000002"/>
        <n v="3939.8729000000003" u="1"/>
        <n v="10525.930599999994" u="1"/>
        <n v="7535.4117999999999" u="1"/>
        <n v="7914.1791000000003" u="1"/>
        <n v="14530.633799999998" u="1"/>
        <n v="1926.7229" u="1"/>
        <n v="3067.8110000000006" u="1"/>
        <n v="5281.2263000000003" u="1"/>
        <n v="5966.3372000000008" u="1"/>
        <n v="4874.7365000000009" u="1"/>
        <n v="4762.2835999999998" u="1"/>
        <n v="9686.3725999999988" u="1"/>
        <n v="7837.4661999999998" u="1"/>
        <n v="5331.0149000000001" u="1"/>
        <n v="13109.5376" u="1"/>
        <n v="6130.4007000000001" u="1"/>
        <n v="10176.902700000001" u="1"/>
        <n v="12982.661299999998" u="1"/>
        <n v="5314.8255999999992" u="1"/>
        <n v="7456.8738999999987" u="1"/>
        <n v="6187.7609999999995" u="1"/>
        <n v="8631.1100999999981" u="1"/>
        <n v="8158.2181000000019" u="1"/>
        <n v="17853.864399999999" u="1"/>
        <n v="10768.278200000001" u="1"/>
        <n v="5990.2518999999984" u="1"/>
        <n v="27289.749000000007" u="1"/>
        <n v="8532.7378000000008" u="1"/>
        <n v="13493.974699999999" u="1"/>
        <n v="5559.5765000000001" u="1"/>
        <n v="5798.2100999999993" u="1"/>
        <n v="6473.9876999999988" u="1"/>
        <n v="15065.112800000001" u="1"/>
        <n v="10078.695900000006" u="1"/>
        <n v="10050.6458" u="1"/>
        <n v="6963.0356000000011" u="1"/>
        <n v="6062.0337" u="1"/>
        <n v="15630.380500000001" u="1"/>
        <n v="7157.7215000000006" u="1"/>
        <n v="10171.551700000002" u="1"/>
        <n v="15103.136300000004" u="1"/>
        <n v="14608.254000000001" u="1"/>
        <n v="8981.5511999999999" u="1"/>
        <n v="11273.092899999998" u="1"/>
        <n v="6011.7543999999998" u="1"/>
        <n v="20093.141299999999" u="1"/>
        <n v="11467.708499999997" u="1"/>
        <n v="8456.1988000000019" u="1"/>
        <n v="9068.8981000000022" u="1"/>
        <n v="5632.0709999999999" u="1"/>
        <n v="10184.380799999997" u="1"/>
        <n v="4935.2954999999993" u="1"/>
        <n v="6878.6956" u="1"/>
        <n v="6478.4368999999997" u="1"/>
        <n v="73.52000000000001" u="1"/>
        <n v="23404.9316" u="1"/>
        <n v="6787.8668000000007" u="1"/>
        <n v="8650.9856" u="1"/>
        <n v="14332.2575" u="1"/>
        <n v="5657.3444" u="1"/>
        <n v="32289.919099999999" u="1"/>
        <n v="4067.1393999999991" u="1"/>
        <n v="11711.280999999997" u="1"/>
        <n v="20955.393399999994" u="1"/>
        <n v="10250.668499999998" u="1"/>
        <n v="128.3775" u="1"/>
        <n v="5287.4667999999992" u="1"/>
        <n v="4586.6705999999995" u="1"/>
        <n v="6679.7285000000002" u="1"/>
        <n v="5948.2315000000008" u="1"/>
        <n v="2596.3736999999996" u="1"/>
        <n v="3355.4483999999998" u="1"/>
        <n v="2536.9108000000001" u="1"/>
        <n v="2450.7277000000004" u="1"/>
        <n v="2971.2017999999998" u="1"/>
        <n v="15592.285699999997" u="1"/>
        <n v="31.83" u="1"/>
        <n v="9773.8033999999989" u="1"/>
        <n v="3401.3881000000006" u="1"/>
        <n v="7672.5003000000006" u="1"/>
        <n v="10635.0108" u="1"/>
        <n v="4831.1345999999994" u="1"/>
        <n v="5775.0601000000006" u="1"/>
        <n v="9076.5081000000009" u="1"/>
        <n v="10983.626800000004" u="1"/>
        <n v="11667.909300000001" u="1"/>
        <n v="41109.175700000007" u="1"/>
        <n v="7820.477899999998" u="1"/>
        <n v="8815.0102999999999" u="1"/>
        <n v="7693.5157000000008" u="1"/>
        <n v="5786.0423000000001" u="1"/>
        <n v="11219.859700000001" u="1"/>
        <n v="5113.7193000000007" u="1"/>
        <n v="5177.5101000000004" u="1"/>
        <n v="12676.274900000002" u="1"/>
        <n v="5375.1689000000006" u="1"/>
        <n v="2826.9773999999998" u="1"/>
        <n v="10104.906999999999" u="1"/>
        <n v="6226.0993000000008" u="1"/>
        <n v="7958.3532000000005" u="1"/>
        <n v="6385.5680000000002" u="1"/>
        <n v="18701.448499999999" u="1"/>
        <n v="6617.8645999999999" u="1"/>
        <n v="78.470500000000001" u="1"/>
        <n v="35135.481100000012" u="1"/>
        <n v="8095.0314999999982" u="1"/>
        <n v="6371.637200000001" u="1"/>
        <n v="9760.722499999998" u="1"/>
        <n v="16771.127499999999" u="1"/>
        <n v="1507.2705000000001" u="1"/>
        <n v="13.810499999999999" u="1"/>
        <n v="622.53050000000007" u="1"/>
        <n v="537.12290000000007" u="1"/>
        <n v="840.52870000000007" u="1"/>
        <n v="1442.6472999999999" u="1"/>
        <n v="493.7253" u="1"/>
        <n v="820.35479999999995" u="1"/>
        <n v="10954.860499999999" u="1"/>
        <n v="13478.499700000002" u="1"/>
        <n v="14745.2847" u="1"/>
        <n v="5668.2185999999992" u="1"/>
        <n v="6971.4655000000002" u="1"/>
        <n v="4407.4968000000008" u="1"/>
        <n v="7029.2444000000005" u="1"/>
        <n v="689.86410000000001" u="1"/>
        <n v="621.81050000000005" u="1"/>
        <n v="1766.7255" u="1"/>
        <n v="606.77200000000005" u="1"/>
        <n v="393.90049999999997" u="1"/>
        <n v="625.9704999999999" u="1"/>
        <n v="641.81050000000005" u="1"/>
        <n v="533.63" u="1"/>
        <n v="628.56380000000001" u="1"/>
        <n v="9493.2594999999983" u="1"/>
        <n v="8152.9824000000008" u="1"/>
        <n v="14910.139799999999" u="1"/>
        <n v="5623.7497999999996" u="1"/>
        <n v="10798.243500000002" u="1"/>
        <n v="6246.0753999999988" u="1"/>
        <n v="6718.5839999999989" u="1"/>
        <n v="9191.0665999999965" u="1"/>
        <n v="6585.1812999999993" u="1"/>
        <n v="10814.575699999999" u="1"/>
        <n v="18098.8881" u="1"/>
        <n v="19295.457599999998" u="1"/>
        <n v="6867.4758999999985" u="1"/>
        <n v="4838.8326000000006" u="1"/>
        <n v="16982.770199999999" u="1"/>
        <n v="31626.575099999998" u="1"/>
        <n v="16802.695400000001" u="1"/>
        <n v="11895.219699999998" u="1"/>
        <n v="4769.6800000000039" u="1"/>
        <n v="7413.4652000000024" u="1"/>
        <n v="7088.6868000000004" u="1"/>
        <n v="8672.199300000002" u="1"/>
        <n v="4692.163599999998" u="1"/>
        <n v="12522.315199999997" u="1"/>
        <n v="6629.6096000000016" u="1"/>
        <n v="2295.3286000000003" u="1"/>
        <n v="8007.8746000000019" u="1"/>
        <n v="4562.8504000000003" u="1"/>
        <n v="8992.152900000001" u="1"/>
        <n v="10608.3565" u="1"/>
        <n v="9897.6319999999996" u="1"/>
        <n v="6792.8806000000004" u="1"/>
        <n v="5186.8261000000011" u="1"/>
        <n v="5332.8721999999998" u="1"/>
        <n v="6151.8441000000003" u="1"/>
        <n v="4926.4661000000006" u="1"/>
        <n v="7490.7820999999994" u="1"/>
        <n v="11570.665600000002" u="1"/>
        <n v="25970.898999999998" u="1"/>
        <n v="6066.3396000000002" u="1"/>
        <n v="5120.4492999999993" u="1"/>
        <n v="6293.8549000000012" u="1"/>
        <n v="8034.4758999999985" u="1"/>
        <n v="7959.3225999999995" u="1"/>
        <n v="16365.739799999998" u="1"/>
        <n v="35289.847099999999" u="1"/>
        <n v="7098.4801999999981" u="1"/>
        <n v="13401.949999999999" u="1"/>
        <n v="5044.4649999999992" u="1"/>
        <n v="6353.8391999999985" u="1"/>
        <n v="2005.2035000000001" u="1"/>
        <n v="11039.584700000001" u="1"/>
        <n v="7488.0878999999995" u="1"/>
        <n v="16739.003700000001" u="1"/>
        <n v="6752.2089000000005" u="1"/>
        <n v="9228.6831000000002" u="1"/>
        <n v="8402.2423999999974" u="1"/>
        <n v="19207.078899999997" u="1"/>
        <n v="5980.3976999999995" u="1"/>
        <n v="10433.8959" u="1"/>
        <n v="11291.112500000001" u="1"/>
        <n v="19633.950200000003" u="1"/>
        <n v="7321.8141000000005" u="1"/>
        <n v="9435.419100000001" u="1"/>
        <n v="10278.5502" u="1"/>
        <n v="9672.5865999999987" u="1"/>
        <n v="11026.352800000001" u="1"/>
        <n v="12320.855600000001" u="1"/>
        <n v="11350.0514" u="1"/>
        <n v="26786.976300000002" u="1"/>
        <n v="1848.7613999999999" u="1"/>
        <n v="1809877.4806000001" u="1"/>
        <n v="10525.9306" u="1"/>
        <n v="7914.1791000000012" u="1"/>
        <n v="14530.6338" u="1"/>
        <n v="3067.8110000000001" u="1"/>
        <n v="5966.3371999999999" u="1"/>
        <n v="4874.7365" u="1"/>
        <n v="4762.2836000000007" u="1"/>
        <n v="7837.4662000000008" u="1"/>
        <n v="5331.014900000001" u="1"/>
        <n v="10176.902699999999" u="1"/>
        <n v="12982.661300000002" u="1"/>
        <n v="5314.8256000000001" u="1"/>
        <n v="7456.8739000000005" u="1"/>
        <n v="6187.7610000000004" u="1"/>
        <n v="8652.7301000000007" u="1"/>
        <n v="8158.218100000001" u="1"/>
        <n v="17853.864400000002" u="1"/>
        <n v="5990.2519000000011" u="1"/>
        <n v="27289.749000000003" u="1"/>
        <n v="8532.737799999999" u="1"/>
        <n v="5559.5764999999992" u="1"/>
        <n v="5798.2101000000002" u="1"/>
        <n v="6473.9876999999997" u="1"/>
        <n v="15065.112800000003" u="1"/>
        <n v="10078.695900000001" u="1"/>
        <n v="10050.645800000002" u="1"/>
        <n v="15630.380499999999" u="1"/>
        <n v="7157.7215000000015" u="1"/>
        <n v="10171.5517" u="1"/>
        <n v="15103.1363" u="1"/>
        <n v="8981.5512000000017" u="1"/>
        <n v="11273.0929" u="1"/>
        <n v="6011.7544000000007" u="1"/>
        <n v="11467.708500000001" u="1"/>
        <n v="8456.1988000000001" u="1"/>
        <n v="9068.8980999999985" u="1"/>
        <n v="10184.380799999999" u="1"/>
        <n v="4935.2955000000002" u="1"/>
        <n v="6478.4368999999988" u="1"/>
        <n v="6787.8667999999998" u="1"/>
        <n v="14332.257500000002" u="1"/>
        <n v="4067.1393999999996" u="1"/>
        <n v="11711.280999999999" u="1"/>
        <n v="20955.393399999997" u="1"/>
        <n v="10250.6685" u="1"/>
        <n v="5287.4668000000001" u="1"/>
        <n v="4586.6706000000013" u="1"/>
        <n v="6679.7285000000011" u="1"/>
        <n v="5948.2314999999999" u="1"/>
        <n v="2596.3737000000001" u="1"/>
        <n v="3355.4484000000002" u="1"/>
        <n v="15592.285699999999" u="1"/>
        <n v="9773.8034000000007" u="1"/>
        <n v="3401.388100000001" u="1"/>
        <n v="9076.5080999999991" u="1"/>
        <n v="10983.6268" u="1"/>
        <n v="11667.909299999999" u="1"/>
        <n v="41109.1757" u="1"/>
        <n v="7820.477899999999" u="1"/>
        <n v="8815.0103000000017" u="1"/>
        <n v="7693.5156999999999" u="1"/>
        <n v="12732.144900000001" u="1"/>
        <n v="6226.0992999999999" u="1"/>
        <n v="18701.448500000002" u="1"/>
        <n v="6617.8646000000008" u="1"/>
        <n v="78.470500000000015" u="1"/>
        <n v="35135.481100000005" u="1"/>
        <n v="8095.0314999999991" u="1"/>
        <n v="9760.7225000000017" u="1"/>
        <n v="1442.6473000000001" u="1"/>
        <n v="13478.4997" u="1"/>
        <n v="5668.2186000000002" u="1"/>
        <n v="4407.4967999999999" u="1"/>
        <n v="7029.2443999999996" u="1"/>
        <n v="606.77200000000016" u="1"/>
        <n v="393.90050000000002" u="1"/>
        <n v="628.56380000000013" u="1"/>
        <n v="8152.9824000000017" u="1"/>
        <n v="14910.139800000001" u="1"/>
        <n v="10798.2435" u="1"/>
        <n v="6246.0753999999997" u="1"/>
        <n v="6718.5840000000007" u="1"/>
        <n v="9191.0665999999983" u="1"/>
        <n v="6585.1813000000002" u="1"/>
        <n v="10814.575700000001" u="1"/>
        <n v="19295.457600000002" u="1"/>
        <n v="6867.4758999999995" u="1"/>
        <n v="11895.2197" u="1"/>
        <n v="4769.6799999999994" u="1"/>
        <n v="7413.4652000000006" u="1"/>
        <n v="8672.1993000000002" u="1"/>
        <n v="4692.1635999999999" u="1"/>
        <n v="12522.315200000001" u="1"/>
        <n v="6629.6096000000007" u="1"/>
        <n v="2295.3285999999998" u="1"/>
        <n v="8007.874600000001" u="1"/>
        <n v="8992.1528999999991" u="1"/>
        <n v="6792.8805999999995" u="1"/>
        <n v="5186.8261000000002" u="1"/>
        <n v="5332.8722000000007" u="1"/>
        <n v="4926.4660999999996" u="1"/>
        <n v="7490.7821000000004" u="1"/>
        <n v="11578.6656" u="1"/>
        <n v="6066.3396000000012" u="1"/>
        <n v="5120.4493000000002" u="1"/>
        <n v="6293.8549000000003" u="1"/>
        <n v="8034.4759000000004" u="1"/>
        <n v="7959.3225999999986" u="1"/>
        <n v="16365.739799999999" u="1"/>
        <n v="7098.4802" u="1"/>
        <n v="13401.95" u="1"/>
        <n v="5044.4650000000001" u="1"/>
        <n v="6353.8392000000003" u="1"/>
        <n v="11039.584699999999" u="1"/>
        <n v="7488.0879000000004" u="1"/>
        <n v="8402.2423999999992" u="1"/>
        <n v="19207.0789" u="1"/>
        <n v="11291.112500000003" u="1"/>
        <n v="19633.950199999999" u="1"/>
        <n v="9435.4191000000028" u="1"/>
        <n v="10278.550200000001" u="1"/>
        <n v="9672.5866000000005" u="1"/>
        <n v="11026.352799999999" u="1"/>
        <n v="12320.855599999999" u="1"/>
        <n v="1809962.9706000003" u="1"/>
        <n v="1775.5962" u="1"/>
        <n v="2112.0832" u="1"/>
        <n v="3939.4497000000001" u="1"/>
        <n v="6524.1031000000003" u="1"/>
        <n v="6537.7934000000005" u="1"/>
        <n v="1920.8182999999999" u="1"/>
        <n v="1577.3655000000001" u="1"/>
        <n v="11.2766" u="1"/>
        <n v="4041.6256999999996" u="1"/>
        <n v="5418.03" u="1"/>
        <n v="3991.9324999999994" u="1"/>
        <n v="3835.5653000000002" u="1"/>
        <n v="10086.690900000001" u="1"/>
        <n v="4929.6866" u="1"/>
        <n v="4440.5739000000003" u="1"/>
        <n v="12475.314200000001" u="1"/>
        <n v="2787.8440000000001" u="1"/>
        <n v="8863.4987999999994" u="1"/>
        <n v="8129.5522000000001" u="1"/>
        <n v="3775.6351" u="1"/>
        <n v="4759.6733999999997" u="1"/>
        <n v="3935.5323999999991" u="1"/>
        <n v="5467.4192999999996" u="1"/>
        <n v="4744.7494000000006" u="1"/>
        <n v="12112.453699999996" u="1"/>
        <n v="5759.9677999999994" u="1"/>
        <n v="4108.2932999999994" u="1"/>
        <n v="4920.8622000000005" u="1"/>
        <n v="5411.7140999999992" u="1"/>
        <n v="4183.5725999999995" u="1"/>
        <n v="5237.4960000000001" u="1"/>
        <n v="4990.4882000000007" u="1"/>
        <n v="9658.8906999999999" u="1"/>
        <n v="5214.9666000000007" u="1"/>
        <n v="7223.6302000000014" u="1"/>
        <n v="2570.3603000000003" u="1"/>
        <n v="2629.2658999999999" u="1"/>
        <n v="9202.3855000000003" u="1"/>
        <n v="4629.0416000000005" u="1"/>
        <n v="6754.0762000000013" u="1"/>
        <n v="8905.651100000001" u="1"/>
        <n v="9055.8366999999998" u="1"/>
        <n v="5830.3109999999997" u="1"/>
        <n v="4646.6947999999993" u="1"/>
        <n v="4771.8015999999998" u="1"/>
        <n v="9626.5072" u="1"/>
        <n v="6308.6710999999996" u="1"/>
        <n v="4893.4117999999999" u="1"/>
        <n v="5890.835" u="1"/>
        <n v="2292.6284999999998" u="1"/>
        <n v="6204.6325000000006" u="1"/>
        <n v="2727.2133999999996" u="1"/>
        <n v="4273.7451999999994" u="1"/>
        <n v="3829.6256999999996" u="1"/>
        <n v="79.4696" u="1"/>
        <n v="3159.1466999999998" u="1"/>
        <n v="4261.4399000000003" u="1"/>
        <n v="5997.8976999999995" u="1"/>
        <n v="7890.6449000000002" u="1"/>
        <n v="292.16660000000002" u="1"/>
        <n v="7977.7175999999999" u="1"/>
        <n v="3321.0124999999998" u="1"/>
        <n v="8245.5207999999984" u="1"/>
        <n v="6451.0663999999997" u="1"/>
        <n v="4116.5515999999998" u="1"/>
        <n v="15.356200000000001" u="1"/>
        <n v="3633.2419" u="1"/>
        <n v="3646.3779" u="1"/>
        <n v="3372.3274000000001" u="1"/>
        <n v="2314.2013000000002" u="1"/>
        <n v="1992.5586999999998" u="1"/>
        <n v="1291.1803" u="1"/>
        <n v="3062.8728999999998" u="1"/>
        <n v="1988.2950000000001" u="1"/>
        <n v="2912.5312000000004" u="1"/>
        <n v="5890.1701999999996" u="1"/>
        <n v="5076.8791999999994" u="1"/>
        <n v="2682.5774000000001" u="1"/>
        <n v="5953.9519" u="1"/>
        <n v="6542.8046999999988" u="1"/>
        <n v="3187.91" u="1"/>
        <n v="3430.0069000000003" u="1"/>
        <n v="6290.4093000000012" u="1"/>
        <n v="10610.7945" u="1"/>
        <n v="8344.976999999999" u="1"/>
        <n v="7795.8501999999989" u="1"/>
        <n v="6337.6717000000008" u="1"/>
        <n v="4110.6145999999999" u="1"/>
        <n v="10309.544399999999" u="1"/>
        <n v="7132.9594000000006" u="1"/>
        <n v="7510.2367000000004" u="1"/>
        <n v="5157.1333999999988" u="1"/>
        <n v="2716.7979999999998" u="1"/>
        <n v="11181.1132" u="1"/>
        <n v="3874.5847999999996" u="1"/>
        <n v="2094.3962000000001" u="1"/>
        <n v="5973.4007999999994" u="1"/>
        <n v="2921.1736000000001" u="1"/>
        <n v="5621.8278" u="1"/>
        <n v="4051.1627000000003" u="1"/>
        <n v="10011.241900000001" u="1"/>
        <n v="2592.0007000000005" u="1"/>
        <n v="90.746200000000002" u="1"/>
        <n v="9806.6436000000012" u="1"/>
        <n v="4399.9418999999998" u="1"/>
        <n v="2776.5962" u="1"/>
        <n v="6302.8438999999998" u="1"/>
        <n v="8965.6386000000002" u="1"/>
        <n v="913.66810000000009" u="1"/>
        <n v="4.0796000000000001" u="1"/>
        <n v="1242.1964" u="1"/>
        <n v="816.48880000000008" u="1"/>
        <n v="1585.5329999999999" u="1"/>
        <n v="1705.7183" u="1"/>
        <n v="117.3437" u="1"/>
        <n v="1337.6983" u="1"/>
        <n v="3298.6860999999999" u="1"/>
        <n v="7422.5126000000009" u="1"/>
        <n v="7889.6741000000002" u="1"/>
        <n v="3587.5794999999998" u="1"/>
        <n v="5302.1689000000006" u="1"/>
        <n v="2752.9695000000002" u="1"/>
        <n v="5219.3717999999999" u="1"/>
        <n v="1570.6484" u="1"/>
        <n v="417.63130000000001" u="1"/>
        <n v="1432.7894000000001" u="1"/>
        <n v="83.13130000000001" u="1"/>
        <n v="442.63130000000001" u="1"/>
        <n v="493.67540000000002" u="1"/>
        <n v="5315.9530999999997" u="1"/>
        <n v="4267.1593000000003" u="1"/>
        <n v="11174.140500000001" u="1"/>
        <n v="4330.2977999999994" u="1"/>
        <n v="11087.0895" u="1"/>
        <n v="3842.1095000000005" u="1"/>
        <n v="4891.9066999999995" u="1"/>
        <n v="9947.7726000000002" u="1"/>
        <n v="5273.8192999999992" u="1"/>
        <n v="5521.8460999999998" u="1"/>
        <n v="7176.0472000000009" u="1"/>
        <n v="12236.757800000001" u="1"/>
        <n v="4183.4126999999999" u="1"/>
        <n v="2408.8962000000001" u="1"/>
        <n v="3714.8927000000003" u="1"/>
        <n v="6851.4489000000003" u="1"/>
        <n v="15417.6145" u="1"/>
        <n v="9710.7272000000012" u="1"/>
        <n v="8800.381800000001" u="1"/>
        <n v="3834.3759" u="1"/>
        <n v="4452.2813999999998" u="1"/>
        <n v="6018.33" u="1"/>
        <n v="2888.4978000000001" u="1"/>
        <n v="8356.6556" u="1"/>
        <n v="4640.4271000000008" u="1"/>
        <n v="177.32" u="1"/>
        <n v="2308.0691999999999" u="1"/>
        <n v="5185.1296999999995" u="1"/>
        <n v="5436.5589999999993" u="1"/>
        <n v="6475.4451000000008" u="1"/>
        <n v="3893.2305000000001" u="1"/>
        <n v="8056.9403999999995" u="1"/>
        <n v="86.25" u="1"/>
        <n v="3958.5920000000006" u="1"/>
        <n v="3661.6876000000002" u="1"/>
        <n v="3809.0079000000001" u="1"/>
        <n v="3707.7672000000002" u="1"/>
        <n v="3187.8959000000004" u="1"/>
        <n v="3775.6351999999997" u="1"/>
        <n v="9712.8083000000006" u="1"/>
        <n v="4122.9740000000002" u="1"/>
        <n v="4765.5978999999998" u="1"/>
        <n v="2974.4061999999999" u="1"/>
        <n v="3941.7383" u="1"/>
        <n v="5190.2539999999999" u="1"/>
        <n v="3996.6661999999997" u="1"/>
        <n v="15427.244999999999" u="1"/>
        <n v="9471.9681999999993" u="1"/>
        <n v="4471.8796000000002" u="1"/>
        <n v="7241.2317000000003" u="1"/>
        <n v="3348.7126000000003" u="1"/>
        <n v="4861.0681000000004" u="1"/>
        <n v="1218.1662000000001" u="1"/>
        <n v="7117.6319999999996" u="1"/>
        <n v="5580.5481" u="1"/>
        <n v="3442.9389000000001" u="1"/>
        <n v="3822.3366999999998" u="1"/>
        <n v="12084.635200000001" u="1"/>
        <n v="8696.4884000000002" u="1"/>
        <n v="3266.2057000000004" u="1"/>
        <n v="4844.8950999999997" u="1"/>
        <n v="7801.1274000000003" u="1"/>
        <n v="4404.4219000000003" u="1"/>
        <n v="13985.5121" u="1"/>
        <n v="4824.3200999999999" u="1"/>
        <n v="5622.933" u="1"/>
        <n v="6777.8027000000011" u="1"/>
        <n v="4538.3981999999996" u="1"/>
        <n v="7467.4021999999995" u="1"/>
        <n v="6483.2101999999995" u="1"/>
        <n v="6718.4783999999991" u="1"/>
        <n v="3721.1943000000001" u="1"/>
        <n v="1918.0176999999999" u="1"/>
        <n v="1028550.2472999998" u="1"/>
        <n v="-837.91679999999974" u="1"/>
        <n v="3939.4496999999997" u="1"/>
        <n v="6537.7933999999996" u="1"/>
        <n v="1920.8183000000001" u="1"/>
        <n v="1577.3654999999999" u="1"/>
        <n v="5413.09" u="1"/>
        <n v="3991.9324999999999" u="1"/>
        <n v="3835.5652999999998" u="1"/>
        <n v="10083.400900000001" u="1"/>
        <n v="4929.6866000000009" u="1"/>
        <n v="4440.5738999999994" u="1"/>
        <n v="12475.314199999997" u="1"/>
        <n v="8863.4987999999976" u="1"/>
        <n v="8129.5521999999992" u="1"/>
        <n v="3764.1351" u="1"/>
        <n v="4754.6734000000006" u="1"/>
        <n v="3935.5323999999996" u="1"/>
        <n v="5460.2493000000004" u="1"/>
        <n v="4744.7493999999997" u="1"/>
        <n v="12112.4537" u="1"/>
        <n v="5755.2177999999994" u="1"/>
        <n v="4108.2933000000003" u="1"/>
        <n v="5411.7141000000011" u="1"/>
        <n v="4183.5726000000004" u="1"/>
        <n v="5237.4959999999983" u="1"/>
        <n v="4990.488199999998" u="1"/>
        <n v="5214.9666000000016" u="1"/>
        <n v="7223.6301999999996" u="1"/>
        <n v="2629.2659000000003" u="1"/>
        <n v="4629.0415999999996" u="1"/>
        <n v="6754.0761999999995" u="1"/>
        <n v="8905.6510999999991" u="1"/>
        <n v="9055.836699999998" u="1"/>
        <n v="5830.3110000000006" u="1"/>
        <n v="6308.6711000000005" u="1"/>
        <n v="4893.4118000000008" u="1"/>
        <n v="5890.8350000000009" u="1"/>
        <n v="2727.2134000000001" u="1"/>
        <n v="3821.4656999999997" u="1"/>
        <n v="3159.1466999999993" u="1"/>
        <n v="5997.8977000000023" u="1"/>
        <n v="7977.7176000000009" u="1"/>
        <n v="3321.0125000000003" u="1"/>
        <n v="8245.5208000000021" u="1"/>
        <n v="4951.0663999999997" u="1"/>
        <n v="3633.2418999999995" u="1"/>
        <n v="3372.3273999999997" u="1"/>
        <n v="1988.2949999999998" u="1"/>
        <n v="2912.5311999999999" u="1"/>
        <n v="5890.1701999999987" u="1"/>
        <n v="5076.8792000000003" u="1"/>
        <n v="2682.5773999999997" u="1"/>
        <n v="5953.9518999999982" u="1"/>
        <n v="6542.8046999999997" u="1"/>
        <n v="3430.0068999999999" u="1"/>
        <n v="8344.9770000000008" u="1"/>
        <n v="6337.6716999999999" u="1"/>
        <n v="7132.9593999999997" u="1"/>
        <n v="7510.2367000000013" u="1"/>
        <n v="2716.7980000000002" u="1"/>
        <n v="2094.3961999999997" u="1"/>
        <n v="5973.4008000000013" u="1"/>
        <n v="5621.8277999999991" u="1"/>
        <n v="4037.2527" u="1"/>
        <n v="9996.2419000000009" u="1"/>
        <n v="2592.0006999999996" u="1"/>
        <n v="9806.6435999999994" u="1"/>
        <n v="4399.9418999999989" u="1"/>
        <n v="6302.8439000000008" u="1"/>
        <n v="913.66809999999998" u="1"/>
        <n v="1232.3164000000002" u="1"/>
        <n v="816.48879999999997" u="1"/>
        <n v="1328.7683" u="1"/>
        <n v="7889.6741000000011" u="1"/>
        <n v="3587.5794999999994" u="1"/>
        <n v="5302.1688999999997" u="1"/>
        <n v="2752.9694999999992" u="1"/>
        <n v="493.67539999999997" u="1"/>
        <n v="11172.790499999999" u="1"/>
        <n v="4323.6178" u="1"/>
        <n v="3842.1095" u="1"/>
        <n v="4884.6466999999993" u="1"/>
        <n v="5273.8193000000001" u="1"/>
        <n v="4976.0472000000009" u="1"/>
        <n v="12236.757799999999" u="1"/>
        <n v="2408.8962000000006" u="1"/>
        <n v="3714.8926999999994" u="1"/>
        <n v="6851.4488999999994" u="1"/>
        <n v="15417.614500000001" u="1"/>
        <n v="9710.7271999999994" u="1"/>
        <n v="8797.871799999999" u="1"/>
        <n v="3834.3759000000005" u="1"/>
        <n v="4452.2813999999989" u="1"/>
        <n v="8356.6555999999982" u="1"/>
        <n v="4640.4270999999999" u="1"/>
        <n v="5185.1297000000004" u="1"/>
        <n v="5429.0590000000002" u="1"/>
        <n v="3893.230500000001" u="1"/>
        <n v="3958.5920000000001" u="1"/>
        <n v="3809.0078999999992" u="1"/>
        <n v="3707.7672000000007" u="1"/>
        <n v="3187.8958999999995" u="1"/>
        <n v="9712.808299999997" u="1"/>
        <n v="4765.5978999999988" u="1"/>
        <n v="2974.4061999999994" u="1"/>
        <n v="3941.7383000000009" u="1"/>
        <n v="4471.8795999999993" u="1"/>
        <n v="7222.4117000000006" u="1"/>
        <n v="3348.7125999999998" u="1"/>
        <n v="5580.5480999999991" u="1"/>
        <n v="3822.3366999999994" u="1"/>
        <n v="12066.745200000001" u="1"/>
        <n v="3266.2056999999995" u="1"/>
        <n v="7801.1273999999985" u="1"/>
        <n v="4404.4218999999994" u="1"/>
        <n v="13985.512099999998" u="1"/>
        <n v="6777.8026999999993" u="1"/>
        <n v="4538.3981999999987" u="1"/>
        <n v="6718.4784000000009" u="1"/>
        <n v="1908.3977" u="1"/>
        <n v="1021736.0872999998" u="1"/>
        <n v="7400.5244999999995" u="1"/>
        <n v="6202.9931000000006" u="1"/>
        <n v="4710.3022000000001" u="1"/>
        <n v="6006.8995999999997" u="1"/>
        <n v="1641.2585999999999" u="1"/>
        <n v="1773.4147" u="1"/>
        <n v="3693.1255999999998" u="1"/>
        <n v="2930.6289999999995" u="1"/>
        <n v="4230.8656999999994" u="1"/>
        <n v="3200.9576999999999" u="1"/>
        <n v="10866.320599999999" u="1"/>
        <n v="4669.1642000000011" u="1"/>
        <n v="6411.1629000000012" u="1"/>
        <n v="11807.815400000001" u="1"/>
        <n v="2330.5071000000003" u="1"/>
        <n v="6581.8823000000002" u="1"/>
        <n v="8359.7947999999997" u="1"/>
        <n v="4072.6386000000007" u="1"/>
        <n v="4108.1794" u="1"/>
        <n v="3567.6059" u="1"/>
        <n v="3015.5337" u="1"/>
        <n v="4471.7313000000004" u="1"/>
        <n v="15144.794400000001" u="1"/>
        <n v="5647.6561999999994" u="1"/>
        <n v="3670.2057999999997" u="1"/>
        <n v="4348.2957000000006" u="1"/>
        <n v="7767.0810999999985" u="1"/>
        <n v="3818.8161000000005" u="1"/>
        <n v="3284.2764999999995" u="1"/>
        <n v="5888.6802999999991" u="1"/>
        <n v="11693.407200000001" u="1"/>
        <n v="7570.6487000000016" u="1"/>
        <n v="6474.6278999999995" u="1"/>
        <n v="3394.5241999999998" u="1"/>
        <n v="3673.1704999999997" u="1"/>
        <n v="9007.7443000000003" u="1"/>
        <n v="4288.0207999999993" u="1"/>
        <n v="5969.1651000000002" u="1"/>
        <n v="11130.9174" u="1"/>
        <n v="11401.613400000002" u="1"/>
        <n v="7023.9780000000001" u="1"/>
        <n v="7037.5915999999988" u="1"/>
        <n v="4416.5268000000005" u="1"/>
        <n v="40222.782999999989" u="1"/>
        <n v="7467.2318999999998" u="1"/>
        <n v="9415.7591999999986" u="1"/>
        <n v="5535.2421000000004" u="1"/>
        <n v="7064.9568999999983" u="1"/>
        <n v="5747.7301999999991" u="1"/>
        <n v="4409.0290999999997" u="1"/>
        <n v="3171.6943999999999" u="1"/>
        <n v="3223.7267000000002" u="1"/>
        <n v="152.03" u="1"/>
        <n v="3141.6758999999997" u="1"/>
        <n v="3860.8918999999996" u="1"/>
        <n v="6335.1240000000007" u="1"/>
        <n v="8332.7886999999992" u="1"/>
        <n v="13759.752000000002" u="1"/>
        <n v="3190.9785999999999" u="1"/>
        <n v="8450.0490999999984" u="1"/>
        <n v="5310.2696000000005" u="1"/>
        <n v="3294.0061000000005" u="1"/>
        <n v="6.1539000000000001" u="1"/>
        <n v="3353.7301000000002" u="1"/>
        <n v="3056.4953999999998" u="1"/>
        <n v="2821.2134000000001" u="1"/>
        <n v="2493.6842000000001" u="1"/>
        <n v="1438.1391000000001" u="1"/>
        <n v="524.04129999999998" u="1"/>
        <n v="3673.9265" u="1"/>
        <n v="1709.79" u="1"/>
        <n v="2515.7105000000001" u="1"/>
        <n v="6395.8104999999996" u="1"/>
        <n v="110.75" u="1"/>
        <n v="4664.6708000000008" u="1"/>
        <n v="2155.3839000000003" u="1"/>
        <n v="3086.8874000000005" u="1"/>
        <n v="6635.2642999999998" u="1"/>
        <n v="6802.6744000000008" u="1"/>
        <n v="3709.5442999999996" u="1"/>
        <n v="4429.7476999999999" u="1"/>
        <n v="5560.1349999999984" u="1"/>
        <n v="9018.1331999999984" u="1"/>
        <n v="10221.5574" u="1"/>
        <n v="6125.2464999999993" u="1"/>
        <n v="4308.5081" u="1"/>
        <n v="2536.2455" u="1"/>
        <n v="5275.9713999999994" u="1"/>
        <n v="7287.2313000000022" u="1"/>
        <n v="5342.8229000000001" u="1"/>
        <n v="2247.3185000000003" u="1"/>
        <n v="9939.3293000000012" u="1"/>
        <n v="4554.4937000000009" u="1"/>
        <n v="1971.1253999999999" u="1"/>
        <n v="6389.4265000000014" u="1"/>
        <n v="5653.1769000000004" u="1"/>
        <n v="5937.0821999999998" u="1"/>
        <n v="4760.8969000000006" u="1"/>
        <n v="9120.5501999999997" u="1"/>
        <n v="2427.6651000000002" u="1"/>
        <n v="29.52" u="1"/>
        <n v="10344.404500000002" u="1"/>
        <n v="4169.7902999999997" u="1"/>
        <n v="7051.46" u="1"/>
        <n v="5824.4158000000007" u="1"/>
        <n v="9851.1188999999995" u="1"/>
        <n v="539.93219999999997" u="1"/>
        <n v="1025.3536000000001" u="1"/>
        <n v="751.09469999999999" u="1"/>
        <n v="717.14610000000005" u="1"/>
        <n v="1191.2187999999999" u="1"/>
        <n v="61.997999999999998" u="1"/>
        <n v="1623.6639" u="1"/>
        <n v="3575.7483000000002" u="1"/>
        <n v="7454.7195000000011" u="1"/>
        <n v="7691.4356999999982" u="1"/>
        <n v="4807.2204999999994" u="1"/>
        <n v="5102.6250999999993" u="1"/>
        <n v="2487.2081000000003" u="1"/>
        <n v="4023.6149999999998" u="1"/>
        <n v="315.6644" u="1"/>
        <n v="412.35389999999995" u="1"/>
        <n v="1111.4625000000001" u="1"/>
        <n v="470.24390000000005" u="1"/>
        <n v="490.08839999999998" u="1"/>
        <n v="511.66219999999998" u="1"/>
        <n v="6375.0714000000016" u="1"/>
        <n v="10971.898799999997" u="1"/>
        <n v="10186.3354" u="1"/>
        <n v="3197.6909000000005" u="1"/>
        <n v="4712.2196000000004" u="1"/>
        <n v="3429.1823999999997" u="1"/>
        <n v="3769.8968" u="1"/>
        <n v="12563.799200000001" u="1"/>
        <n v="4514.4331999999995" u="1"/>
        <n v="7799.5867000000007" u="1"/>
        <n v="14813.383799999998" u="1"/>
        <n v="10902.624300000001" u="1"/>
        <n v="4666.7744000000002" u="1"/>
        <n v="2404.4621999999999" u="1"/>
        <n v="3492.3292000000001" u="1"/>
        <n v="6340.852100000001" u="1"/>
        <n v="5430.6380000000008" u="1"/>
        <n v="4983.1715000000013" u="1"/>
        <n v="4712.4327000000003" u="1"/>
        <n v="4829.9881000000005" u="1"/>
        <n v="3733.6546999999991" u="1"/>
        <n v="5451.7694000000001" u="1"/>
        <n v="2822.1019999999999" u="1"/>
        <n v="11301.463400000001" u="1"/>
        <n v="4397.3005999999996" u="1"/>
        <n v="2338.4636999999998" u="1"/>
        <n v="5484.485099999999" u="1"/>
        <n v="17411.755700000002" u="1"/>
        <n v="5113.8810000000003" u="1"/>
        <n v="11291.534699999998" u="1"/>
        <n v="6347.1082999999999" u="1"/>
        <n v="171.35" u="1"/>
        <n v="4143.1867999999995" u="1"/>
        <n v="2991.7933000000003" u="1"/>
        <n v="3561.3525" u="1"/>
        <n v="3467.0983999999999" u="1"/>
        <n v="3515.2445000000002" u="1"/>
        <n v="6498.6110000000008" u="1"/>
        <n v="7173.5466999999981" u="1"/>
        <n v="3779.2723999999998" u="1"/>
        <n v="4190.3378000000002" u="1"/>
        <n v="3514.6239000000005" u="1"/>
        <n v="3207.7087000000006" u="1"/>
        <n v="8234.3960000000006" u="1"/>
        <n v="4180.4690000000001" u="1"/>
        <n v="7126.627199999999" u="1"/>
        <n v="17451.1738" u="1"/>
        <n v="3759.6338999999998" u="1"/>
        <n v="10308.8483" u="1"/>
        <n v="4104.3163999999997" u="1"/>
        <n v="4740.7997999999998" u="1"/>
        <n v="1207.3851" u="1"/>
        <n v="8780.4173999999985" u="1"/>
        <n v="4512.3651" u="1"/>
        <n v="3612.3959" u="1"/>
        <n v="4415.9844999999987" u="1"/>
        <n v="11911.167999999998" u="1"/>
        <n v="7788.0515999999998" u="1"/>
        <n v="2581.0423000000001" u="1"/>
        <n v="4669.3128999999999" u="1"/>
        <n v="6130.4662999999991" u="1"/>
        <n v="4993.7433000000001" u="1"/>
        <n v="12408.105399999999" u="1"/>
        <n v="4726.161900000001" u="1"/>
        <n v="4664.4135999999999" u="1"/>
        <n v="6257.8817999999992" u="1"/>
        <n v="5530.0012000000006" u="1"/>
        <n v="14439.446299999998" u="1"/>
        <n v="6558.596700000001" u="1"/>
        <n v="6607.9615999999996" u="1"/>
        <n v="3602.3336999999997" u="1"/>
        <n v="1827.7176999999999" u="1"/>
        <n v="1086659.1139" u="1"/>
      </sharedItems>
    </cacheField>
    <cacheField name="Total Costos" numFmtId="164">
      <sharedItems containsString="0" containsBlank="1" containsNumber="1" minValue="-15545.30779999996" maxValue="4901261.6203000033" count="1201">
        <n v="7.74"/>
        <n v="12086.265100000002"/>
        <n v="24551.361600000011"/>
        <n v="14084.894900000007"/>
        <n v="9430.9676999999774"/>
        <n v="21020.64589999993"/>
        <n v="114.70010000000001"/>
        <n v="1973.3611999999989"/>
        <n v="1956.2861000000003"/>
        <n v="12450.934599999986"/>
        <n v="7730.4194000000034"/>
        <n v="17138.736100000027"/>
        <n v="8419.2620000000043"/>
        <n v="14138.995400000016"/>
        <n v="14812.002000000004"/>
        <n v="12825.660800000014"/>
        <n v="30609.263700000014"/>
        <n v="9041.8022000000037"/>
        <n v="11074.552400000024"/>
        <n v="25103.168199999986"/>
        <n v="15998.366400000003"/>
        <n v="36724.637399999992"/>
        <n v="9602.1234999999906"/>
        <n v="16132.547200000005"/>
        <n v="10336.802199999982"/>
        <n v="24185.819100000048"/>
        <n v="19923.209400000018"/>
        <n v="11083.616700000008"/>
        <n v="5442.0999999999995"/>
        <n v="14283.128499999981"/>
        <n v="4600.9243999999935"/>
        <n v="9268.5884000000187"/>
        <n v="19098.960100000011"/>
        <n v="4629.2367999999942"/>
        <n v="7519.8533999999945"/>
        <n v="9870.4569000000283"/>
        <n v="8006.3667999999834"/>
        <n v="11944.575299999999"/>
        <n v="9352.1717000000008"/>
        <n v="28324.383800000116"/>
        <n v="12299.749200000007"/>
        <n v="15747.422"/>
        <n v="24576.906200000005"/>
        <n v="21845.486700000063"/>
        <n v="16198.317300000022"/>
        <n v="12833.448400000008"/>
        <n v="13241.996600000004"/>
        <n v="36223.597600000227"/>
        <n v="26595.909100000015"/>
        <n v="27441.468700000045"/>
        <n v="27068.118499999953"/>
        <n v="13239.076000000001"/>
        <n v="21399.024799999963"/>
        <n v="11805.529400000027"/>
        <n v="13023.804600000058"/>
        <n v="7488.8579000000009"/>
        <n v="3355.7757999999953"/>
        <n v="4979.2368000000024"/>
        <n v="9175.911700000006"/>
        <n v="20005.992400000097"/>
        <n v="16073.807800000102"/>
        <n v="3695.4726999999943"/>
        <n v="24413.85920000005"/>
        <n v="7020.3445999999967"/>
        <n v="20416.41610000006"/>
        <n v="10861.802699999993"/>
        <n v="8056.7683999999972"/>
        <n v="0"/>
        <n v="4955.5352999999968"/>
        <n v="10890.637700000016"/>
        <n v="6889.0028000000148"/>
        <n v="7313.5932999999977"/>
        <n v="7926.2770999999993"/>
        <n v="1456.438699999999"/>
        <n v="4195.0830000000051"/>
        <n v="5618.5344999999916"/>
        <n v="3360.2499999999973"/>
        <n v="1185.9529000000002"/>
        <n v="11756.959499999986"/>
        <n v="20113.452100000057"/>
        <n v="11520.780300000022"/>
        <n v="9755.0308999999797"/>
        <n v="19579.90380000008"/>
        <n v="4702.2448999999979"/>
        <n v="12486.322100000019"/>
        <n v="14468.55130000003"/>
        <n v="16110.863299999995"/>
        <n v="8009.8962999999949"/>
        <n v="19272.313100000028"/>
        <n v="12487.965899999994"/>
        <n v="3623.1303999999946"/>
        <n v="8818.7057000000295"/>
        <n v="5306.6519999999837"/>
        <n v="7819.9273999999987"/>
        <n v="-15545.30779999996"/>
        <n v="7130.6303000000034"/>
        <n v="8006.4637999999877"/>
        <n v="6511.5519999999979"/>
        <n v="3779.1140999999989"/>
        <n v="16680.028299999987"/>
        <n v="6433.3605999999945"/>
        <n v="19356.975400000043"/>
        <n v="11481.387700000023"/>
        <n v="25685.997900000115"/>
        <n v="6246.3982000000124"/>
        <n v="127.51439999999999"/>
        <n v="2354.6958999999997"/>
        <n v="12559.461400000009"/>
        <n v="15369.123400000015"/>
        <n v="7031.7771999999904"/>
        <n v="8803.1915000000135"/>
        <n v="27559.861500000141"/>
        <n v="914.35130000000004"/>
        <n v="10857.880899999998"/>
        <n v="409.6230000000001"/>
        <n v="756.11539999999945"/>
        <n v="801.62459999999987"/>
        <n v="2845.1969000000017"/>
        <n v="1014.2120999999999"/>
        <n v="687.52970000000005"/>
        <n v="5635.0787000000037"/>
        <n v="29084.615699999984"/>
        <n v="27799.59820000011"/>
        <n v="14487.803900000014"/>
        <n v="10379.356100000061"/>
        <n v="9685.248999999998"/>
        <n v="17068.351799999997"/>
        <n v="290.26040000000012"/>
        <n v="206.87199999999996"/>
        <n v="644.83170000000007"/>
        <n v="196.76710000000011"/>
        <n v="1007.5874999999999"/>
        <n v="288.24500000000012"/>
        <n v="151.84440000000001"/>
        <n v="59.647299999999994"/>
        <n v="324.70210000000003"/>
        <n v="983.58240000000023"/>
        <n v="22248.240600000012"/>
        <n v="5475.2387000000108"/>
        <n v="18516.195699999946"/>
        <n v="8425.0163000000084"/>
        <n v="7008.0314999999973"/>
        <n v="11283.612299999997"/>
        <n v="13311.797900000005"/>
        <n v="23066.884400000043"/>
        <n v="23998.021099999962"/>
        <n v="21686.044799999952"/>
        <n v="21910.854999999978"/>
        <n v="20074.975100000091"/>
        <n v="10587.652200000024"/>
        <n v="9279.5297000000046"/>
        <n v="19739.201699999961"/>
        <n v="21059.433400000198"/>
        <n v="8091.7564999999749"/>
        <n v="7827.0744999999843"/>
        <n v="9403.2525000000187"/>
        <n v="6760.280800000005"/>
        <n v="5020.6083999999946"/>
        <n v="6036.646100000009"/>
        <n v="10730.048699999985"/>
        <n v="18707.508000000111"/>
        <n v="10614.512200000003"/>
        <n v="148.53309999999999"/>
        <n v="5715.3639000000021"/>
        <n v="8516.3843000000088"/>
        <n v="33162.03370000008"/>
        <n v="20475.148999999987"/>
        <n v="14274.998900000053"/>
        <n v="16369.589399999944"/>
        <n v="9372.1613000000034"/>
        <n v="4340.3484999999973"/>
        <n v="13853.631600000015"/>
        <n v="14679.479400000004"/>
        <n v="7466.1372000000101"/>
        <n v="8219.0717000000004"/>
        <n v="32890.848100000061"/>
        <n v="12054.80390000003"/>
        <n v="8932.9586000000145"/>
        <n v="7518.343299999995"/>
        <n v="6951.7597000000014"/>
        <n v="22921.173999999948"/>
        <n v="12822.932099999984"/>
        <n v="36133.867200000022"/>
        <n v="21188.999900000017"/>
        <n v="14498.631399999966"/>
        <n v="13983.472700000024"/>
        <n v="5230.5885000000007"/>
        <n v="6646.8899000000192"/>
        <n v="897.72010000000057"/>
        <n v="15638.370900000011"/>
        <n v="15146.047200000001"/>
        <n v="3232.2550999999939"/>
        <n v="10871.045000000016"/>
        <n v="12584.807800000048"/>
        <n v="12533.141200000015"/>
        <n v="41.5"/>
        <n v="6605.1754000000092"/>
        <n v="22170.221300000016"/>
        <n v="8460.9014999999981"/>
        <n v="5886.0270999999902"/>
        <n v="36086.71110000019"/>
        <n v="6976.9688999999953"/>
        <n v="15605.497699999974"/>
        <n v="9327.071199999993"/>
        <n v="12477.399599999993"/>
        <n v="13796.555100000089"/>
        <n v="14740.631100000033"/>
        <n v="23374.842500000035"/>
        <n v="8098.5486999999875"/>
        <n v="12431.143300000003"/>
        <m/>
        <n v="2465973.2971000024"/>
        <n v="14705.573099999992" u="1"/>
        <n v="49175.562499999985" u="1"/>
        <n v="18599.589200000002" u="1"/>
        <n v="21107.204099999995" u="1"/>
        <n v="34688.179300000003" u="1"/>
        <n v="3343.3946000000001" u="1"/>
        <n v="5292.4549999999999" u="1"/>
        <n v="26456.261900000012" u="1"/>
        <n v="18804.904000000002" u="1"/>
        <n v="24981.146699999994" u="1"/>
        <n v="13196.040000000005" u="1"/>
        <n v="25235.951600000008" u="1"/>
        <n v="22750.229600000002" u="1"/>
        <n v="20485.284400000004" u="1"/>
        <n v="40447.128400000001" u="1"/>
        <n v="16005.0834" u="1"/>
        <n v="26698.569900000002" u="1"/>
        <n v="51590.165300000052" u="1"/>
        <n v="29874.83609999999" u="1"/>
        <n v="68915.772799999992" u="1"/>
        <n v="17366.1607" u="1"/>
        <n v="37242.097299999987" u="1"/>
        <n v="27670.271399999994" u="1"/>
        <n v="73811.778900000078" u="1"/>
        <n v="41741.302599999974" u="1"/>
        <n v="23999.531299999995" u="1"/>
        <n v="13118.4516" u="1"/>
        <n v="28913.034200000002" u="1"/>
        <n v="9050.4975000000031" u="1"/>
        <n v="13121.837399999999" u="1"/>
        <n v="27478.019500000017" u="1"/>
        <n v="13907.857699999997" u="1"/>
        <n v="20366.694199999991" u="1"/>
        <n v="25407.013000000006" u="1"/>
        <n v="18596.280299999999" u="1"/>
        <n v="8234.0498999999982" u="1"/>
        <n v="13250.3995" u="1"/>
        <n v="68678.561800000025" u="1"/>
        <n v="21177.489300000001" u="1"/>
        <n v="26133.079700000006" u="1"/>
        <n v="59070.440700000043" u="1"/>
        <n v="68925.797500000044" u="1"/>
        <n v="38586.955499999996" u="1"/>
        <n v="27424.209500000004" u="1"/>
        <n v="15467.857899999997" u="1"/>
        <n v="56806.83189999999" u="1"/>
        <n v="37443.194199999998" u="1"/>
        <n v="43606.405799999993" u="1"/>
        <n v="45029.138400000011" u="1"/>
        <n v="19695.832099999996" u="1"/>
        <n v="34134.624100000001" u="1"/>
        <n v="17070.774099999995" u="1"/>
        <n v="18542.142100000001" u="1"/>
        <n v="12878.433099999998" u="1"/>
        <n v="16740.618099999996" u="1"/>
        <n v="23004.110200000003" u="1"/>
        <n v="42310.431499999999" u="1"/>
        <n v="49994.248199999973" u="1"/>
        <n v="5909.6303999999991" u="1"/>
        <n v="70850.177399999986" u="1"/>
        <n v="9983.8401000000031" u="1"/>
        <n v="28334.07190000001" u="1"/>
        <n v="20919.370600000009" u="1"/>
        <n v="16330.222099999999" u="1"/>
        <n v="17381.169200000004" u="1"/>
        <n v="13636.514300000001" u="1"/>
        <n v="14954.919199999998" u="1"/>
        <n v="10127.493300000002" u="1"/>
        <n v="22664.001800000002" u="1"/>
        <n v="4427.6724000000004" u="1"/>
        <n v="9002.4541000000008" u="1"/>
        <n v="11075.714499999998" u="1"/>
        <n v="6735.7878999999984" u="1"/>
        <n v="3599.2026000000001" u="1"/>
        <n v="28669.834399999996" u="1"/>
        <n v="32373.819299999999" u="1"/>
        <n v="13395.552" u="1"/>
        <n v="17055.461600000002" u="1"/>
        <n v="26489.849099999999" u="1"/>
        <n v="10636.383800000001" u="1"/>
        <n v="26153.994999999995" u="1"/>
        <n v="24912.683100000002" u="1"/>
        <n v="39132.027999999998" u="1"/>
        <n v="20237.861100000002" u="1"/>
        <n v="37172.509599999983" u="1"/>
        <n v="21304.126000000007" u="1"/>
        <n v="11997.512699999999" u="1"/>
        <n v="17610.8001" u="1"/>
        <n v="10753.480400000002" u="1"/>
        <n v="20801.462200000009" u="1"/>
        <n v="18075.547899999994" u="1"/>
        <n v="14340.154100000005" u="1"/>
        <n v="29608.176000000007" u="1"/>
        <n v="15292.0414" u="1"/>
        <n v="10747.060099999999" u="1"/>
        <n v="32439.180999999993" u="1"/>
        <n v="11836.651299999996" u="1"/>
        <n v="33030.527599999994" u="1"/>
        <n v="18992.438000000002" u="1"/>
        <n v="48873.646800000031" u="1"/>
        <n v="13218.408299999999" u="1"/>
        <n v="80.399699999999996" u="1"/>
        <n v="56023.140000000029" u="1"/>
        <n v="19847.6155" u="1"/>
        <n v="12086.1695" u="1"/>
        <n v="22219.801400000004" u="1"/>
        <n v="50260.623099999983" u="1"/>
        <n v="1675.3319999999999" u="1"/>
        <n v="1970.5554000000002" u="1"/>
        <n v="1231.4591" u="1"/>
        <n v="605.18389999999999" u="1"/>
        <n v="6123.0922999999993" u="1"/>
        <n v="1576.7989" u="1"/>
        <n v="851.83980000000008" u="1"/>
        <n v="509.90210000000002" u="1"/>
        <n v="13634.556200000001" u="1"/>
        <n v="54214.930200000017" u="1"/>
        <n v="53693.659099999975" u="1"/>
        <n v="22471.166999999994" u="1"/>
        <n v="28628.885999999999" u="1"/>
        <n v="12876.038099999998" u="1"/>
        <n v="34315.245300000002" u="1"/>
        <n v="704.11239999999998" u="1"/>
        <n v="364.03719999999998" u="1"/>
        <n v="2286.2145999999998" u="1"/>
        <n v="445.75299999999999" u="1"/>
        <n v="1351.8652" u="1"/>
        <n v="256.02879999999999" u="1"/>
        <n v="459.32990000000007" u="1"/>
        <n v="256.8193" u="1"/>
        <n v="1218.7547999999999" u="1"/>
        <n v="51770.554499999984" u="1"/>
        <n v="12203.762499999997" u="1"/>
        <n v="36541.262900000009" u="1"/>
        <n v="18907.088800000009" u="1"/>
        <n v="14922.113599999999" u="1"/>
        <n v="26532.738299999994" u="1"/>
        <n v="23013.736200000007" u="1"/>
        <n v="37112.275899999986" u="1"/>
        <n v="29720.82959999999" u="1"/>
        <n v="42081.948300000004" u="1"/>
        <n v="48463.692100000022" u="1"/>
        <n v="50169.032900000006" u="1"/>
        <n v="18179.60809999999" u="1"/>
        <n v="11470.745699999998" u="1"/>
        <n v="32318.780200000005" u="1"/>
        <n v="52170.191699999996" u="1"/>
        <n v="31208.22979999999" u="1"/>
        <n v="26674.3403" u="1"/>
        <n v="18684.575100000005" u="1"/>
        <n v="927.25669999999991" u="1"/>
        <n v="12263.627799999998" u="1"/>
        <n v="15348.872900000002" u="1"/>
        <n v="16798.770400000001" u="1"/>
        <n v="46598.628300000004" u="1"/>
        <n v="24294.288299999997" u="1"/>
        <n v="9774.2906000000021" u="1"/>
        <n v="11384.472700000002" u="1"/>
        <n v="52119.279400000021" u="1"/>
        <n v="28125.902300000005" u="1"/>
        <n v="52529.431400000001" u="1"/>
        <n v="26601.739400000002" u="1"/>
        <n v="13425.064999999997" u="1"/>
        <n v="12611.651700000004" u="1"/>
        <n v="19355.419199999997" u="1"/>
        <n v="19618.588899999999" u="1"/>
        <n v="18384.728800000001" u="1"/>
        <n v="20057.20389999999" u="1"/>
        <n v="68457.722000000009" u="1"/>
        <n v="23840.202799999995" u="1"/>
        <n v="12453.520600000003" u="1"/>
        <n v="14433.817000000003" u="1"/>
        <n v="13073.290000000003" u="1"/>
        <n v="37723.097899999986" u="1"/>
        <n v="18576.071199999998" u="1"/>
        <n v="87354.687300000034" u="1"/>
        <n v="53323.222500000062" u="1"/>
        <n v="29741.225699999992" u="1"/>
        <n v="28044.372300000003" u="1"/>
        <n v="23053.226300000002" u="1"/>
        <n v="10238.501700000003" u="1"/>
        <n v="2742.2098999999998" u="1"/>
        <n v="38411.732799999998" u="1"/>
        <n v="35322.165800000002" u="1"/>
        <n v="12312.840599999996" u="1"/>
        <n v="18547.035500000002" u="1"/>
        <n v="25447.374500000005" u="1"/>
        <n v="19429.412000000004" u="1"/>
        <n v="13486.814600000002" u="1"/>
        <n v="33473.9516" u="1"/>
        <n v="27849.283900000009" u="1"/>
        <n v="17905.351900000001" u="1"/>
        <n v="48965.185299999925" u="1"/>
        <n v="16709.489600000004" u="1"/>
        <n v="45496.111500000006" u="1"/>
        <n v="21251.287699999993" u="1"/>
        <n v="23487.19579999999" u="1"/>
        <n v="27338.834199999998" u="1"/>
        <n v="31648.866799999978" u="1"/>
        <n v="34907.285099999986" u="1"/>
        <n v="12985.173000000004" u="1"/>
        <n v="29193.809600000001" u="1"/>
        <n v="4901261.6202999996" u="1"/>
        <n v="14705.573099999994" u="1"/>
        <n v="49175.562500000116" u="1"/>
        <n v="18599.589200000013" u="1"/>
        <n v="34688.179299999989" u="1"/>
        <n v="5292.4549999999981" u="1"/>
        <n v="26456.261900000009" u="1"/>
        <n v="18804.904000000006" u="1"/>
        <n v="24981.146700000019" u="1"/>
        <n v="13196.04" u="1"/>
        <n v="22750.229600000021" u="1"/>
        <n v="20485.284400000011" u="1"/>
        <n v="40447.128399999972" u="1"/>
        <n v="16005.08340000001" u="1"/>
        <n v="26698.569899999991" u="1"/>
        <n v="51590.165300000037" u="1"/>
        <n v="29874.836100000004" u="1"/>
        <n v="68915.772800000108" u="1"/>
        <n v="37242.097299999994" u="1"/>
        <n v="27670.271399999998" u="1"/>
        <n v="73811.778900000034" u="1"/>
        <n v="41741.30260000001" u="1"/>
        <n v="23999.53130000001" u="1"/>
        <n v="13118.451600000011" u="1"/>
        <n v="28913.034200000009" u="1"/>
        <n v="9050.4974999999795" u="1"/>
        <n v="13121.837400000011" u="1"/>
        <n v="27478.019499999995" u="1"/>
        <n v="13907.857699999977" u="1"/>
        <n v="20366.694200000013" u="1"/>
        <n v="25407.01300000001" u="1"/>
        <n v="18596.280299999977" u="1"/>
        <n v="8234.0498999999909" u="1"/>
        <n v="13250.399499999989" u="1"/>
        <n v="68678.561799999967" u="1"/>
        <n v="21177.489300000012" u="1"/>
        <n v="26133.079699999987" u="1"/>
        <n v="59070.440700000108" u="1"/>
        <n v="68925.797500000102" u="1"/>
        <n v="38586.955500000011" u="1"/>
        <n v="27424.209499999975" u="1"/>
        <n v="15467.857899999977" u="1"/>
        <n v="56806.831900000325" u="1"/>
        <n v="37443.194200000005" u="1"/>
        <n v="43606.405800000044" u="1"/>
        <n v="45029.138400000076" u="1"/>
        <n v="19695.832100000036" u="1"/>
        <n v="34134.624100000074" u="1"/>
        <n v="17070.774100000013" u="1"/>
        <n v="18542.142099999939" u="1"/>
        <n v="12878.433100000009" u="1"/>
        <n v="16740.618100000003" u="1"/>
        <n v="23004.110199999985" u="1"/>
        <n v="42310.431500000108" u="1"/>
        <n v="49994.248200000126" u="1"/>
        <n v="5909.6304" u="1"/>
        <n v="70850.177400000073" u="1"/>
        <n v="9983.8400999999976" u="1"/>
        <n v="20919.37059999998" u="1"/>
        <n v="16330.222099999994" u="1"/>
        <n v="17381.1692" u="1"/>
        <n v="13636.514299999984" u="1"/>
        <n v="14954.9192" u="1"/>
        <n v="10127.493299999987" u="1"/>
        <n v="22664.00180000002" u="1"/>
        <n v="4427.6724000000013" u="1"/>
        <n v="9002.4541000000045" u="1"/>
        <n v="11075.714499999996" u="1"/>
        <n v="6735.7878999999994" u="1"/>
        <n v="3599.2026000000005" u="1"/>
        <n v="28669.834400000069" u="1"/>
        <n v="32373.819300000061" u="1"/>
        <n v="13395.552000000016" u="1"/>
        <n v="17055.461599999999" u="1"/>
        <n v="26489.849100000032" u="1"/>
        <n v="10636.383799999998" u="1"/>
        <n v="26153.994999999974" u="1"/>
        <n v="24912.683099999958" u="1"/>
        <n v="39132.028000000028" u="1"/>
        <n v="20237.861099999973" u="1"/>
        <n v="37172.509600000027" u="1"/>
        <n v="21304.125999999975" u="1"/>
        <n v="11997.512700000014" u="1"/>
        <n v="17610.800100000029" u="1"/>
        <n v="10753.480400000006" u="1"/>
        <n v="20801.462200000027" u="1"/>
        <n v="18075.547899999998" u="1"/>
        <n v="14340.154099999996" u="1"/>
        <n v="29608.176000000003" u="1"/>
        <n v="15292.041400000002" u="1"/>
        <n v="10747.060100000002" u="1"/>
        <n v="32439.180999999986" u="1"/>
        <n v="11836.651300000005" u="1"/>
        <n v="33030.527600000016" u="1"/>
        <n v="18992.438000000006" u="1"/>
        <n v="48873.646800000133" u="1"/>
        <n v="13218.408300000006" u="1"/>
        <n v="56023.139999999985" u="1"/>
        <n v="19847.615499999971" u="1"/>
        <n v="12086.169499999996" u="1"/>
        <n v="22219.801400000018" u="1"/>
        <n v="50260.623100000092" u="1"/>
        <n v="1675.3320000000001" u="1"/>
        <n v="605.18390000000011" u="1"/>
        <n v="6123.0922999999984" u="1"/>
        <n v="1576.7989000000002" u="1"/>
        <n v="851.83979999999997" u="1"/>
        <n v="13634.556199999992" u="1"/>
        <n v="54214.930200000068" u="1"/>
        <n v="53693.65910000015" u="1"/>
        <n v="28628.886000000079" u="1"/>
        <n v="12876.038100000003" u="1"/>
        <n v="34315.245300000082" u="1"/>
        <n v="704.11239999999964" u="1"/>
        <n v="364.0372000000001" u="1"/>
        <n v="445.75300000000004" u="1"/>
        <n v="1351.8651999999995" u="1"/>
        <n v="256.02879999999993" u="1"/>
        <n v="459.32990000000001" u="1"/>
        <n v="39198.062800000029" u="1"/>
        <n v="12203.762499999993" u="1"/>
        <n v="36541.262900000074" u="1"/>
        <n v="18907.088800000041" u="1"/>
        <n v="14922.113599999991" u="1"/>
        <n v="23013.736200000028" u="1"/>
        <n v="37112.275900000095" u="1"/>
        <n v="29720.829599999968" u="1"/>
        <n v="42081.94830000004" u="1"/>
        <n v="48463.692100000117" u="1"/>
        <n v="50169.032900000158" u="1"/>
        <n v="18179.608099999961" u="1"/>
        <n v="11470.745699999987" u="1"/>
        <n v="32318.780199999976" u="1"/>
        <n v="52170.19170000017" u="1"/>
        <n v="31208.229800000168" u="1"/>
        <n v="26674.340300000076" u="1"/>
        <n v="18684.575099999987" u="1"/>
        <n v="13499.748400000022" u="1"/>
        <n v="15348.872899999998" u="1"/>
        <n v="16798.77039999999" u="1"/>
        <n v="46598.628300000099" u="1"/>
        <n v="24294.288299999986" u="1"/>
        <n v="9774.2905999999948" u="1"/>
        <n v="11384.472699999998" u="1"/>
        <n v="52119.279400000116" u="1"/>
        <n v="28125.902299999991" u="1"/>
        <n v="52529.431400000089" u="1"/>
        <n v="26601.739399999969" u="1"/>
        <n v="13425.06500000001" u="1"/>
        <n v="19355.419199999989" u="1"/>
        <n v="19618.58890000001" u="1"/>
        <n v="18384.728800000004" u="1"/>
        <n v="20057.203899999968" u="1"/>
        <n v="68457.72199999998" u="1"/>
        <n v="23840.202800000021" u="1"/>
        <n v="12453.520600000005" u="1"/>
        <n v="14433.816999999994" u="1"/>
        <n v="13073.289999999999" u="1"/>
        <n v="37723.09790000003" u="1"/>
        <n v="87354.687299999991" u="1"/>
        <n v="53323.222500000207" u="1"/>
        <n v="29741.225699999955" u="1"/>
        <n v="28044.372300000021" u="1"/>
        <n v="23053.226299999991" u="1"/>
        <n v="10238.501700000013" u="1"/>
        <n v="38411.732800000056" u="1"/>
        <n v="35322.165800000017" u="1"/>
        <n v="12312.840599999985" u="1"/>
        <n v="18547.035499999991" u="1"/>
        <n v="25447.374499999987" u="1"/>
        <n v="19429.41199999996" u="1"/>
        <n v="13486.814600000016" u="1"/>
        <n v="33473.951600000037" u="1"/>
        <n v="27849.283900000039" u="1"/>
        <n v="17905.351899999983" u="1"/>
        <n v="48965.185299999714" u="1"/>
        <n v="16709.489600000001" u="1"/>
        <n v="45496.111500000079" u="1"/>
        <n v="21251.287699999986" u="1"/>
        <n v="23487.195800000027" u="1"/>
        <n v="27338.834199999965" u="1"/>
        <n v="31648.866800000025" u="1"/>
        <n v="34907.285100000037" u="1"/>
        <n v="12985.17299999999" u="1"/>
        <n v="29193.809600000008" u="1"/>
        <n v="4901261.6203000033" u="1"/>
        <n v="18524.8518" u="1"/>
        <n v="39331.385600000169" u="1"/>
        <n v="21244.787599999992" u="1"/>
        <n v="15757.259900000005" u="1"/>
        <n v="39576.193799999994" u="1"/>
        <n v="3609.8032000000017" u="1"/>
        <n v="3576.1109000000001" u="1"/>
        <n v="18619.594300000004" u="1"/>
        <n v="12478.890400000008" u="1"/>
        <n v="28408.980599999992" u="1"/>
        <n v="11138.164999999999" u="1"/>
        <n v="31106.79899999997" u="1"/>
        <n v="20703.460700000011" u="1"/>
        <n v="15683.9539" u="1"/>
        <n v="33505.224100000036" u="1"/>
        <n v="14842.417000000005" u="1"/>
        <n v="22893.423900000009" u="1"/>
        <n v="27559.195399999997" u="1"/>
        <n v="21546.409599999999" u="1"/>
        <n v="41483.929200000028" u="1"/>
        <n v="14701.577899999986" u="1"/>
        <n v="25197.742300000013" u="1"/>
        <n v="19659.640400000026" u="1"/>
        <n v="42126.282300000195" u="1"/>
        <n v="34060.175400000095" u="1"/>
        <n v="32023.55480000002" u="1"/>
        <n v="11639.546099999981" u="1"/>
        <n v="23314.25770000002" u="1"/>
        <n v="14789.583499999992" u="1"/>
        <n v="24272.788300000015" u="1"/>
        <n v="13341.466599999994" u="1"/>
        <n v="17560.327099999991" u="1"/>
        <n v="17249.338600000003" u="1"/>
        <n v="11487.357899999986" u="1"/>
        <n v="9404.341699999999" u="1"/>
        <n v="14072.891500000002" u="1"/>
        <n v="50211.096100000104" u="1"/>
        <n v="16854.121999999996" u="1"/>
        <n v="22239.999699999986" u="1"/>
        <n v="49951.080299999987" u="1"/>
        <n v="46769.951400000078" u="1"/>
        <n v="32215.276499999956" u="1"/>
        <n v="23597.754700000012" u="1"/>
        <n v="15805.009999999998" u="1"/>
        <n v="39596.23900000038" u="1"/>
        <n v="37320.127800000017" u="1"/>
        <n v="29813.654000000108" u="1"/>
        <n v="33430.55580000006" u="1"/>
        <n v="18250.046599999998" u="1"/>
        <n v="27501.319900000053" u="1"/>
        <n v="17693.755199999989" u="1"/>
        <n v="17222.41150000002" u="1"/>
        <n v="15941.805599999992" u="1"/>
        <n v="11560.894600000001" u="1"/>
        <n v="17317.136499999993" u="1"/>
        <n v="29581.238700000056" u="1"/>
        <n v="30767.135200000106" u="1"/>
        <n v="1780.9176999999995" u="1"/>
        <n v="42120.287400000125" u="1"/>
        <n v="12789.444799999997" u="1"/>
        <n v="26671.636400000061" u="1"/>
        <n v="18611.804300000003" u="1"/>
        <n v="12618.749400000004" u="1"/>
        <n v="4938.0135000000009" u="1"/>
        <n v="12662.996399999996" u="1"/>
        <n v="13171.376300000007" u="1"/>
        <n v="11414.522399999996" u="1"/>
        <n v="15803.528099999996" u="1"/>
        <n v="6342.3035999999975" u="1"/>
        <n v="9003.2993999999981" u="1"/>
        <n v="13224.982399999986" u="1"/>
        <n v="7095.0367999999999" u="1"/>
        <n v="2840.4463999999998" u="1"/>
        <n v="17994.658200000005" u="1"/>
        <n v="25475.921900000059" u="1"/>
        <n v="12537.043600000001" u="1"/>
        <n v="21605.331800000004" u="1"/>
        <n v="28173.255200000094" u="1"/>
        <n v="9587.6912999999986" u="1"/>
        <n v="22725.342999999979" u="1"/>
        <n v="28745.832400000061" u="1"/>
        <n v="31428.781199999983" u="1"/>
        <n v="15301.738000000003" u="1"/>
        <n v="33182.601999999992" u="1"/>
        <n v="14942.406400000002" u="1"/>
        <n v="7899.1621999999916" u="1"/>
        <n v="13495.740300000005" u="1"/>
        <n v="7346.9273000000003" u="1"/>
        <n v="14406.256499999992" u="1"/>
        <n v="17591.709600000006" u="1"/>
        <n v="10282.171099999992" u="1"/>
        <n v="18633.418000000001" u="1"/>
        <n v="12893.225399999999" u="1"/>
        <n v="9203.4372999999978" u="1"/>
        <n v="23308.011800000011" u="1"/>
        <n v="11288.302200000002" u="1"/>
        <n v="26425.463400000011" u="1"/>
        <n v="13232.231100000005" u="1"/>
        <n v="42306.198800000078" u="1"/>
        <n v="10439.095799999999" u="1"/>
        <n v="218.9196" u="1"/>
        <n v="30563.672500000059" u="1"/>
        <n v="19129.513099999975" u="1"/>
        <n v="15408.391499999987" u="1"/>
        <n v="14548.118300000002" u="1"/>
        <n v="39871.452200000058" u="1"/>
        <n v="1602.5806999999986" u="1"/>
        <n v="754.7919999999998" u="1"/>
        <n v="768.33079999999995" u="1"/>
        <n v="827.50390000000027" u="1"/>
        <n v="8431.3166000000001" u="1"/>
        <n v="1362.7732999999996" u="1"/>
        <n v="676.89169999999979" u="1"/>
        <n v="15783.920400000001" u="1"/>
        <n v="44927.740099999995" u="1"/>
        <n v="41146.680400000063" u="1"/>
        <n v="28365.485100000056" u="1"/>
        <n v="20949.323600000025" u="1"/>
        <n v="11550.000300000003" u="1"/>
        <n v="29288.521900000011" u="1"/>
        <n v="777.42930000000001" u="1"/>
        <n v="421.74659999999983" u="1"/>
        <n v="1957.4166000000009" u="1"/>
        <n v="592.31150000000002" u="1"/>
        <n v="1492.7650000000001" u="1"/>
        <n v="306.50330000000002" u="1"/>
        <n v="557.99409999999989" u="1"/>
        <n v="432.59449999999987" u="1"/>
        <n v="873.09500000000014" u="1"/>
        <n v="25798.307400000023" u="1"/>
        <n v="11465.036999999997" u="1"/>
        <n v="29194.918300000074" u="1"/>
        <n v="11571.022100000007" u="1"/>
        <n v="14761.334299999988" u="1"/>
        <n v="22471.009299999976" u="1"/>
        <n v="22946.32650000001" u="1"/>
        <n v="40229.724600000111" u="1"/>
        <n v="30917.233500000013" u="1"/>
        <n v="33375.853400000095" u="1"/>
        <n v="38595.522100000133" u="1"/>
        <n v="33240.039700000103" u="1"/>
        <n v="17443.896700000019" u="1"/>
        <n v="6045.0306" u="1"/>
        <n v="26704.361600000055" u="1"/>
        <n v="31651.586200000274" u="1"/>
        <n v="18369.832299999976" u="1"/>
        <n v="21613.723500000036" u="1"/>
        <n v="18182.319199999998" u="1"/>
        <n v="20396.413400000012" u="1"/>
        <n v="8445.156599999993" u="1"/>
        <n v="12909.301599999993" u="1"/>
        <n v="11713.461000000003" u="1"/>
        <n v="28638.851600000082" u="1"/>
        <n v="24177.660499999998" u="1"/>
        <n v="8211.3466000000008" u="1"/>
        <n v="11732.720900000002" u="1"/>
        <n v="44169.403000000151" u="1"/>
        <n v="24556.678400000004" u="1"/>
        <n v="37003.455100000036" u="1"/>
        <n v="25650.036799999994" u="1"/>
        <n v="17218.999499999998" u="1"/>
        <n v="9466.3870000000043" u="1"/>
        <n v="19822.840100000034" u="1"/>
        <n v="18447.860000000008" u="1"/>
        <n v="18783.62880000001" u="1"/>
        <n v="18845.878800000002" u="1"/>
        <n v="53099.757900000011" u="1"/>
        <n v="24698.604300000017" u="1"/>
        <n v="10379.500100000001" u="1"/>
        <n v="19570.223499999986" u="1"/>
        <n v="15093.2693" u="1"/>
        <n v="34674.576699999991" u="1"/>
        <n v="19086.910500000009" u="1"/>
        <n v="58626.59820000027" u="1"/>
        <n v="41072.402200000121" u="1"/>
        <n v="25426.901700000024" u="1"/>
        <n v="24241.041700000002" u="1"/>
        <n v="11988.718000000008" u="1"/>
        <n v="12800.915700000009" u="1"/>
        <n v="1821.1840999999995" u="1"/>
        <n v="30311.711999999992" u="1"/>
        <n v="27764.549399999989" u="1"/>
        <n v="8833.3625999999822" u="1"/>
        <n v="16611.19639999999" u="1"/>
        <n v="25133.671900000023" u="1"/>
        <n v="18636.922000000013" u="1"/>
        <n v="16054.521399999994" u="1"/>
        <n v="30732.202799999999" u="1"/>
        <n v="17713.952699999983" u="1"/>
        <n v="13330.095199999987" u="1"/>
        <n v="49852.354400000251" u="1"/>
        <n v="16481.568199999987" u="1"/>
        <n v="36119.213000000098" u="1"/>
        <n v="16835.854499999987" u="1"/>
        <n v="15965.228099999997" u="1"/>
        <n v="27160.989800000021" u="1"/>
        <n v="30910.57170000003" u="1"/>
        <n v="24267.357100000034" u="1"/>
        <n v="12268.075100000004" u="1"/>
        <n v="28781.833700000039" u="1"/>
        <n v="4026374.3980000024" u="1"/>
        <n v="18524.851799999997" u="1"/>
        <n v="40019.531299999988" u="1"/>
        <n v="21470.318600000002" u="1"/>
        <n v="16040.046099999994" u="1"/>
        <n v="40063.509200000008" u="1"/>
        <n v="3690.9919999999993" u="1"/>
        <n v="3653.6920999999998" u="1"/>
        <n v="19004.5641" u="1"/>
        <n v="12806.165800000002" u="1"/>
        <n v="28591.494700000003" u="1"/>
        <n v="11303.704300000003" u="1"/>
        <n v="31613.620900000009" u="1"/>
        <n v="20934.399699999994" u="1"/>
        <n v="15914.567699999994" u="1"/>
        <n v="34276.810500000007" u="1"/>
        <n v="15064.857299999996" u="1"/>
        <n v="23330.760700000003" u="1"/>
        <n v="28074.29489999999" u="1"/>
        <n v="21835.536599999996" u="1"/>
        <n v="42063.583399999996" u="1"/>
        <n v="14962.491699999999" u="1"/>
        <n v="25516.382500000003" u="1"/>
        <n v="20002.415000000008" u="1"/>
        <n v="42896.188500000011" u="1"/>
        <n v="34521.939300000005" u="1"/>
        <n v="32197.154100000022" u="1"/>
        <n v="11943.912399999996" u="1"/>
        <n v="23773.496100000004" u="1"/>
        <n v="14994.353499999997" u="1"/>
        <n v="24647.23109999999" u="1"/>
        <n v="13801.426799999999" u="1"/>
        <n v="17973.899799999999" u="1"/>
        <n v="17508.692200000005" u="1"/>
        <n v="11871.440299999998" u="1"/>
        <n v="9510.0030000000006" u="1"/>
        <n v="14367.494599999995" u="1"/>
        <n v="51135.195200000002" u="1"/>
        <n v="17215.6852" u="1"/>
        <n v="22731.228199999998" u="1"/>
        <n v="50484.919299999994" u="1"/>
        <n v="47332.270299999996" u="1"/>
        <n v="32718.064999999988" u="1"/>
        <n v="23989.659899999991" u="1"/>
        <n v="16139.5363" u="1"/>
        <n v="40220.434500000003" u="1"/>
        <n v="38027.37720000001" u="1"/>
        <n v="30353.788200000017" u="1"/>
        <n v="34013.177399999993" u="1"/>
        <n v="18580.783399999993" u="1"/>
        <n v="27979.996699999992" u="1"/>
        <n v="18033.650500000007" u="1"/>
        <n v="17498.366600000001" u="1"/>
        <n v="16206.203400000002" u="1"/>
        <n v="11686.6216" u="1"/>
        <n v="17585.915400000005" u="1"/>
        <n v="30010.060699999991" u="1"/>
        <n v="31268.672700000003" u="1"/>
        <n v="1780.9177" u="1"/>
        <n v="42607.5573" u="1"/>
        <n v="12925.422100000002" u="1"/>
        <n v="27036.650800000003" u="1"/>
        <n v="18896.943399999996" u="1"/>
        <n v="12757.895499999999" u="1"/>
        <n v="5087.4456999999993" u="1"/>
        <n v="12888.680299999998" u="1"/>
        <n v="13335.976200000001" u="1"/>
        <n v="11553.213399999999" u="1"/>
        <n v="16049.014199999994" u="1"/>
        <n v="6426.4109999999991" u="1"/>
        <n v="9071.5824999999968" u="1"/>
        <n v="13411.233799999996" u="1"/>
        <n v="7206.2393000000011" u="1"/>
        <n v="2902.1905000000002" u="1"/>
        <n v="18351.082999999995" u="1"/>
        <n v="25876.361400000002" u="1"/>
        <n v="12731.127600000002" u="1"/>
        <n v="21801.713499999987" u="1"/>
        <n v="28711.793700000017" u="1"/>
        <n v="9753.1687999999995" u="1"/>
        <n v="23071.195699999997" u="1"/>
        <n v="29182.795699999988" u="1"/>
        <n v="31952.961300000003" u="1"/>
        <n v="15631.568200000007" u="1"/>
        <n v="33713.958100000011" u="1"/>
        <n v="15299.578799999996" u="1"/>
        <n v="8034.6910999999982" u="1"/>
        <n v="13903.671200000001" u="1"/>
        <n v="7666.8480000000009" u="1"/>
        <n v="14685.262999999995" u="1"/>
        <n v="17761.480199999991" u="1"/>
        <n v="10348.114199999998" u="1"/>
        <n v="152911.67050000001" u="1"/>
        <n v="13100.959300000002" u="1"/>
        <n v="9357.4130999999979" u="1"/>
        <n v="23831.454000000002" u="1"/>
        <n v="11387.164500000003" u="1"/>
        <n v="26878.754199999999" u="1"/>
        <n v="13379.232399999995" u="1"/>
        <n v="42955.705400000006" u="1"/>
        <n v="10631.974000000002" u="1"/>
        <n v="222.50789999999995" u="1"/>
        <n v="31032.037100000009" u="1"/>
        <n v="19518.236599999993" u="1"/>
        <n v="15537.618600000002" u="1"/>
        <n v="14958.3045" u="1"/>
        <n v="40663.688900000001" u="1"/>
        <n v="1631.2235999999998" u="1"/>
        <n v="781.68299999999988" u="1"/>
        <n v="789.245" u="1"/>
        <n v="847.94370000000004" u="1"/>
        <n v="8559.2793000000001" u="1"/>
        <n v="1366.9204999999999" u="1"/>
        <n v="703.34720000000004" u="1"/>
        <n v="16004.417200000004" u="1"/>
        <n v="45603.308499999977" u="1"/>
        <n v="41852.993800000004" u="1"/>
        <n v="28595.185900000008" u="1"/>
        <n v="21359.116499999996" u="1"/>
        <n v="11672.535599999996" u="1"/>
        <n v="29914.865800000003" u="1"/>
        <n v="798.27209999999991" u="1"/>
        <n v="438.61789999999996" u="1"/>
        <n v="2031.2506000000001" u="1"/>
        <n v="620.18430000000012" u="1"/>
        <n v="1557.8175999999999" u="1"/>
        <n v="324.14819999999997" u="1"/>
        <n v="569.63290000000006" u="1"/>
        <n v="462.45279999999991" u="1"/>
        <n v="903.55459999999994" u="1"/>
        <n v="26277.553200000017" u="1"/>
        <n v="11651.145600000002" u="1"/>
        <n v="29932.434799999999" u="1"/>
        <n v="11868.225600000002" u="1"/>
        <n v="15067.5954" u="1"/>
        <n v="22958.899999999998" u="1"/>
        <n v="23405.558399999994" u="1"/>
        <n v="40934.604700000011" u="1"/>
        <n v="31310.055199999995" u="1"/>
        <n v="34033.296300000031" u="1"/>
        <n v="39327.581700000002" u="1"/>
        <n v="33874.108799999995" u="1"/>
        <n v="17624.99709999999" u="1"/>
        <n v="6206.7934000000014" u="1"/>
        <n v="27171.825900000003" u="1"/>
        <n v="32432.418800000007" u="1"/>
        <n v="18972.558499999999" u="1"/>
        <n v="22155.352799999997" u="1"/>
        <n v="18481.589399999997" u="1"/>
        <n v="20715.333400000003" u="1"/>
        <n v="8626.2178999999996" u="1"/>
        <n v="13185.802299999998" u="1"/>
        <n v="11825.131500000001" u="1"/>
        <n v="29309.415000000001" u="1"/>
        <n v="24604.522700000005" u="1"/>
        <n v="8373.1255000000001" u="1"/>
        <n v="11856.169400000001" u="1"/>
        <n v="44598.507500000022" u="1"/>
        <n v="24943.591799999991" u="1"/>
        <n v="37275.737499999996" u="1"/>
        <n v="26231.069100000008" u="1"/>
        <n v="17512.254000000004" u="1"/>
        <n v="9672.4147999999986" u="1"/>
        <n v="20049.690699999992" u="1"/>
        <n v="18674.8406" u="1"/>
        <n v="19042.875399999994" u="1"/>
        <n v="19104.985599999993" u="1"/>
        <n v="53741.672499999964" u="1"/>
        <n v="25186.306500000006" u="1"/>
        <n v="10619.965" u="1"/>
        <n v="20018.694800000001" u="1"/>
        <n v="15280.261699999999" u="1"/>
        <n v="35370.636399999981" u="1"/>
        <n v="19379.927899999999" u="1"/>
        <n v="59796.985299999935" u="1"/>
        <n v="41567.563099999999" u="1"/>
        <n v="25969.502700000005" u="1"/>
        <n v="24673.165500000006" u="1"/>
        <n v="12085.162300000002" u="1"/>
        <n v="13010.801199999996" u="1"/>
        <n v="1840.4539" u="1"/>
        <n v="30904.061000000012" u="1"/>
        <n v="28075.454699999995" u="1"/>
        <n v="9071.0226999999995" u="1"/>
        <n v="16901.438200000004" u="1"/>
        <n v="25413.19850000001" u="1"/>
        <n v="19029.220399999998" u="1"/>
        <n v="16331.1489" u="1"/>
        <n v="31110.321399999997" u="1"/>
        <n v="18124.6427" u="1"/>
        <n v="13658.501999999997" u="1"/>
        <n v="50853.540400000005" u="1"/>
        <n v="16823.494700000003" u="1"/>
        <n v="36745.527700000006" u="1"/>
        <n v="17173.958999999999" u="1"/>
        <n v="16199.748800000003" u="1"/>
        <n v="27624.063299999994" u="1"/>
        <n v="31415.397999999994" u="1"/>
        <n v="24745.816100000011" u="1"/>
        <n v="12514.727799999999" u="1"/>
        <n v="29245.521400000009" u="1"/>
        <n v="4227937.0819000015" u="1"/>
        <n v="29826.130900000124" u="1"/>
        <n v="26935.277200000048" u="1"/>
        <n v="10647.77000000005" u="1"/>
        <n v="15929.971099999992" u="1"/>
        <n v="1644.5165999999999" u="1"/>
        <n v="1504.8474999999985" u="1"/>
        <n v="20643.273700000023" u="1"/>
        <n v="12319.124899999984" u="1"/>
        <n v="13299.097099999999" u="1"/>
        <n v="7714.2232999999997" u="1"/>
        <n v="20183.499000000036" u="1"/>
        <n v="12277.512999999997" u="1"/>
        <n v="12711.733099999987" u="1"/>
        <n v="27246.668100000181" u="1"/>
        <n v="12522.683399999982" u="1"/>
        <n v="13324.077700000005" u="1"/>
        <n v="26037.232699999968" u="1"/>
        <n v="12264.437500000013" u="1"/>
        <n v="26215.464200000049" u="1"/>
        <n v="10460.055599999991" u="1"/>
        <n v="15219.72320000002" u="1"/>
        <n v="11368.859400000027" u="1"/>
        <n v="31263.722700000217" u="1"/>
        <n v="16347.567100000058" u="1"/>
        <n v="17833.295599999961" u="1"/>
        <n v="8136.7690999999922" u="1"/>
        <n v="16658.983300000018" u="1"/>
        <n v="9877.7624000000014" u="1"/>
        <n v="21512.837700000004" u="1"/>
        <n v="9290.7416000000539" u="1"/>
        <n v="12573.351400000043" u="1"/>
        <n v="12374.400800000018" u="1"/>
        <n v="11332.37520000005" u="1"/>
        <n v="11092.194900000008" u="1"/>
        <n v="11984.012900000018" u="1"/>
        <n v="42432.898499999974" u="1"/>
        <n v="14103.030200000001" u="1"/>
        <n v="17132.45410000001" u="1"/>
        <n v="27422.968300000055" u="1"/>
        <n v="30149.696100000077" u="1"/>
        <n v="18673.540400000042" u="1"/>
        <n v="17673.041599999997" u="1"/>
        <n v="13983.360600000018" u="1"/>
        <n v="23115.200900000196" u="1"/>
        <n v="33979.689500000095" u="1"/>
        <n v="30586.613699999987" u="1"/>
        <n v="26392.067400000094" u="1"/>
        <n v="14053.541300000008" u="1"/>
        <n v="20473.07969999998" u="1"/>
        <n v="13020.777500000002" u="1"/>
        <n v="16802.005800000035" u="1"/>
        <n v="12324.565700000016" u="1"/>
        <n v="8540.1034000000036" u="1"/>
        <n v="12506.833599999994" u="1"/>
        <n v="18099.817300000075" u="1"/>
        <n v="18103.621600000039" u="1"/>
        <n v="18496.759200000055" u="1"/>
        <n v="6122.8108999999977" u="1"/>
        <n v="38599.65269999981" u="1"/>
        <n v="14332.014400000013" u="1"/>
        <n v="7703.2487999999967" u="1"/>
        <n v="7121.7261000000062" u="1"/>
        <n v="10873.809500000021" u="1"/>
        <n v="5182.7397999999948" u="1"/>
        <n v="6447.5346999999983" u="1"/>
        <n v="15509.288800000018" u="1"/>
        <n v="3417.4506000000001" u="1"/>
        <n v="1949.2800999999961" u="1"/>
        <n v="5980.0768000000098" u="1"/>
        <n v="2951.4314999999942" u="1"/>
        <n v="1716.6730999999993" u="1"/>
        <n v="15090.246799999999" u="1"/>
        <n v="21051.870199999998" u="1"/>
        <n v="9688.4724000000006" u="1"/>
        <n v="14737.212700000009" u="1"/>
        <n v="25155.366800000065" u="1"/>
        <n v="6417.8527999999942" u="1"/>
        <n v="17854.0514" u="1"/>
        <n v="16518.589100000005" u="1"/>
        <n v="21097.597500000047" u="1"/>
        <n v="11328.645500000026" u="1"/>
        <n v="23429.431000000033" u="1"/>
        <n v="14315.300699999996" u="1"/>
        <n v="6374.1179000000111" u="1"/>
        <n v="10637.710400000011" u="1"/>
        <n v="5382.3926000000047" u="1"/>
        <n v="9989.1535000000222" u="1"/>
        <n v="8386.5007000000132" u="1"/>
        <n v="9714.4607000000033" u="1"/>
        <n v="13481.126700000019" u="1"/>
        <n v="6654.4288000000033" u="1"/>
        <n v="6003.1443000000008" u="1"/>
        <n v="22284.214100000059" u="1"/>
        <n v="6529.456499999992" u="1"/>
        <n v="20107.16859999999" u="1"/>
        <n v="10964.163099999989" u="1"/>
        <n v="25809.605600000083" u="1"/>
        <n v="8053.0288000000101" u="1"/>
        <n v="145.3783" u="1"/>
        <n v="20244.918000000016" u="1"/>
        <n v="17750.011999999977" u="1"/>
        <n v="8939.6135999999969" u="1"/>
        <n v="12468.470000000076" u="1"/>
        <n v="29343.059700000096" u="1"/>
        <n v="1589.9728" u="1"/>
        <n v="1273.0200000000002" u="1"/>
        <n v="1673.0279999999993" u="1"/>
        <n v="1370.2561999999998" u="1"/>
        <n v="7592.9460999999992" u="1"/>
        <n v="2049.0976999999998" u="1"/>
        <n v="1285.2366" u="1"/>
        <n v="10695.006899999993" u="1"/>
        <n v="29389.606900000021" u="1"/>
        <n v="29412.873300000079" u="1"/>
        <n v="18544.068299999995" u="1"/>
        <n v="14334.431300000046" u="1"/>
        <n v="8667.2080000000096" u="1"/>
        <n v="23459.459000000039" u="1"/>
        <n v="440.31489999999985" u="1"/>
        <n v="1210.4401000000005" u="1"/>
        <n v="1725.7777999999996" u="1"/>
        <n v="522.91140000000019" u="1"/>
        <n v="1744.8512000000005" u="1"/>
        <n v="427.46500000000003" u="1"/>
        <n v="254.52770000000001" u="1"/>
        <n v="844.50899999999979" u="1"/>
        <n v="933.8762999999999" u="1"/>
        <n v="21741.337900000111" u="1"/>
        <n v="8011.9942000000001" u="1"/>
        <n v="23730.898400000086" u="1"/>
        <n v="11388.677900000002" u="1"/>
        <n v="10165.148299999983" u="1"/>
        <n v="17968.504699999983" u="1"/>
        <n v="19463.331800000018" u="1"/>
        <n v="28064.873500000245" u="1"/>
        <n v="18626.781300000013" u="1"/>
        <n v="27437.883000000034" u="1"/>
        <n v="25633.623700000167" u="1"/>
        <n v="25075.83160000007" u="1"/>
        <n v="18152.79140000002" u="1"/>
        <n v="5443.0846999999903" u="1"/>
        <n v="22771.501000000033" u="1"/>
        <n v="20953.826900000124" u="1"/>
        <n v="13595.460800000059" u="1"/>
        <n v="12056.307600000002" u="1"/>
        <n v="12005.999299999989" u="1"/>
        <n v="14732.703799999994" u="1"/>
        <n v="8911.0937000000085" u="1"/>
        <n v="11453.655300000008" u="1"/>
        <n v="9861.1458999999941" u="1"/>
        <n v="22283.912400000121" u="1"/>
        <n v="19560.957500000019" u="1"/>
        <n v="6280.5157999999974" u="1"/>
        <n v="8143.4385000000093" u="1"/>
        <n v="26751.327500000214" u="1"/>
        <n v="15302.91310000006" u="1"/>
        <n v="19754.80790000004" u="1"/>
        <n v="18511.896300000019" u="1"/>
        <n v="11334.661" u="1"/>
        <n v="7577.0540000000028" u="1"/>
        <n v="10431.547800000006" u="1"/>
        <n v="13771.650099999968" u="1"/>
        <n v="13239.799099999997" u="1"/>
        <n v="11009.910900000026" u="1"/>
        <n v="30496.699799999937" u="1"/>
        <n v="19383.811100000006" u="1"/>
        <n v="12806.19490000001" u="1"/>
        <n v="19078.876200000013" u="1"/>
        <n v="10211.808600000002" u="1"/>
        <n v="30055.137800000048" u="1"/>
        <n v="11735.086500000005" u="1"/>
        <n v="45195.730799999954" u="1"/>
        <n v="23501.818900000071" u="1"/>
        <n v="18793.134100000021" u="1"/>
        <n v="15490.894199999997" u="1"/>
        <n v="5240.4266000000025" u="1"/>
        <n v="7887.1430999999948" u="1"/>
        <n v="884.85569999999916" u="1"/>
        <n v="23101.226099999989" u="1"/>
        <n v="18088.575499999992" u="1"/>
        <n v="4884.2407999999941" u="1"/>
        <n v="11254.971399999988" u="1"/>
        <n v="11803.109399999978" u="1"/>
        <n v="13514.214899999992" u="1"/>
        <n v="10836.22569999999" u="1"/>
        <n v="24969.820800000038" u="1"/>
        <n v="13502.107300000014" u="1"/>
        <n v="8774.4736999999986" u="1"/>
        <n v="46546.427600000236" u="1"/>
        <n v="12010.527100000007" u="1"/>
        <n v="28039.184200000072" u="1"/>
        <n v="14730.37870000005" u="1"/>
        <n v="10967.256900000022" u="1"/>
        <n v="19334.043899999993" u="1"/>
        <n v="19999.408199999998" u="1"/>
        <n v="16514.501300000033" u="1"/>
        <n v="9274.4681000000164" u="1"/>
        <n v="18392.560099999984" u="1"/>
        <n v="2900435.4320000042" u="1"/>
      </sharedItems>
    </cacheField>
    <cacheField name="Ingresos" numFmtId="164">
      <sharedItems containsString="0" containsBlank="1" containsNumber="1" minValue="-5117524.8951999927" maxValue="0"/>
    </cacheField>
    <cacheField name="Otros Ingresos" numFmtId="164">
      <sharedItems containsString="0" containsBlank="1" containsNumber="1" minValue="-703089.83709999884" maxValue="0"/>
    </cacheField>
    <cacheField name="Total Ingresos" numFmtId="164">
      <sharedItems containsString="0" containsBlank="1" containsNumber="1" minValue="-11967901.885899995" maxValue="0" count="1169">
        <n v="0"/>
        <n v="-23614.589599999996"/>
        <n v="-65484.982199999344"/>
        <n v="-35561.193800000139"/>
        <n v="-24891.44709999999"/>
        <n v="-48605.14159999985"/>
        <n v="-5158.4132000000045"/>
        <n v="-5731.4446000000089"/>
        <n v="-25554.979500000005"/>
        <n v="-23732.257599999986"/>
        <n v="-26536.234200000028"/>
        <n v="-20037.447199999904"/>
        <n v="-39962.977700000076"/>
        <n v="-29482.804900000108"/>
        <n v="-25106.575599999975"/>
        <n v="-66201.554599999494"/>
        <n v="-17537.993299999922"/>
        <n v="-28592.547800000131"/>
        <n v="-52336.051599999853"/>
        <n v="-24093.38630000002"/>
        <n v="-53677.500399999888"/>
        <n v="-19320.267499999925"/>
        <n v="-23716.412000000051"/>
        <n v="-28906.29870000005"/>
        <n v="-58211.487199999501"/>
        <n v="-49458.67079999984"/>
        <n v="-17462.956099999952"/>
        <n v="-17648.120299999817"/>
        <n v="-38125.478100000124"/>
        <n v="-15485.760199999937"/>
        <n v="-21237.611299999957"/>
        <n v="-37631.050300000119"/>
        <n v="-14581.124399999922"/>
        <n v="-23729.813999999951"/>
        <n v="-27280.739400000053"/>
        <n v="-22429.035799999911"/>
        <n v="-16955.963899999919"/>
        <n v="-25700.413300000026"/>
        <n v="-60877.710999999879"/>
        <n v="-31405.75190000013"/>
        <n v="-41781.130699999958"/>
        <n v="-47667.688900000001"/>
        <n v="-43595.006200000105"/>
        <n v="-48818.1985999998"/>
        <n v="-31048.711800000088"/>
        <n v="-31038.547600000049"/>
        <n v="-88237.34729999816"/>
        <n v="-58858.806999999819"/>
        <n v="-49840.689999999959"/>
        <n v="-60959.033099999651"/>
        <n v="-32124.688800000069"/>
        <n v="-49214.453899999738"/>
        <n v="-27806.303700000033"/>
        <n v="-25944.791799999995"/>
        <n v="-21436.902799999942"/>
        <n v="-10243.71689999999"/>
        <n v="-25337.13629999998"/>
        <n v="-49164.842599999916"/>
        <n v="-34349.912100000227"/>
        <n v="-15386.07399999991"/>
        <n v="-49214.499900000075"/>
        <n v="-11553.493899999981"/>
        <n v="-58376.262099999534"/>
        <n v="-22765.658100000008"/>
        <n v="-17381.666099999926"/>
        <n v="-9253.5381000000016"/>
        <n v="-23064.999799999921"/>
        <n v="-14632.65369999993"/>
        <n v="-16690.737699999914"/>
        <n v="-17081.764499999968"/>
        <n v="-4176.2341000000024"/>
        <n v="-11600.981599999999"/>
        <n v="-16894.340999999924"/>
        <n v="-9587.2854000000152"/>
        <n v="-3740.0109000000029"/>
        <n v="-30517.449700000088"/>
        <n v="-46962.200599999924"/>
        <n v="-27851.172799999997"/>
        <n v="-20734.582599999958"/>
        <n v="-43400.393300000054"/>
        <n v="-12309.978199999974"/>
        <n v="-25362.088900000021"/>
        <n v="-35254.983500000133"/>
        <n v="-42043.349700000137"/>
        <n v="-25129.500099999939"/>
        <n v="-44632.950899999931"/>
        <n v="-25751.000199999995"/>
        <n v="-10368.953300000016"/>
        <n v="-25400.712400000044"/>
        <n v="-19499.121799999848"/>
        <n v="-17508.533499999874"/>
        <n v="-25536.847100000025"/>
        <n v="-11074.535899999995"/>
        <n v="-23373.704899999961"/>
        <n v="-17392.171299999853"/>
        <n v="-7385.7730000000092"/>
        <n v="-35559.9997"/>
        <n v="-13627.949799999977"/>
        <n v="-37629.196100000219"/>
        <n v="-20746.393099999932"/>
        <n v="-60129.398099999591"/>
        <n v="-16243.548699999888"/>
        <n v="-30396.792700000064"/>
        <n v="-34567.014500000121"/>
        <n v="-12873.566699999976"/>
        <n v="-24895.317900000024"/>
        <n v="-72661.433199999345"/>
        <n v="-1559.4141000000002"/>
        <n v="-851.74060000000009"/>
        <n v="-1840.2362000000007"/>
        <n v="-1615.9991000000007"/>
        <n v="-5330.3311000000022"/>
        <n v="-1582.8441000000005"/>
        <n v="-1134.6202000000001"/>
        <n v="-12377.923399999963"/>
        <n v="-66419.584899999652"/>
        <n v="-64747.048499999823"/>
        <n v="-25174.247200000031"/>
        <n v="-31723.308900000149"/>
        <n v="-15726.704899999933"/>
        <n v="-47682.198499999729"/>
        <n v="-1442.8500999999999"/>
        <n v="-1045.0002999999999"/>
        <n v="-2140.9996999999989"/>
        <n v="-1049.0703000000005"/>
        <n v="-2970.773000000002"/>
        <n v="-1827.7316999999994"/>
        <n v="-828.77989999999977"/>
        <n v="-499.00009999999997"/>
        <n v="-1211.9358"/>
        <n v="-1441.0001000000002"/>
        <n v="-38204.585800000001"/>
        <n v="-15395.51259999994"/>
        <n v="-53338.437899999764"/>
        <n v="-24294.529400000025"/>
        <n v="-20736.078099999882"/>
        <n v="-30114.777200000066"/>
        <n v="-32854.353400000065"/>
        <n v="-55519.021299999593"/>
        <n v="-45684.439199999964"/>
        <n v="-49710.574199999988"/>
        <n v="-53390.659599999773"/>
        <n v="-47361.339199999951"/>
        <n v="-26749.842000000099"/>
        <n v="-20472.067999999956"/>
        <n v="-45998.334499999881"/>
        <n v="-67416.767999999371"/>
        <n v="-31790.748100000419"/>
        <n v="-32560.720800000268"/>
        <n v="-22848.998899999999"/>
        <n v="-22515.202399999991"/>
        <n v="-13411.534399999935"/>
        <n v="-15290.279599999922"/>
        <n v="-16978.525699999922"/>
        <n v="-49060.238000000121"/>
        <n v="-27675.278400000036"/>
        <n v="-13820.585399999976"/>
        <n v="-15102.570199999956"/>
        <n v="-56849.820800000001"/>
        <n v="-46227.753300000149"/>
        <n v="-32554.27880000004"/>
        <n v="-45017.051699999829"/>
        <n v="-23049.583799999968"/>
        <n v="-11035.074999999988"/>
        <n v="-25398.569299999988"/>
        <n v="-28734.259600000019"/>
        <n v="-17894.148699999911"/>
        <n v="-21740.555599999934"/>
        <n v="-68299.423499999742"/>
        <n v="-34696.156299999951"/>
        <n v="-22604.47369999998"/>
        <n v="-18984.019899999908"/>
        <n v="-17571.000699999895"/>
        <n v="-56460.950800000042"/>
        <n v="-29680.529300000053"/>
        <n v="-80920.949699999634"/>
        <n v="-52017.261799999978"/>
        <n v="-39137.691200000037"/>
        <n v="-40740.542600000117"/>
        <n v="-11007.203000000018"/>
        <n v="-16602.189899999918"/>
        <n v="-2288.5162999999984"/>
        <n v="-41976.169899999913"/>
        <n v="-27431.307899999967"/>
        <n v="-12407.464299999921"/>
        <n v="-28001.674300000039"/>
        <n v="-30437.709800000055"/>
        <n v="-33101.249100000132"/>
        <n v="-19035.927099999855"/>
        <n v="-44060.086200000093"/>
        <n v="-25844.954899999961"/>
        <n v="-20451.548499999939"/>
        <n v="-86034.619499999899"/>
        <n v="-18831.740499999909"/>
        <n v="-41196.086300000141"/>
        <n v="-25680.461099999986"/>
        <n v="-26213.515100000106"/>
        <n v="-39646.283300000177"/>
        <n v="-37071.455200000171"/>
        <n v="-58221.253899999843"/>
        <n v="-21764.70809999992"/>
        <n v="-35422.252800000104"/>
        <m/>
        <n v="-5820614.7322999928"/>
        <n v="-30381.817300000006" u="1"/>
        <n v="-128636.05940000003" u="1"/>
        <n v="-54248.4591" u="1"/>
        <n v="-52714.7071" u="1"/>
        <n v="-86756.967000000033" u="1"/>
        <n v="-8642.4936000000016" u="1"/>
        <n v="-11867.762500000001" u="1"/>
        <n v="-54033.598800000007" u="1"/>
        <n v="-50855.317500000005" u="1"/>
        <n v="-38502.106300000029" u="1"/>
        <n v="-30811.86970000001" u="1"/>
        <n v="-86131.381999999998" u="1"/>
        <n v="-45891.612499999996" u="1"/>
        <n v="-46087.387800000004" u="1"/>
        <n v="-100112.24700000002" u="1"/>
        <n v="-32721.123699999989" u="1"/>
        <n v="-64074.128199999963" u="1"/>
        <n v="-112069.29050000006" u="1"/>
        <n v="-51120.041899999989" u="1"/>
        <n v="-109753.12570000012" u="1"/>
        <n v="-34980.190500000012" u="1"/>
        <n v="-61785.281399999985" u="1"/>
        <n v="-76094.168499999971" u="1"/>
        <n v="-162530.16990000007" u="1"/>
        <n v="-111465.90430000004" u="1"/>
        <n v="-36307.719600000011" u="1"/>
        <n v="-39072.676299999999" u="1"/>
        <n v="-72808.892799999972" u="1"/>
        <n v="-35092.382800000007" u="1"/>
        <n v="-31492.3632" u="1"/>
        <n v="-49792.237099999991" u="1"/>
        <n v="-38565.609699999986" u="1"/>
        <n v="-59323.213499999976" u="1"/>
        <n v="-60484.15370000001" u="1"/>
        <n v="-56071.690299999995" u="1"/>
        <n v="-15839.962799999999" u="1"/>
        <n v="-24949.680799999885" u="1"/>
        <n v="-167055.57850000012" u="1"/>
        <n v="-61240.871799999986" u="1"/>
        <n v="-69895.673799999975" u="1"/>
        <n v="-106175.34359999995" u="1"/>
        <n v="-149719.53279999993" u="1"/>
        <n v="-104590.8674" u="1"/>
        <n v="-69323.826700000005" u="1"/>
        <n v="-44866.300300000003" u="1"/>
        <n v="-147851.52740000011" u="1"/>
        <n v="-95063.696999999986" u="1"/>
        <n v="-82987.997699999964" u="1"/>
        <n v="-113848.84330000005" u="1"/>
        <n v="-50289.030199999987" u="1"/>
        <n v="-81940.112700000027" u="1"/>
        <n v="-45927.327399999995" u="1"/>
        <n v="-40878.361500000014" u="1"/>
        <n v="-39463.061099999984" u="1"/>
        <n v="-34747.190900000001" u="1"/>
        <n v="-55666.14350000002" u="1"/>
        <n v="-98698.654899999965" u="1"/>
        <n v="-99407.369200000016" u="1"/>
        <n v="-26359.262299999995" u="1"/>
        <n v="-156384.33060000002" u="1"/>
        <n v="-23248.3272" u="1"/>
        <n v="-95158.393899999995" u="1"/>
        <n v="-48607.177399999986" u="1"/>
        <n v="-33002.484500000006" u="1"/>
        <n v="-44409.3652" u="1"/>
        <n v="-34720.419799999996" u="1"/>
        <n v="-28036.084299999999" u="1"/>
        <n v="-27320.434099999988" u="1"/>
        <n v="-47704.634900000012" u="1"/>
        <n v="-12888.442999999997" u="1"/>
        <n v="-25757.285599999996" u="1"/>
        <n v="-28701.365799999992" u="1"/>
        <n v="-19419.589100000001" u="1"/>
        <n v="-11150.7346" u="1"/>
        <n v="-66633.221899999975" u="1"/>
        <n v="-78780.774400000009" u="1"/>
        <n v="-36275.375700000004" u="1"/>
        <n v="-30178.219900000007" u="1"/>
        <n v="-61545.764499999983" u="1"/>
        <n v="-28187.435699999995" u="1"/>
        <n v="-53389.17619999998" u="1"/>
        <n v="-70765.718599999978" u="1"/>
        <n v="-100784.16840000002" u="1"/>
        <n v="-56313.466099999998" u="1"/>
        <n v="-91852.9519" u="1"/>
        <n v="-54698.765999999996" u="1"/>
        <n v="-31479.992600000005" u="1"/>
        <n v="-58538.307399999998" u="1"/>
        <n v="-33634.944999999992" u="1"/>
        <n v="-54257.160799999998" u="1"/>
        <n v="-30992.225299999998" u="1"/>
        <n v="-20008.670300000002" u="1"/>
        <n v="-84480.200899999996" u="1"/>
        <n v="-40804.905799999993" u="1"/>
        <n v="-29978.453299999994" u="1"/>
        <n v="-84386.017299999992" u="1"/>
        <n v="-26012.114599999994" u="1"/>
        <n v="-74805.301599999962" u="1"/>
        <n v="-34087.795399999988" u="1"/>
        <n v="-105587.65139999994" u="1"/>
        <n v="-34462.711900000002" u="1"/>
        <n v="-217.01999999999998" u="1"/>
        <n v="-120766.34560000002" u="1"/>
        <n v="-49900.662700000001" u="1"/>
        <n v="-23332.5828" u="1"/>
        <n v="-62038.240299999983" u="1"/>
        <n v="-138245.99880000003" u="1"/>
        <n v="-2586.0004999999996" u="1"/>
        <n v="-2937.7379999999998" u="1"/>
        <n v="-1396.5565999999999" u="1"/>
        <n v="-1333.3350000000003" u="1"/>
        <n v="-10758.6474" u="1"/>
        <n v="-1766.4485" u="1"/>
        <n v="-2263.4832999999999" u="1"/>
        <n v="-33310.631699999998" u="1"/>
        <n v="-132327.1633999999" u="1"/>
        <n v="-142357.75580000013" u="1"/>
        <n v="-39395.574900000007" u="1"/>
        <n v="-69326.429699999979" u="1"/>
        <n v="-24244.989699999998" u="1"/>
        <n v="-94883.568799999979" u="1"/>
        <n v="-2333.8035" u="1"/>
        <n v="-1210.6207999999997" u="1"/>
        <n v="-7162.0027" u="1"/>
        <n v="-1822.8416000000002" u="1"/>
        <n v="-3878.2014999999992" u="1"/>
        <n v="-911.73080000000004" u="1"/>
        <n v="-1806.7109999999998" u="1"/>
        <n v="-886.36149999999998" u="1"/>
        <n v="-3244.6110000000003" u="1"/>
        <n v="-78340.23629999999" u="1"/>
        <n v="-36001.203200000011" u="1"/>
        <n v="-114353.179" u="1"/>
        <n v="-54063.157299999992" u="1"/>
        <n v="-42999.014900000009" u="1"/>
        <n v="-74534.491299999965" u="1"/>
        <n v="-65090.810099999981" u="1"/>
        <n v="-96303.882299999983" u="1"/>
        <n v="-60150.314899999998" u="1"/>
        <n v="-104016.54610000001" u="1"/>
        <n v="-120891.81290000005" u="1"/>
        <n v="-118299.93550000004" u="1"/>
        <n v="-47132.704700000024" u="1"/>
        <n v="-30460.675000000003" u="1"/>
        <n v="-78701.781699999963" u="1"/>
        <n v="-151533.39110000004" u="1"/>
        <n v="-105475.03690000001" u="1"/>
        <n v="-87560.103299999944" u="1"/>
        <n v="-51938.399500000007" u="1"/>
        <n v="-49592.667799999996" u="1"/>
        <n v="-34596.283900000002" u="1"/>
        <n v="-38634.686599999994" u="1"/>
        <n v="-28178.068100000004" u="1"/>
        <n v="-115275.05350000001" u="1"/>
        <n v="-59542.089999999975" u="1"/>
        <n v="-26249.456699999988" u="1"/>
        <n v="-22931.787799999998" u="1"/>
        <n v="-82769.754899999971" u="1"/>
        <n v="-67921.533099999986" u="1"/>
        <n v="-99866.048300000024" u="1"/>
        <n v="-75455.581999999951" u="1"/>
        <n v="-33669.123100000004" u="1"/>
        <n v="-29348.694199999998" u="1"/>
        <n v="-38384.590600000003" u="1"/>
        <n v="-41675.850700000003" u="1"/>
        <n v="-45058.246599999999" u="1"/>
        <n v="-55182.784699999989" u="1"/>
        <n v="-149141.86119999996" u="1"/>
        <n v="-66113.10070000001" u="1"/>
        <n v="-30353.836800000001" u="1"/>
        <n v="-38755.095699999991" u="1"/>
        <n v="-30783.590800000013" u="1"/>
        <n v="-101725.56140000005" u="1"/>
        <n v="-45197.462800000008" u="1"/>
        <n v="-208279.06479999976" u="1"/>
        <n v="-125256.78910000001" u="1"/>
        <n v="-82566.962799999994" u="1"/>
        <n v="-83410.696599999996" u="1"/>
        <n v="-38565.845699999991" u="1"/>
        <n v="-25048.850700000006" u="1"/>
        <n v="-6769.516599999999" u="1"/>
        <n v="-98898.467100000023" u="1"/>
        <n v="-58171.32600000003" u="1"/>
        <n v="-36388.471100000002" u="1"/>
        <n v="-47180.664799999991" u="1"/>
        <n v="-67680.229299999977" u="1"/>
        <n v="-58182.157300000006" u="1"/>
        <n v="-39102.516200000005" u="1"/>
        <n v="-69468.18429999995" u="1"/>
        <n v="-69916.70719999999" u="1"/>
        <n v="-49642.210199999994" u="1"/>
        <n v="-214505.36199999996" u="1"/>
        <n v="-46630.593500000003" u="1"/>
        <n v="-114589.77479999988" u="1"/>
        <n v="-52567.867599999983" u="1"/>
        <n v="-47943.266699999986" u="1"/>
        <n v="-71448.631900000037" u="1"/>
        <n v="-88530.993100000007" u="1"/>
        <n v="-98935.976599999995" u="1"/>
        <n v="-36779.200100000002" u="1"/>
        <n v="-73035.08219999999" u="1"/>
        <n v="-11967885.885899996" u="1"/>
        <n v="-30381.817299999984" u="1"/>
        <n v="-128636.0593999995" u="1"/>
        <n v="-54248.459100000036" u="1"/>
        <n v="-52714.707100000065" u="1"/>
        <n v="-86756.966999999946" u="1"/>
        <n v="-11867.762499999995" u="1"/>
        <n v="-54033.598799999992" u="1"/>
        <n v="-50855.317500000026" u="1"/>
        <n v="-38502.106299999963" u="1"/>
        <n v="-30811.869699999988" u="1"/>
        <n v="-86131.381999999867" u="1"/>
        <n v="-45891.612499999923" u="1"/>
        <n v="-46087.387800000019" u="1"/>
        <n v="-100112.24699999996" u="1"/>
        <n v="-32721.123699999946" u="1"/>
        <n v="-64074.128200000036" u="1"/>
        <n v="-112069.29049999997" u="1"/>
        <n v="-51120.041899999967" u="1"/>
        <n v="-109753.12570000016" u="1"/>
        <n v="-34980.190499999982" u="1"/>
        <n v="-61785.281400000036" u="1"/>
        <n v="-76094.168500000029" u="1"/>
        <n v="-162530.1698999998" u="1"/>
        <n v="-111465.90429999986" u="1"/>
        <n v="-36307.719599999931" u="1"/>
        <n v="-39072.676300000057" u="1"/>
        <n v="-72808.892800000001" u="1"/>
        <n v="-35092.382800000029" u="1"/>
        <n v="-31492.363199999982" u="1"/>
        <n v="-49792.2371000001" u="1"/>
        <n v="-38565.609700000008" u="1"/>
        <n v="-59323.213499999969" u="1"/>
        <n v="-60484.153700000068" u="1"/>
        <n v="-56071.690299999973" u="1"/>
        <n v="-15839.962799999996" u="1"/>
        <n v="-24949.680800000024" u="1"/>
        <n v="-167055.57849999936" u="1"/>
        <n v="-61240.871800000059" u="1"/>
        <n v="-69895.673799999917" u="1"/>
        <n v="-106175.34360000007" u="1"/>
        <n v="-149719.53279999987" u="1"/>
        <n v="-69323.826699999874" u="1"/>
        <n v="-147851.52739999944" u="1"/>
        <n v="-95063.696999999956" u="1"/>
        <n v="-82987.997700000109" u="1"/>
        <n v="-113848.84329999999" u="1"/>
        <n v="-50289.03020000003" u="1"/>
        <n v="-81940.112699999911" u="1"/>
        <n v="-45927.327400000009" u="1"/>
        <n v="-40878.361499999977" u="1"/>
        <n v="-39463.061099999992" u="1"/>
        <n v="-55666.143500000006" u="1"/>
        <n v="-98698.654900000038" u="1"/>
        <n v="-99407.369200000205" u="1"/>
        <n v="-26359.262300000017" u="1"/>
        <n v="-156384.33059999981" u="1"/>
        <n v="-95158.39390000017" u="1"/>
        <n v="-33002.484499999984" u="1"/>
        <n v="-34720.419800000011" u="1"/>
        <n v="-28036.084299999977" u="1"/>
        <n v="-27320.434099999991" u="1"/>
        <n v="-47704.634900000005" u="1"/>
        <n v="-12888.443000000007" u="1"/>
        <n v="-25757.285599999988" u="1"/>
        <n v="-28701.365799999978" u="1"/>
        <n v="-19419.589099999987" u="1"/>
        <n v="-11150.734600000003" u="1"/>
        <n v="-66633.221899999786" u="1"/>
        <n v="-78780.774400000024" u="1"/>
        <n v="-30178.219899999949" u="1"/>
        <n v="-61545.764500000048" u="1"/>
        <n v="-28187.435699999955" u="1"/>
        <n v="-53389.176199999929" u="1"/>
        <n v="-70765.718600000153" u="1"/>
        <n v="-100784.16839999979" u="1"/>
        <n v="-56313.466100000041" u="1"/>
        <n v="-91852.951899999942" u="1"/>
        <n v="-31479.992599999903" u="1"/>
        <n v="-58538.307399999932" u="1"/>
        <n v="-33634.944999999978" u="1"/>
        <n v="-54257.160800000041" u="1"/>
        <n v="-30992.225299999925" u="1"/>
        <n v="-20008.670299999991" u="1"/>
        <n v="-84480.200900000069" u="1"/>
        <n v="-40804.905800000022" u="1"/>
        <n v="-29978.453299999965" u="1"/>
        <n v="-84386.017300000007" u="1"/>
        <n v="-26012.114599999972" u="1"/>
        <n v="-34087.795399999908" u="1"/>
        <n v="-105587.65140000005" u="1"/>
        <n v="-34462.711900000009" u="1"/>
        <n v="-120766.34560000009" u="1"/>
        <n v="-49900.662699999972" u="1"/>
        <n v="-62038.240300000078" u="1"/>
        <n v="-138245.99880000041" u="1"/>
        <n v="-2937.7379999999994" u="1"/>
        <n v="-10758.647400000002" u="1"/>
        <n v="-132327.16339999984" u="1"/>
        <n v="-142357.75579999952" u="1"/>
        <n v="-39395.574900000014" u="1"/>
        <n v="-69326.429699999862" u="1"/>
        <n v="-24244.989699999973" u="1"/>
        <n v="-94883.568799999804" u="1"/>
        <n v="-2333.8034999999982" u="1"/>
        <n v="-1210.6208000000001" u="1"/>
        <n v="-7162.0026999999955" u="1"/>
        <n v="-1822.8415999999997" u="1"/>
        <n v="-3878.2014999999974" u="1"/>
        <n v="-911.73080000000016" u="1"/>
        <n v="-1806.7109999999996" u="1"/>
        <n v="-886.36150000000021" u="1"/>
        <n v="-3244.6109999999999" u="1"/>
        <n v="-78340.236300000004" u="1"/>
        <n v="-36017.203200000018" u="1"/>
        <n v="-114353.17899999983" u="1"/>
        <n v="-42999.01489999998" u="1"/>
        <n v="-74534.491299999936" u="1"/>
        <n v="-65090.810099999879" u="1"/>
        <n v="-96303.882299999925" u="1"/>
        <n v="-60150.31489999999" u="1"/>
        <n v="-104016.54609999986" u="1"/>
        <n v="-120891.81289999952" u="1"/>
        <n v="-118299.93550000001" u="1"/>
        <n v="-47132.704699999958" u="1"/>
        <n v="-30460.674999999901" u="1"/>
        <n v="-78701.78170000008" u="1"/>
        <n v="-151533.3910999998" u="1"/>
        <n v="-105475.03690000081" u="1"/>
        <n v="-87560.103299999595" u="1"/>
        <n v="-51938.3995" u="1"/>
        <n v="-49592.667799999952" u="1"/>
        <n v="-34596.283900000017" u="1"/>
        <n v="-38634.686600000001" u="1"/>
        <n v="-28178.068099999953" u="1"/>
        <n v="-115275.05350000027" u="1"/>
        <n v="-59542.090000000091" u="1"/>
        <n v="-26249.456699999973" u="1"/>
        <n v="-22931.787799999984" u="1"/>
        <n v="-82769.754900000058" u="1"/>
        <n v="-67921.533099999884" u="1"/>
        <n v="-99866.048299999849" u="1"/>
        <n v="-75455.581999999995" u="1"/>
        <n v="-33669.123099999997" u="1"/>
        <n v="-29348.694199999929" u="1"/>
        <n v="-38384.590599999945" u="1"/>
        <n v="-41675.850699999959" u="1"/>
        <n v="-45058.246600000013" u="1"/>
        <n v="-55182.784699999997" u="1"/>
        <n v="-149141.86119999984" u="1"/>
        <n v="-66113.100699999952" u="1"/>
        <n v="-30353.836799999994" u="1"/>
        <n v="-38755.095700000005" u="1"/>
        <n v="-30783.59079999986" u="1"/>
        <n v="-101725.56139999971" u="1"/>
        <n v="-45197.462799999921" u="1"/>
        <n v="-208279.06479999909" u="1"/>
        <n v="-125256.78909999999" u="1"/>
        <n v="-83410.696600000156" u="1"/>
        <n v="-38565.845699999954" u="1"/>
        <n v="-25048.850699999919" u="1"/>
        <n v="-6769.5166000000045" u="1"/>
        <n v="-98898.467099999805" u="1"/>
        <n v="-58171.326000000045" u="1"/>
        <n v="-36388.471099999944" u="1"/>
        <n v="-47180.664799999962" u="1"/>
        <n v="-67680.229299999817" u="1"/>
        <n v="-58182.157300000013" u="1"/>
        <n v="-39102.516199999976" u="1"/>
        <n v="-69468.184300000023" u="1"/>
        <n v="-69916.707200000194" u="1"/>
        <n v="-49642.21019999998" u="1"/>
        <n v="-214505.36199999964" u="1"/>
        <n v="-114589.77479999984" u="1"/>
        <n v="-52567.867599999947" u="1"/>
        <n v="-71448.631899999993" u="1"/>
        <n v="-88530.99309999992" u="1"/>
        <n v="-98935.976599999864" u="1"/>
        <n v="-36779.200100000038" u="1"/>
        <n v="-73035.082200000033" u="1"/>
        <n v="-11967901.885899995" u="1"/>
        <n v="-31218.612999999903" u="1"/>
        <n v="-86267.882900000026" u="1"/>
        <n v="-45207.039199999941" u="1"/>
        <n v="-34815.143299999814" u="1"/>
        <n v="-66136.312700000024" u="1"/>
        <n v="-7979.6853000000001" u="1"/>
        <n v="-9228.3562000000111" u="1"/>
        <n v="-35495.870800000004" u="1"/>
        <n v="-28642.525099999981" u="1"/>
        <n v="-36699.099599999914" u="1"/>
        <n v="-21128.628399999987" u="1"/>
        <n v="-69495.518300000258" u="1"/>
        <n v="-37385.649699999871" u="1"/>
        <n v="-29198.10929999996" u="1"/>
        <n v="-67138.310200000167" u="1"/>
        <n v="-26539.221199999974" u="1"/>
        <n v="-48644.141500000005" u="1"/>
        <n v="-55706.51890000001" u="1"/>
        <n v="-35756.016599999952" u="1"/>
        <n v="-67230.668400000068" u="1"/>
        <n v="-29004.617999999984" u="1"/>
        <n v="-43814.016599999974" u="1"/>
        <n v="-43472.394799999878" u="1"/>
        <n v="-86483.464000000182" u="1"/>
        <n v="-75247.960500000103" u="1"/>
        <n v="-41933.472200000018" u="1"/>
        <n v="-29889.535599999916" u="1"/>
        <n v="-53007.556299999967" u="1"/>
        <n v="-26023.860699999979" u="1"/>
        <n v="-44388.872099999819" u="1"/>
        <n v="-32874.391199999918" u="1"/>
        <n v="-41686.936799999792" u="1"/>
        <n v="-37584.8247999999" u="1"/>
        <n v="-31393.793399999806" u="1"/>
        <n v="-13827.133700000008" u="1"/>
        <n v="-32159.847599999925" u="1"/>
        <n v="-105574.99869999991" u="1"/>
        <n v="-40149.707799999873" u="1"/>
        <n v="-51656.832399999992" u="1"/>
        <n v="-80395.003300000215" u="1"/>
        <n v="-90141.239300000118" u="1"/>
        <n v="-75948.090999999986" u="1"/>
        <n v="-45375.976299999966" u="1"/>
        <n v="-35427.330599999921" u="1"/>
        <n v="-99131.362399999693" u="1"/>
        <n v="-71065.214800000307" u="1"/>
        <n v="-53117.565299999958" u="1"/>
        <n v="-74221.465700000059" u="1"/>
        <n v="-38895.705499999924" u="1"/>
        <n v="-55758.746999999988" u="1"/>
        <n v="-39312.66079999994" u="1"/>
        <n v="-31767.747299999828" u="1"/>
        <n v="-33311.187499999978" u="1"/>
        <n v="-20244.575099999995" u="1"/>
        <n v="-36888.704099999894" u="1"/>
        <n v="-63670.329400000293" u="1"/>
        <n v="-62256.775399999999" u="1"/>
        <n v="-4762.5015000000021" u="1"/>
        <n v="-82418.844799999992" u="1"/>
        <n v="-22443.852799999986" u="1"/>
        <n v="-70604.035500000173" u="1"/>
        <n v="-38853.255499999919" u="1"/>
        <n v="-23484.675499999976" u="1"/>
        <n v="-13992.117099999998" u="1"/>
        <n v="-25004.608399999965" u="1"/>
        <n v="-21909.251799999998" u="1"/>
        <n v="-24644.757099999984" u="1"/>
        <n v="-28362.583099999974" u="1"/>
        <n v="-12960.764400000005" u="1"/>
        <n v="-20449.422399999999" u="1"/>
        <n v="-26732.094399999994" u="1"/>
        <n v="-15792.966700000015" u="1"/>
        <n v="-7930.7608" u="1"/>
        <n v="-37611.730399999942" u="1"/>
        <n v="-52448.953699999882" u="1"/>
        <n v="-26754.355199999973" u="1"/>
        <n v="-34193.750999999924" u="1"/>
        <n v="-54434.46030000005" u="1"/>
        <n v="-22453.614000000001" u="1"/>
        <n v="-41446.88739999984" u="1"/>
        <n v="-55396.929800000114" u="1"/>
        <n v="-70794.215300000156" u="1"/>
        <n v="-38199.319999999781" u="1"/>
        <n v="-63407.975700000039" u="1"/>
        <n v="-33793.602500000001" u="1"/>
        <n v="-18974.818400000018" u="1"/>
        <n v="-36784.055299999935" u="1"/>
        <n v="-21809.18989999999" u="1"/>
        <n v="-34403.743799999902" u="1"/>
        <n v="-27089.203999999947" u="1"/>
        <n v="-14597.116400000012" u="1"/>
        <n v="-46657.958699999894" u="1"/>
        <n v="-29632.845499999934" u="1"/>
        <n v="-17501.947100000005" u="1"/>
        <n v="-52490.425699999993" u="1"/>
        <n v="-20443.81760000002" u="1"/>
        <n v="-50914.742999999915" u="1"/>
        <n v="-23794.028499999964" u="1"/>
        <n v="-84951.605900000184" u="1"/>
        <n v="-22110.782999999985" u="1"/>
        <n v="-442.99990000000003" u="1"/>
        <n v="-61993.153100000134" u="1"/>
        <n v="-39518.025299999957" u="1"/>
        <n v="-26282.081900000005" u="1"/>
        <n v="-38309.654299999849" u="1"/>
        <n v="-92764.741000000286" u="1"/>
        <n v="-1983.9560000000001" u="1"/>
        <n v="-1611.5940000000003" u="1"/>
        <n v="-1799.9235999999999" u="1"/>
        <n v="-1753.6204000000002" u="1"/>
        <n v="-14808.983500000002" u="1"/>
        <n v="-1962.0672" u="1"/>
        <n v="-1259.4826999999998" u="1"/>
        <n v="-31542.779899999932" u="1"/>
        <n v="-95040.595100000079" u="1"/>
        <n v="-83234.140900000086" u="1"/>
        <n v="-40968.646900000029" u="1"/>
        <n v="-47319.496799999826" u="1"/>
        <n v="-16851.490500000011" u="1"/>
        <n v="-65336.970600000073" u="1"/>
        <n v="-1801.0090000000002" u="1"/>
        <n v="-1151.3389000000002" u="1"/>
        <n v="-5226.998599999999" u="1"/>
        <n v="-1518.0083999999997" u="1"/>
        <n v="-3359.8193000000001" u="1"/>
        <n v="-657.48950000000002" u="1"/>
        <n v="-1752.9902" u="1"/>
        <n v="-1045.0096000000001" u="1"/>
        <n v="-1432.9995999999999" u="1"/>
        <n v="-53003.8681" u="1"/>
        <n v="-25432.782699999992" u="1"/>
        <n v="-72818.843400000274" u="1"/>
        <n v="-27567.980099999979" u="1"/>
        <n v="-32302.698099999881" u="1"/>
        <n v="-49116.79489999995" u="1"/>
        <n v="-49466.173399999898" u="1"/>
        <n v="-88110.712400000062" u="1"/>
        <n v="-54639.519999999895" u="1"/>
        <n v="-70575.464599999919" u="1"/>
        <n v="-84590.032000000225" u="1"/>
        <n v="-72142.81840000028" u="1"/>
        <n v="-36424.804599999879" u="1"/>
        <n v="-18642.778800000044" u="1"/>
        <n v="-59294.017199999973" u="1"/>
        <n v="-84506.335199999885" u="1"/>
        <n v="-53165.374700000095" u="1"/>
        <n v="-59140.109400000052" u="1"/>
        <n v="-39861.958199999994" u="1"/>
        <n v="-42199.624000000003" u="1"/>
        <n v="-21428.8887" u="1"/>
        <n v="-27589.207199999953" u="1"/>
        <n v="-24987.222399999926" u="1"/>
        <n v="-64559.995000000177" u="1"/>
        <n v="-49941.812899999939" u="1"/>
        <n v="-22965.415199999978" u="1"/>
        <n v="-16697.732400000019" u="1"/>
        <n v="-65296.245400000043" u="1"/>
        <n v="-49186.634399999937" u="1"/>
        <n v="-53758.030100000018" u="1"/>
        <n v="-61472.622100000146" u="1"/>
        <n v="-34752.153399999923" u="1"/>
        <n v="-19540.511900000001" u="1"/>
        <n v="-34530.085599999926" u="1"/>
        <n v="-32527.319499999918" u="1"/>
        <n v="-38127.730899999915" u="1"/>
        <n v="-38779.485999999903" u="1"/>
        <n v="-107439.9901000001" u="1"/>
        <n v="-53818.238599999982" u="1"/>
        <n v="-21223.923799999986" u="1"/>
        <n v="-41138.53799999992" u="1"/>
        <n v="-26659.321999999916" u="1"/>
        <n v="-74950.037300000142" u="1"/>
        <n v="-38132.630699999849" u="1"/>
        <n v="-125400.44749999966" u="1"/>
        <n v="-77555.964600000123" u="1"/>
        <n v="-56321.264800000026" u="1"/>
        <n v="-53759.216400000005" u="1"/>
        <n v="-17092.889300000024" u="1"/>
        <n v="-27063.434399999955" u="1"/>
        <n v="-4085.3860999999984" u="1"/>
        <n v="-66438.9136" u="1"/>
        <n v="-41032.594299999917" u="1"/>
        <n v="-25007.547599999976" u="1"/>
        <n v="-31506.002099999918" u="1"/>
        <n v="-51150.0030999999" u="1"/>
        <n v="-41733.325399999841" u="1"/>
        <n v="-33163.133599999928" u="1"/>
        <n v="-54985.099500000084" u="1"/>
        <n v="-42563.354299999788" u="1"/>
        <n v="-30919.347899999935" u="1"/>
        <n v="-107090.3654999999" u="1"/>
        <n v="-35332.603999999941" u="1"/>
        <n v="-76408.224700000181" u="1"/>
        <n v="-34957.71929999983" u="1"/>
        <n v="-30210.51089999987" u="1"/>
        <n v="-60523.780900000042" u="1"/>
        <n v="-66480.540700000012" u="1"/>
        <n v="-54004.817100000029" u="1"/>
        <n v="-28264.837499999921" u="1"/>
        <n v="-59872.26519999998" u="1"/>
        <n v="-8288615.8992999969" u="1"/>
        <n v="-31218.612999999998" u="1"/>
        <n v="-86267.882899999968" u="1"/>
        <n v="-45207.039199999992" u="1"/>
        <n v="-34815.143299999996" u="1"/>
        <n v="-66136.312700000009" u="1"/>
        <n v="-9228.3562000000002" u="1"/>
        <n v="-28642.525100000006" u="1"/>
        <n v="-36699.099600000001" u="1"/>
        <n v="-21128.628399999998" u="1"/>
        <n v="-69495.518299999982" u="1"/>
        <n v="-37385.649700000002" u="1"/>
        <n v="-29198.109300000004" u="1"/>
        <n v="-67138.310199999993" u="1"/>
        <n v="-26539.221200000007" u="1"/>
        <n v="-35756.016599999995" u="1"/>
        <n v="-67230.66840000001" u="1"/>
        <n v="-29004.617999999988" u="1"/>
        <n v="-43814.016599999995" u="1"/>
        <n v="-43472.394800000002" u="1"/>
        <n v="-86483.463999999978" u="1"/>
        <n v="-75247.960499999986" u="1"/>
        <n v="-41933.472199999997" u="1"/>
        <n v="-29889.535599999999" u="1"/>
        <n v="-53007.556299999997" u="1"/>
        <n v="-26023.860699999994" u="1"/>
        <n v="-44388.872100000022" u="1"/>
        <n v="-32874.391199999991" u="1"/>
        <n v="-41686.936799999989" u="1"/>
        <n v="-37584.824800000002" u="1"/>
        <n v="-31393.793399999991" u="1"/>
        <n v="-13827.1337" u="1"/>
        <n v="-32159.847599999997" u="1"/>
        <n v="-105574.9987" u="1"/>
        <n v="-40149.707800000004" u="1"/>
        <n v="-80395.003299999997" u="1"/>
        <n v="-90141.239300000001" u="1"/>
        <n v="-75948.090999999971" u="1"/>
        <n v="-45375.976300000002" u="1"/>
        <n v="-35427.330600000001" u="1"/>
        <n v="-99131.362400000027" u="1"/>
        <n v="-71065.214800000002" u="1"/>
        <n v="-53117.565300000017" u="1"/>
        <n v="-74221.465700000015" u="1"/>
        <n v="-38895.705499999996" u="1"/>
        <n v="-55758.74700000001" u="1"/>
        <n v="-39312.660799999998" u="1"/>
        <n v="-31767.747300000021" u="1"/>
        <n v="-33311.1875" u="1"/>
        <n v="-20244.575099999998" u="1"/>
        <n v="-36888.704100000003" u="1"/>
        <n v="-63670.329399999973" u="1"/>
        <n v="-4762.5014999999994" u="1"/>
        <n v="-82418.844799999977" u="1"/>
        <n v="-22443.852800000001" u="1"/>
        <n v="-70604.035499999969" u="1"/>
        <n v="-38853.255499999999" u="1"/>
        <n v="-23484.675500000001" u="1"/>
        <n v="-13992.117099999999" u="1"/>
        <n v="-25004.608400000008" u="1"/>
        <n v="-21909.251799999995" u="1"/>
        <n v="-24644.757099999995" u="1"/>
        <n v="-28362.583100000003" u="1"/>
        <n v="-12960.764400000002" u="1"/>
        <n v="-20449.422399999996" u="1"/>
        <n v="-26732.094400000005" u="1"/>
        <n v="-15792.966700000004" u="1"/>
        <n v="-37611.7304" u="1"/>
        <n v="-52448.953699999998" u="1"/>
        <n v="-26754.355200000002" u="1"/>
        <n v="-34193.750999999997" u="1"/>
        <n v="-54434.460299999977" u="1"/>
        <n v="-41446.887400000007" u="1"/>
        <n v="-55396.929799999991" u="1"/>
        <n v="-70794.215299999953" u="1"/>
        <n v="-38199.32" u="1"/>
        <n v="-63407.975699999981" u="1"/>
        <n v="-18974.8184" u="1"/>
        <n v="-36784.055299999993" u="1"/>
        <n v="-21809.189900000001" u="1"/>
        <n v="-34403.743799999997" u="1"/>
        <n v="-27089.204000000002" u="1"/>
        <n v="-14597.116399999997" u="1"/>
        <n v="-46657.958699999988" u="1"/>
        <n v="-29632.845499999999" u="1"/>
        <n v="-17501.947099999994" u="1"/>
        <n v="-20443.817600000002" u="1"/>
        <n v="-50914.742999999988" u="1"/>
        <n v="-23794.028499999997" u="1"/>
        <n v="-84951.605899999995" u="1"/>
        <n v="-22110.782999999999" u="1"/>
        <n v="-442.99989999999997" u="1"/>
        <n v="-61993.15310000001" u="1"/>
        <n v="-39518.025300000001" u="1"/>
        <n v="-26282.081899999997" u="1"/>
        <n v="-38309.654299999995" u="1"/>
        <n v="-92764.740999999995" u="1"/>
        <n v="-1611.5939999999998" u="1"/>
        <n v="-1799.9236000000003" u="1"/>
        <n v="-1753.6203999999998" u="1"/>
        <n v="-14808.9835" u="1"/>
        <n v="-1259.4827" u="1"/>
        <n v="-31542.779900000009" u="1"/>
        <n v="-95040.595099999948" u="1"/>
        <n v="-83234.140899999984" u="1"/>
        <n v="-40968.6469" u="1"/>
        <n v="-47319.496800000008" u="1"/>
        <n v="-16851.490500000004" u="1"/>
        <n v="-65336.970599999979" u="1"/>
        <n v="-1801.009" u="1"/>
        <n v="-1151.3389" u="1"/>
        <n v="-1518.0084000000002" u="1"/>
        <n v="-3359.8193000000006" u="1"/>
        <n v="-1752.9902000000002" u="1"/>
        <n v="-1045.0095999999999" u="1"/>
        <n v="-53003.868099999992" u="1"/>
        <n v="-25432.782700000003" u="1"/>
        <n v="-72818.843399999983" u="1"/>
        <n v="-27567.980099999997" u="1"/>
        <n v="-32302.698100000009" u="1"/>
        <n v="-49116.794899999994" u="1"/>
        <n v="-49466.173399999992" u="1"/>
        <n v="-88110.712399999989" u="1"/>
        <n v="-54639.519999999997" u="1"/>
        <n v="-70575.464599999978" u="1"/>
        <n v="-84590.032000000007" u="1"/>
        <n v="-72142.818400000018" u="1"/>
        <n v="-36424.80460000001" u="1"/>
        <n v="-18642.778799999993" u="1"/>
        <n v="-59294.017200000009" u="1"/>
        <n v="-84506.33520000006" u="1"/>
        <n v="-53165.374700000015" u="1"/>
        <n v="-59140.109399999979" u="1"/>
        <n v="-39861.958200000001" u="1"/>
        <n v="-42199.623999999996" u="1"/>
        <n v="-21428.888700000003" u="1"/>
        <n v="-27589.207200000001" u="1"/>
        <n v="-24987.222399999999" u="1"/>
        <n v="-64559.994999999981" u="1"/>
        <n v="-49941.812900000004" u="1"/>
        <n v="-22965.415199999996" u="1"/>
        <n v="-16697.732400000001" u="1"/>
        <n v="-65296.245400000051" u="1"/>
        <n v="-49186.634399999981" u="1"/>
        <n v="-53758.030100000004" u="1"/>
        <n v="-61472.622099999979" u="1"/>
        <n v="-34752.153400000003" u="1"/>
        <n v="-34530.085599999999" u="1"/>
        <n v="-32527.319500000005" u="1"/>
        <n v="-38127.730899999995" u="1"/>
        <n v="-38779.485999999997" u="1"/>
        <n v="-107439.99010000001" u="1"/>
        <n v="-21223.9238" u="1"/>
        <n v="-41138.538000000008" u="1"/>
        <n v="-26659.322000000004" u="1"/>
        <n v="-74950.037299999996" u="1"/>
        <n v="-38132.630700000009" u="1"/>
        <n v="-125400.44750000004" u="1"/>
        <n v="-77555.964600000021" u="1"/>
        <n v="-56321.264799999997" u="1"/>
        <n v="-53759.216400000012" u="1"/>
        <n v="-17092.889299999995" u="1"/>
        <n v="-27063.434400000013" u="1"/>
        <n v="-4085.3861000000002" u="1"/>
        <n v="-66438.913599999985" u="1"/>
        <n v="-41032.594300000012" u="1"/>
        <n v="-25007.547600000002" u="1"/>
        <n v="-31506.002100000009" u="1"/>
        <n v="-51150.003100000024" u="1"/>
        <n v="-41733.325400000002" u="1"/>
        <n v="-33163.133600000001" u="1"/>
        <n v="-54985.099499999989" u="1"/>
        <n v="-42563.354300000006" u="1"/>
        <n v="-30919.347900000015" u="1"/>
        <n v="-107090.36549999997" u="1"/>
        <n v="-35332.603999999992" u="1"/>
        <n v="-76408.224700000006" u="1"/>
        <n v="-34957.719299999997" u="1"/>
        <n v="-30210.510900000001" u="1"/>
        <n v="-60523.780900000012" u="1"/>
        <n v="-66480.540699999998" u="1"/>
        <n v="-54004.817100000022" u="1"/>
        <n v="-28264.837500000005" u="1"/>
        <n v="-59872.265200000023" u="1"/>
        <n v="-65379.640299999301" u="1"/>
        <n v="-38587.703299999994" u="1"/>
        <n v="-25257.862100000071" u="1"/>
        <n v="-41106.948600000076" u="1"/>
        <n v="-5839.1323000000111" u="1"/>
        <n v="-5513.0786000000089" u="1"/>
        <n v="-40532.949299999993" u="1"/>
        <n v="-29228.052299999948" u="1"/>
        <n v="-22729.036800000016" u="1"/>
        <n v="-16266.842499999979" u="1"/>
        <n v="-46368.794199999764" u="1"/>
        <n v="-24209.208100000011" u="1"/>
        <n v="-24626.522400000038" u="1"/>
        <n v="-67110.944399998974" u="1"/>
        <n v="-24015.042800000036" u="1"/>
        <n v="-35919.209900000162" u="1"/>
        <n v="-52650.16219999962" u="1"/>
        <n v="-27202.802100000037" u="1"/>
        <n v="-56163.470999999918" u="1"/>
        <n v="-23940.190200000023" u="1"/>
        <n v="-31682.319300000039" u="1"/>
        <n v="-29078.589500000053" u="1"/>
        <n v="-71040.968499998911" u="1"/>
        <n v="-40204.757199999935" u="1"/>
        <n v="-26802.359500000079" u="1"/>
        <n v="-23862.090099999918" u="1"/>
        <n v="-40385.782699999887" u="1"/>
        <n v="-20457.3429" u="1"/>
        <n v="-40858.377299999993" u="1"/>
        <n v="-33054.689100000091" u="1"/>
        <n v="-33940.858700000215" u="1"/>
        <n v="-25774.147399999954" u="1"/>
        <n v="-31176.075700000176" u="1"/>
        <n v="-16551.512599999987" u="1"/>
        <n v="-27205.15360000002" u="1"/>
        <n v="-90177.281899999914" u="1"/>
        <n v="-32783.512200000048" u="1"/>
        <n v="-42512.034699999916" u="1"/>
        <n v="-55003.69549999966" u="1"/>
        <n v="-59202.155999999552" u="1"/>
        <n v="-44650.117499999906" u="1"/>
        <n v="-37921.026100000076" u="1"/>
        <n v="-31266.988000000059" u="1"/>
        <n v="-55364.817599999951" u="1"/>
        <n v="-70520.114299999084" u="1"/>
        <n v="-58492.767999999756" u="1"/>
        <n v="-56493.533699999367" u="1"/>
        <n v="-31141.295500000113" u="1"/>
        <n v="-45203.881799999828" u="1"/>
        <n v="-30581.784400000048" u="1"/>
        <n v="-31059.577200000153" u="1"/>
        <n v="-25984.981500000009" u="1"/>
        <n v="-15036.076000000003" u="1"/>
        <n v="-26393.451500000039" u="1"/>
        <n v="-40254.763300000108" u="1"/>
        <n v="-44015.954099999864" u="1"/>
        <n v="-43671.657799999892" u="1"/>
        <n v="-13148.029499999988" u="1"/>
        <n v="-57458.244699999246" u="1"/>
        <n v="-29063.960200000016" u="1"/>
        <n v="-14892.16199999996" u="1"/>
        <n v="-14842.449799999989" u="1"/>
        <n v="-22534.017499999976" u="1"/>
        <n v="-13686.881399999946" u="1"/>
        <n v="-13612.994199999968" u="1"/>
        <n v="-28192.492400000014" u="1"/>
        <n v="-7762.7590000000055" u="1"/>
        <n v="-5477.1776000000054" u="1"/>
        <n v="-15602.774699999965" u="1"/>
        <n v="-8696.8982000000033" u="1"/>
        <n v="-4907.1978000000008" u="1"/>
        <n v="-33504.955200000084" u="1"/>
        <n v="-41740.464299999898" u="1"/>
        <n v="-19715.977899999965" u="1"/>
        <n v="-24882.969100000006" u="1"/>
        <n v="-52979.018699999418" u="1"/>
        <n v="-14967.483899999945" u="1"/>
        <n v="-35722.617900000077" u="1"/>
        <n v="-39094.26570000012" u="1"/>
        <n v="-48179.416699999892" u="1"/>
        <n v="-28369.459900000205" u="1"/>
        <n v="-50881.810299999917" u="1"/>
        <n v="-32768.888499999986" u="1"/>
        <n v="-13375.931699999956" u="1"/>
        <n v="-31713.587600000021" u="1"/>
        <n v="-21911.403599999994" u="1"/>
        <n v="-24404.277400000039" u="1"/>
        <n v="-17157.996099999931" u="1"/>
        <n v="-13121.250399999997" u="1"/>
        <n v="-35681.886100000062" u="1"/>
        <n v="-17387.154799999953" u="1"/>
        <n v="-13958.378599999971" u="1"/>
        <n v="-49327.907600000035" u="1"/>
        <n v="-11637.017699999999" u="1"/>
        <n v="-43526.500499999907" u="1"/>
        <n v="-18559.392099999994" u="1"/>
        <n v="-59366.29319999944" u="1"/>
        <n v="-18018.353599999962" u="1"/>
        <n v="-331.00650000000002" u="1"/>
        <n v="-44443.1734" u="1"/>
        <n v="-37833.509200000015" u="1"/>
        <n v="-15616.207200000006" u="1"/>
        <n v="-33660.755400000169" u="1"/>
        <n v="-70274.450199999323" u="1"/>
        <n v="-3069.5515000000005" u="1"/>
        <n v="-2662.2192000000014" u="1"/>
        <n v="-2753.7172999999998" u="1"/>
        <n v="-2426.8926000000001" u="1"/>
        <n v="-14203.893599999992" u="1"/>
        <n v="-2263.8305000000009" u="1"/>
        <n v="-2651.8622000000005" u="1"/>
        <n v="-22087.126899999992" u="1"/>
        <n v="-64293.031099999556" u="1"/>
        <n v="-65904.983399999313" u="1"/>
        <n v="-30411.833700000076" u="1"/>
        <n v="-35506.542600000044" u="1"/>
        <n v="-14998.177600000003" u="1"/>
        <n v="-55819.431599999269" u="1"/>
        <n v="-1517.3071999999995" u="1"/>
        <n v="-2081.9996999999989" u="1"/>
        <n v="-5540.498700000001" u="1"/>
        <n v="-1962.998000000001" u="1"/>
        <n v="-5105.9975999999997" u="1"/>
        <n v="-1338.9997999999998" u="1"/>
        <n v="-855.99959999999999" u="1"/>
        <n v="-2386.9997999999996" u="1"/>
        <n v="-2506.9995999999996" u="1"/>
        <n v="-46501.675800000019" u="1"/>
        <n v="-17627.382199999938" u="1"/>
        <n v="-61835.084799999357" u="1"/>
        <n v="-26744.031600000049" u="1"/>
        <n v="-25988.188600000103" u="1"/>
        <n v="-43175.20089999996" u="1"/>
        <n v="-43189.675399999927" u="1"/>
        <n v="-64483.019399999219" u="1"/>
        <n v="-38922.088800000129" u="1"/>
        <n v="-61404.765399999451" u="1"/>
        <n v="-63455.621399998476" u="1"/>
        <n v="-57835.078399999373" u="1"/>
        <n v="-27509.461499999961" u="1"/>
        <n v="-13800.859099999945" u="1"/>
        <n v="-46922.871799999826" u="1"/>
        <n v="-61295.839299999046" u="1"/>
        <n v="-44735.74699999993" u="1"/>
        <n v="-40040.002299999978" u="1"/>
        <n v="-27467.936599999979" u="1"/>
        <n v="-31210.121699999974" u="1"/>
        <n v="-18266.093699999936" u="1"/>
        <n v="-25739.240300000016" u="1"/>
        <n v="-15630.973700000024" u="1"/>
        <n v="-56928.902599999128" u="1"/>
        <n v="-41614.40909999999" u="1"/>
        <n v="-14638.832999999982" u="1"/>
        <n v="-14521.735499999995" u="1"/>
        <n v="-48921.238000000041" u="1"/>
        <n v="-35293.339300000036" u="1"/>
        <n v="-33822.043200000073" u="1"/>
        <n v="-48531.364499999756" u="1"/>
        <n v="-26485.964300000007" u="1"/>
        <n v="-18221.273099999973" u="1"/>
        <n v="-22152.069699999989" u="1"/>
        <n v="-25498.506000000052" u="1"/>
        <n v="-26634.016600000035" u="1"/>
        <n v="-24396.601299999995" u="1"/>
        <n v="-63661.77019999922" u="1"/>
        <n v="-44580.797899999889" u="1"/>
        <n v="-25230.239800000061" u="1"/>
        <n v="-42249.223099999886" u="1"/>
        <n v="-19872.722799999989" u="1"/>
        <n v="-66017.558099999209" u="1"/>
        <n v="-26873.525600000063" u="1"/>
        <n v="-105664.04450000034" u="1"/>
        <n v="-49084.654399999556" u="1"/>
        <n v="-46827.097699999729" u="1"/>
        <n v="-37816.993300000031" u="1"/>
        <n v="-10222.770799999986" u="1"/>
        <n v="-18730.997599999941" u="1"/>
        <n v="-1880.6679000000001" u="1"/>
        <n v="-53705.036699999677" u="1"/>
        <n v="-34151.661200000126" u="1"/>
        <n v="-17163.075799999897" u="1"/>
        <n v="-26250.510000000028" u="1"/>
        <n v="-26244.994300000006" u="1"/>
        <n v="-33782.27030000004" u="1"/>
        <n v="-25128.219300000055" u="1"/>
        <n v="-44505.271999999706" u="1"/>
        <n v="-34720.435100000213" u="1"/>
        <n v="-25741.833299999926" u="1"/>
        <n v="-98273.281499999823" u="1"/>
        <n v="-29676.238400000031" u="1"/>
        <n v="-60397.908999999403" u="1"/>
        <n v="-32198.385000000097" u="1"/>
        <n v="-23083.857100000059" u="1"/>
        <n v="-43258.759099999916" u="1"/>
        <n v="-46081.468399999714" u="1"/>
        <n v="-41234.42349999991" u="1"/>
        <n v="-22018.213699999949" u="1"/>
        <n v="-41977.770400000001" u="1"/>
        <n v="-6398544.7135999817" u="1"/>
      </sharedItems>
    </cacheField>
    <cacheField name="Total General CC" numFmtId="164">
      <sharedItems containsString="0" containsBlank="1" containsNumber="1" minValue="-5256746.7850000011" maxValue="117434.82500000001" count="1229">
        <n v="7.74"/>
        <n v="-7818.2418999999927"/>
        <n v="-32006.711499999336"/>
        <n v="-17468.533900000133"/>
        <n v="-10506.774200000013"/>
        <n v="-19340.810099999919"/>
        <n v="114.70010000000001"/>
        <n v="-1904.9920000000056"/>
        <n v="-2474.5110000000086"/>
        <n v="-7989.3525000000191"/>
        <n v="-11634.239599999983"/>
        <n v="-6585.3884000000007"/>
        <n v="-8740.362499999901"/>
        <n v="-16602.540500000061"/>
        <n v="-9900.0089000001062"/>
        <n v="-9050.97169999996"/>
        <n v="-23671.351099999483"/>
        <n v="-5769.4888999999175"/>
        <n v="-13105.687500000109"/>
        <n v="-18359.21079999987"/>
        <n v="-4920.0052000000178"/>
        <n v="-10550.672399999898"/>
        <n v="-6092.5191999999352"/>
        <n v="-3275.5337000000472"/>
        <n v="-14313.081100000065"/>
        <n v="-21434.178599999454"/>
        <n v="-24789.811099999821"/>
        <n v="-2969.0674999999442"/>
        <n v="-8200.4239999998172"/>
        <n v="-19081.203500000142"/>
        <n v="1426.0570000000553"/>
        <n v="-9027.0877999999393"/>
        <n v="-14168.773400000107"/>
        <n v="-5134.7974999999306"/>
        <n v="-7426.8688999999576"/>
        <n v="-13118.265400000022"/>
        <n v="-9189.7743999999257"/>
        <n v="-3837.78509999992"/>
        <n v="-12867.330700000024"/>
        <n v="-22704.970199999763"/>
        <n v="-14298.815700000121"/>
        <n v="-20677.35929999996"/>
        <n v="-14064.917299999996"/>
        <n v="-14067.701500000043"/>
        <n v="-27669.036499999773"/>
        <n v="-11061.23230000008"/>
        <n v="-13856.099700000043"/>
        <n v="-31845.796899997931"/>
        <n v="-26329.095499999803"/>
        <n v="-16998.766999999916"/>
        <n v="-24899.370099999698"/>
        <n v="-13617.449200000068"/>
        <n v="-22291.606499999776"/>
        <n v="-10221.981000000007"/>
        <n v="-9300.046199999937"/>
        <n v="-11341.580899999941"/>
        <n v="3668.2755999999954"/>
        <n v="-2340.3764999999885"/>
        <n v="-12663.507699999973"/>
        <n v="-24000.344999999819"/>
        <n v="-10061.789000000126"/>
        <n v="-6325.1988999999139"/>
        <n v="-12080.221000000025"/>
        <n v="-1928.1681999999846"/>
        <n v="-31687.106099999473"/>
        <n v="-7298.9401000000144"/>
        <n v="-5798.7743999999284"/>
        <n v="2577.59"/>
        <n v="-4298.0028000000048"/>
        <n v="-10240.187799999905"/>
        <n v="-5122.2824999999148"/>
        <n v="-6072.2604999999166"/>
        <n v="-6910.8670999999704"/>
        <n v="-286.12690000000384"/>
        <n v="-4699.8446999999942"/>
        <n v="-7325.6231999999327"/>
        <n v="-3447.9305000000181"/>
        <n v="-481.06100000000288"/>
        <n v="-12716.368000000104"/>
        <n v="-20828.678899999868"/>
        <n v="-13644.914699999974"/>
        <n v="-4675.6081999999797"/>
        <n v="-18556.525099999973"/>
        <n v="-5614.9259999999767"/>
        <n v="-8929.3834000000024"/>
        <n v="-16900.407400000106"/>
        <n v="-21580.42780000014"/>
        <n v="-10590.884299999945"/>
        <n v="-13402.951899999904"/>
        <n v="-7718.1074000000008"/>
        <n v="-3049.0849000000208"/>
        <n v="-12507.276800000014"/>
        <n v="-8256.4199999998636"/>
        <n v="-1669.6008999998758"/>
        <n v="-36735.179899999988"/>
        <n v="4554.1135000000077"/>
        <n v="-8280.9554999999746"/>
        <n v="-6746.0831999998554"/>
        <n v="-1335.4235000000103"/>
        <n v="-14023.850200000012"/>
        <n v="-3061.2173999999823"/>
        <n v="-13879.768300000174"/>
        <n v="-5202.1365999999089"/>
        <n v="-24562.180899999483"/>
        <n v="-5178.3092999998762"/>
        <n v="127.51439999999999"/>
        <n v="2559.3304999999996"/>
        <n v="-8247.655900000058"/>
        <n v="-15622.505700000105"/>
        <n v="-2950.4902999999858"/>
        <n v="-10150.503300000011"/>
        <n v="-34764.106599999199"/>
        <n v="-139.87320000000017"/>
        <n v="10737.849699999999"/>
        <n v="503.43709999999993"/>
        <n v="-879.68740000000139"/>
        <n v="-207.99980000000085"/>
        <n v="-866.37060000000042"/>
        <n v="-514.76940000000059"/>
        <n v="105.08499999999992"/>
        <n v="1819.3999999999999"/>
        <n v="-3346.6180999999592"/>
        <n v="-30863.369699999672"/>
        <n v="-30619.020499999711"/>
        <n v="-7777.145600000018"/>
        <n v="-16407.411700000088"/>
        <n v="-2087.2617999999356"/>
        <n v="-26471.440699999734"/>
        <n v="-850.47419999999977"/>
        <n v="-425.37829999999997"/>
        <n v="-851.59379999999862"/>
        <n v="-554.6832000000004"/>
        <n v="-1613.5968000000021"/>
        <n v="-1230.4866999999992"/>
        <n v="-365.96549999999979"/>
        <n v="-130.3528"/>
        <n v="-578.2337"/>
        <n v="-94.390699999999981"/>
        <n v="-7271.6596999999874"/>
        <n v="-5792.15559999993"/>
        <n v="-25206.834399999821"/>
        <n v="-13183.527100000016"/>
        <n v="-6865.3811999998861"/>
        <n v="-14619.41470000007"/>
        <n v="-16448.006800000061"/>
        <n v="-26297.229999999548"/>
        <n v="-16592.871900000002"/>
        <n v="-22134.812600000037"/>
        <n v="-22347.772899999793"/>
        <n v="-17635.063699999861"/>
        <n v="-12368.374100000075"/>
        <n v="-8263.214999999951"/>
        <n v="-23088.43419999992"/>
        <n v="-38440.317199999168"/>
        <n v="-15484.700800000444"/>
        <n v="-18893.153700000286"/>
        <n v="-7158.2269999999808"/>
        <n v="-12342.989099999986"/>
        <n v="-4186.509499999941"/>
        <n v="-4615.7549999999119"/>
        <n v="-3873.0057999999372"/>
        <n v="-21809.36020000001"/>
        <n v="-13353.255400000035"/>
        <n v="205.92309999999998"/>
        <n v="-6414.9435999999741"/>
        <n v="-2652.9771999999475"/>
        <n v="-17019.844499999919"/>
        <n v="-20315.015900000162"/>
        <n v="-10693.90669999999"/>
        <n v="-22624.621299999882"/>
        <n v="-10921.957999999966"/>
        <n v="-3401.2656999999913"/>
        <n v="-8436.277999999973"/>
        <n v="-11260.766000000016"/>
        <n v="524.99"/>
        <n v="-8388.1969999999001"/>
        <n v="-10310.783999999934"/>
        <n v="-29118.308999999681"/>
        <n v="-18833.527099999923"/>
        <n v="-9546.3369999999668"/>
        <n v="-8404.2866999999133"/>
        <n v="-8130.8389999998926"/>
        <n v="-26631.642800000096"/>
        <n v="-12749.96950000007"/>
        <n v="-34403.554699999608"/>
        <n v="-19171.920599999961"/>
        <n v="-17792.511000000071"/>
        <n v="-20619.565100000094"/>
        <n v="-1858.1345000000169"/>
        <n v="-6501.1373999998978"/>
        <n v="-433.04619999999784"/>
        <n v="-20511.432599999906"/>
        <n v="-7587.7558999999665"/>
        <n v="-4176.2355999999299"/>
        <n v="-13339.321300000023"/>
        <n v="-12443.939600000009"/>
        <n v="-15214.355400000117"/>
        <n v="41.5"/>
        <n v="-8689.9325999998473"/>
        <n v="-17189.823400000078"/>
        <n v="-13645.705599999961"/>
        <n v="-6777.7443999999487"/>
        <n v="-38764.779799999713"/>
        <n v="-7150.723599999912"/>
        <n v="-20110.386500000168"/>
        <n v="-11121.098399999992"/>
        <n v="-10982.891700000113"/>
        <n v="-18503.494000000086"/>
        <n v="-16530.177400000135"/>
        <n v="-24193.05099999981"/>
        <n v="-10213.161399999932"/>
        <n v="-21255.3172000001"/>
        <m/>
        <n v="-2374234.0401999876"/>
        <n v="-11736.371300000013" u="1"/>
        <n v="-68934.56630000005" u="1"/>
        <n v="-28113.458099999996" u="1"/>
        <n v="-23693.323900000003" u="1"/>
        <n v="-37538.153900000034" u="1"/>
        <n v="-3372.3761000000022" u="1"/>
        <n v="-3507.4965000000002" u="1"/>
        <n v="-22296.110599999993" u="1"/>
        <n v="-26084.076300000001" u="1"/>
        <n v="-8646.2231000000338" u="1"/>
        <n v="-12853.546100000007" u="1"/>
        <n v="-51209.057799999995" u="1"/>
        <n v="-15303.916699999994" u="1"/>
        <n v="-20271.088499999998" u="1"/>
        <n v="-46555.58100000002" u="1"/>
        <n v="-10585.63959999999" u="1"/>
        <n v="-27198.655599999962" u="1"/>
        <n v="-47496.46390000001" u="1"/>
        <n v="-15930.3802" u="1"/>
        <n v="-33380.47900000013" u="1"/>
        <n v="-11426.268800000013" u="1"/>
        <n v="-15912.074000000001" u="1"/>
        <n v="-40265.678999999975" u="1"/>
        <n v="-70864.526599999983" u="1"/>
        <n v="-58956.323500000057" u="1"/>
        <n v="-6317.9364000000178" u="1"/>
        <n v="1335.5243000000082" u="1"/>
        <n v="-35363.120799999968" u="1"/>
        <n v="-12547.910600000003" u="1"/>
        <n v="-12810.949300000004" u="1"/>
        <n v="-16516.007499999974" u="1"/>
        <n v="-18183.764299999992" u="1"/>
        <n v="-23891.406499999983" u="1"/>
        <n v="-24998.444799999997" u="1"/>
        <n v="-27424.764199999998" u="1"/>
        <n v="-642.8773000000001" u="1"/>
        <n v="-5637.247599999886" u="1"/>
        <n v="-82746.636200000095" u="1"/>
        <n v="-32905.660999999986" u="1"/>
        <n v="-33591.042399999969" u="1"/>
        <n v="-32001.766599999901" u="1"/>
        <n v="-66185.481299999883" u="1"/>
        <n v="-57022.360700000005" u="1"/>
        <n v="-30626.524300000005" u="1"/>
        <n v="-23386.688000000009" u="1"/>
        <n v="-70951.554200000115" u="1"/>
        <n v="-46152.794299999994" u="1"/>
        <n v="-30925.393099999968" u="1"/>
        <n v="-59750.806800000035" u="1"/>
        <n v="-24961.127099999991" u="1"/>
        <n v="-37621.107800000027" u="1"/>
        <n v="-23921.257799999999" u="1"/>
        <n v="-15457.523800000014" u="1"/>
        <n v="-20106.191099999985" u="1"/>
        <n v="73.52000000000001" u="1"/>
        <n v="5398.3587999999945" u="1"/>
        <n v="-25874.166500000018" u="1"/>
        <n v="-47737.237799999966" u="1"/>
        <n v="-35080.863500000043" u="1"/>
        <n v="-14792.287499999997" u="1"/>
        <n v="-53244.234100000031" u="1"/>
        <n v="-9197.3476999999984" u="1"/>
        <n v="-55113.04099999999" u="1"/>
        <n v="-6732.4133999999831" u="1"/>
        <n v="-6421.5939000000089" u="1"/>
        <n v="-26899.818499999998" u="1"/>
        <n v="-15796.438699999995" u="1"/>
        <n v="-8494.4945000000007" u="1"/>
        <n v="-10513.212299999985" u="1"/>
        <n v="-19092.401600000008" u="1"/>
        <n v="-5864.3968999999961" u="1"/>
        <n v="-13399.383099999994" u="1"/>
        <n v="-15088.740499999994" u="1"/>
        <n v="-10233.073500000002" u="1"/>
        <n v="-4580.3301999999994" u="1"/>
        <n v="-22371.101799999986" u="1"/>
        <n v="31.83" u="1"/>
        <n v="-36633.151700000009" u="1"/>
        <n v="-19478.435600000004" u="1"/>
        <n v="-5450.2580000000044" u="1"/>
        <n v="-24420.904599999983" u="1"/>
        <n v="-12719.917299999992" u="1"/>
        <n v="-21460.121099999982" u="1"/>
        <n v="-36776.527399999977" u="1"/>
        <n v="-50668.51360000002" u="1"/>
        <n v="-24407.695699999997" u="1"/>
        <n v="-13571.26660000001" u="1"/>
        <n v="-25574.162099999987" u="1"/>
        <n v="-10667.469600000006" u="1"/>
        <n v="-33233.991599999994" u="1"/>
        <n v="-17095.422299999991" u="1"/>
        <n v="-22235.838899999988" u="1"/>
        <n v="-7802.9581000000035" u="1"/>
        <n v="-491.00609999999597" u="1"/>
        <n v="-42195.749999999985" u="1"/>
        <n v="-20137.695499999991" u="1"/>
        <n v="-16404.415799999995" u="1"/>
        <n v="-41841.929299999996" u="1"/>
        <n v="-7949.3639999999968" u="1"/>
        <n v="-33816.420799999971" u="1"/>
        <n v="-8709.7893999999869" u="1"/>
        <n v="-38012.556099999914" u="1"/>
        <n v="-14626.439000000002" u="1"/>
        <n v="-58.149799999999985" u="1"/>
        <n v="-29607.724499999975" u="1"/>
        <n v="-21958.015700000004" u="1"/>
        <n v="-4874.7760999999991" u="1"/>
        <n v="-30057.716399999983" u="1"/>
        <n v="-71214.248200000045" u="1"/>
        <n v="596.60200000000032" u="1"/>
        <n v="13.810499999999999" u="1"/>
        <n v="-344.65209999999956" u="1"/>
        <n v="372.02540000000022" u="1"/>
        <n v="112.3775999999998" u="1"/>
        <n v="-3192.9078000000009" u="1"/>
        <n v="304.07570000000004" u="1"/>
        <n v="-591.28869999999972" u="1"/>
        <n v="509.90210000000002" u="1"/>
        <n v="-8721.2150000000001" u="1"/>
        <n v="-64633.733499999886" u="1"/>
        <n v="-73918.812000000151" u="1"/>
        <n v="-11256.189300000013" u="1"/>
        <n v="-33726.078199999982" u="1"/>
        <n v="-6961.4547999999995" u="1"/>
        <n v="-53539.079099999974" u="1"/>
        <n v="-939.827" u="1"/>
        <n v="-224.77309999999966" u="1"/>
        <n v="-3109.0625999999997" u="1"/>
        <n v="-755.27810000000022" u="1"/>
        <n v="-1919.5642999999991" u="1"/>
        <n v="393.90049999999997" u="1"/>
        <n v="-29.731500000000096" u="1"/>
        <n v="-705.57059999999956" u="1"/>
        <n v="-95.912199999999984" u="1"/>
        <n v="-1397.2924000000003" u="1"/>
        <n v="-17076.422300000006" u="1"/>
        <n v="-15644.458300000013" u="1"/>
        <n v="-62901.776300000005" u="1"/>
        <n v="-29532.318699999982" u="1"/>
        <n v="-17278.657800000008" u="1"/>
        <n v="-41755.677599999966" u="1"/>
        <n v="-35358.489899999971" u="1"/>
        <n v="-50000.539799999999" u="1"/>
        <n v="-23844.304000000007" u="1"/>
        <n v="-51120.022100000002" u="1"/>
        <n v="-54329.232700000037" u="1"/>
        <n v="-48835.445000000036" u="1"/>
        <n v="-22085.620700000036" u="1"/>
        <n v="-14151.096700000002" u="1"/>
        <n v="-29400.231299999956" u="1"/>
        <n v="-67736.62430000004" u="1"/>
        <n v="-57464.111700000023" u="1"/>
        <n v="-48990.543299999947" u="1"/>
        <n v="-28484.144399999994" u="1"/>
        <n v="-41251.945899999992" u="1"/>
        <n v="-15243.969300000004" u="1"/>
        <n v="-14613.614399999989" u="1"/>
        <n v="-6687.1341000000048" u="1"/>
        <n v="-56154.11" u="1"/>
        <n v="-28618.192099999978" u="1"/>
        <n v="-14179.837499999987" u="1"/>
        <n v="-3539.4404999999942" u="1"/>
        <n v="-26087.62509999995" u="1"/>
        <n v="-30803.477899999983" u="1"/>
        <n v="-36728.260400000021" u="1"/>
        <n v="-38956.210599999948" u="1"/>
        <n v="-13451.177500000009" u="1"/>
        <n v="-11550.216399999994" u="1"/>
        <n v="-13696.299200000007" u="1"/>
        <n v="-15905.417700000004" u="1"/>
        <n v="-21747.051699999996" u="1"/>
        <n v="-27634.798699999996" u="1"/>
        <n v="-69113.473599999939" u="1"/>
        <n v="-16301.998900000013" u="1"/>
        <n v="-11833.976599999998" u="1"/>
        <n v="-19200.829399999988" u="1"/>
        <n v="-11416.44590000001" u="1"/>
        <n v="-55967.987600000066" u="1"/>
        <n v="-18662.06900000001" u="1"/>
        <n v="-104558.63769999973" u="1"/>
        <n v="-36643.719499999948" u="1"/>
        <n v="-45727.2569" u="1"/>
        <n v="-41964.374299999996" u="1"/>
        <n v="-10468.154399999989" u="1"/>
        <n v="-8456.5098000000053" u="1"/>
        <n v="-2022.1031999999991" u="1"/>
        <n v="-49447.149600000026" u="1"/>
        <n v="-15361.072300000029" u="1"/>
        <n v="-7336.6268000000055" u="1"/>
        <n v="-21881.420399999988" u="1"/>
        <n v="-33004.17169999997" u="1"/>
        <n v="-30350.502900000007" u="1"/>
        <n v="-6408.6227000000072" u="1"/>
        <n v="-30013.834999999948" u="1"/>
        <n v="-31633.527399999981" u="1"/>
        <n v="-20445.74579999999" u="1"/>
        <n v="-145906.22650000005" u="1"/>
        <n v="-22599.289799999999" u="1"/>
        <n v="-59658.24419999987" u="1"/>
        <n v="-21038.029699999992" u="1"/>
        <n v="-14783.484299999996" u="1"/>
        <n v="-33083.444900000039" u="1"/>
        <n v="-44561.27070000003" u="1"/>
        <n v="-52678.640100000004" u="1"/>
        <n v="2992.9492000000027" u="1"/>
        <n v="-41992.511199999986" u="1"/>
        <n v="-5256746.7850000011" u="1"/>
        <n v="-11736.37129999999" u="1"/>
        <n v="-68934.566299999395" u="1"/>
        <n v="-28113.458100000018" u="1"/>
        <n v="-23693.323900000069" u="1"/>
        <n v="-37538.153899999961" u="1"/>
        <n v="-3507.496499999997" u="1"/>
        <n v="-22296.110599999985" u="1"/>
        <n v="-26084.076300000022" u="1"/>
        <n v="-8646.2230999999447" u="1"/>
        <n v="-12853.546099999987" u="1"/>
        <n v="-51209.057799999864" u="1"/>
        <n v="-15303.916699999902" u="1"/>
        <n v="-20271.088500000005" u="1"/>
        <n v="-46555.580999999991" u="1"/>
        <n v="-10585.639599999935" u="1"/>
        <n v="-27198.655600000049" u="1"/>
        <n v="-47496.463899999937" u="1"/>
        <n v="-15930.380199999963" u="1"/>
        <n v="-33380.479000000058" u="1"/>
        <n v="-11426.268799999982" u="1"/>
        <n v="-15890.454000000042" u="1"/>
        <n v="-40265.679000000033" u="1"/>
        <n v="-70864.526599999765" u="1"/>
        <n v="-58956.323499999853" u="1"/>
        <n v="-6317.9363999999205" u="1"/>
        <n v="1335.5242999999573" u="1"/>
        <n v="-35363.12079999999" u="1"/>
        <n v="-12547.91060000005" u="1"/>
        <n v="-12810.949299999971" u="1"/>
        <n v="-16516.007500000105" u="1"/>
        <n v="-18183.764300000032" u="1"/>
        <n v="-23891.406499999954" u="1"/>
        <n v="-24998.444800000063" u="1"/>
        <n v="-27424.764199999994" u="1"/>
        <n v="-642.87730000000374" u="1"/>
        <n v="-5637.2476000000352" u="1"/>
        <n v="-82746.636199999397" u="1"/>
        <n v="-32905.661000000051" u="1"/>
        <n v="-33591.042399999933" u="1"/>
        <n v="-32001.766599999959" u="1"/>
        <n v="-66185.481299999767" u="1"/>
        <n v="-57022.36069999999" u="1"/>
        <n v="-30626.524299999899" u="1"/>
        <n v="-23386.688000000024" u="1"/>
        <n v="-70951.554199999111" u="1"/>
        <n v="-46152.79429999995" u="1"/>
        <n v="-30925.393100000067" u="1"/>
        <n v="-59750.806799999926" u="1"/>
        <n v="-24961.127099999994" u="1"/>
        <n v="-37621.107799999838" u="1"/>
        <n v="-23921.257799999996" u="1"/>
        <n v="-15457.523800000039" u="1"/>
        <n v="-20106.191099999982" u="1"/>
        <n v="5398.3588000000018" u="1"/>
        <n v="-25874.166500000021" u="1"/>
        <n v="-47737.23779999993" u="1"/>
        <n v="-35080.86350000008" u="1"/>
        <n v="-14792.287500000015" u="1"/>
        <n v="-53244.23409999974" u="1"/>
        <n v="-9197.3477000000021" u="1"/>
        <n v="-55113.041000000158" u="1"/>
        <n v="-6732.4134000000086" u="1"/>
        <n v="-6421.5938999999926" u="1"/>
        <n v="-26899.818500000001" u="1"/>
        <n v="-15796.438700000026" u="1"/>
        <n v="-8494.4944999999752" u="1"/>
        <n v="-10513.212300000003" u="1"/>
        <n v="-19092.401599999983" u="1"/>
        <n v="-5864.3969000000052" u="1"/>
        <n v="-13399.383099999985" u="1"/>
        <n v="-15088.740499999984" u="1"/>
        <n v="-10233.073499999988" u="1"/>
        <n v="-4580.3302000000031" u="1"/>
        <n v="-22371.10179999972" u="1"/>
        <n v="-36633.151699999959" u="1"/>
        <n v="-19478.435599999986" u="1"/>
        <n v="-5450.2579999999498" u="1"/>
        <n v="-24420.904600000013" u="1"/>
        <n v="-12719.917299999956" u="1"/>
        <n v="-21460.121099999953" u="1"/>
        <n v="-36776.527400000195" u="1"/>
        <n v="-50668.513599999766" u="1"/>
        <n v="-24407.695700000069" u="1"/>
        <n v="-13571.266599999915" u="1"/>
        <n v="-25574.162100000023" u="1"/>
        <n v="-10667.469599999888" u="1"/>
        <n v="-33233.991599999907" u="1"/>
        <n v="-17095.422299999969" u="1"/>
        <n v="-22235.838900000017" u="1"/>
        <n v="-7802.9580999999271" u="1"/>
        <n v="-491.00609999999415" u="1"/>
        <n v="-42139.880000000063" u="1"/>
        <n v="-20137.69550000002" u="1"/>
        <n v="-16404.415799999962" u="1"/>
        <n v="-41841.929300000025" u="1"/>
        <n v="-7949.3639999999668" u="1"/>
        <n v="-33816.420799999949" u="1"/>
        <n v="-8709.7893999999033" u="1"/>
        <n v="-58.149799999999971" u="1"/>
        <n v="-29607.724500000098" u="1"/>
        <n v="-4874.7761000000028" u="1"/>
        <n v="-30057.716400000056" u="1"/>
        <n v="-71214.248200000322" u="1"/>
        <n v="596.60200000000054" u="1"/>
        <n v="-344.65209999999911" u="1"/>
        <n v="112.37759999999992" u="1"/>
        <n v="-3192.9078000000031" u="1"/>
        <n v="304.07570000000027" u="1"/>
        <n v="-591.28869999999995" u="1"/>
        <n v="-8721.2150000000074" u="1"/>
        <n v="-64633.733499999784" u="1"/>
        <n v="-73918.811999999365" u="1"/>
        <n v="-11256.18930000002" u="1"/>
        <n v="-33726.078199999785" u="1"/>
        <n v="-6961.4547999999695" u="1"/>
        <n v="-53539.079099999726" u="1"/>
        <n v="-939.82699999999863" u="1"/>
        <n v="-224.7731" u="1"/>
        <n v="-3109.0625999999961" u="1"/>
        <n v="-755.27809999999954" u="1"/>
        <n v="-1919.564299999998" u="1"/>
        <n v="393.90050000000002" u="1"/>
        <n v="-29.731500000000324" u="1"/>
        <n v="-95.912200000000212" u="1"/>
        <n v="-1397.2923999999998" u="1"/>
        <n v="-29648.913999999975" u="1"/>
        <n v="-15660.458300000024" u="1"/>
        <n v="-62901.77629999975" u="1"/>
        <n v="-29532.318699999953" u="1"/>
        <n v="-17278.65779999999" u="1"/>
        <n v="-41755.677599999937" u="1"/>
        <n v="-35358.489899999848" u="1"/>
        <n v="-50000.539799999831" u="1"/>
        <n v="-23844.304000000022" u="1"/>
        <n v="-51120.02209999982" u="1"/>
        <n v="-54329.232699999411" u="1"/>
        <n v="-48835.444999999854" u="1"/>
        <n v="-22085.620699999999" u="1"/>
        <n v="-14151.096699999915" u="1"/>
        <n v="-29400.231300000101" u="1"/>
        <n v="-67736.624299999632" u="1"/>
        <n v="-57464.111700000649" u="1"/>
        <n v="-48990.543299999517" u="1"/>
        <n v="-28484.144400000012" u="1"/>
        <n v="-28679.454199999927" u="1"/>
        <n v="-15243.969300000019" u="1"/>
        <n v="-14613.614400000002" u="1"/>
        <n v="-6687.1340999999629" u="1"/>
        <n v="-56154.110000000175" u="1"/>
        <n v="-28618.192100000106" u="1"/>
        <n v="-14179.83749999998" u="1"/>
        <n v="-3539.4404999999842" u="1"/>
        <n v="-26087.625099999943" u="1"/>
        <n v="-30803.477899999896" u="1"/>
        <n v="-36728.260399999759" u="1"/>
        <n v="-38956.210600000028" u="1"/>
        <n v="-13451.177499999987" u="1"/>
        <n v="-11550.216399999923" u="1"/>
        <n v="-13696.299199999954" u="1"/>
        <n v="-15905.417699999949" u="1"/>
        <n v="-21747.051700000011" u="1"/>
        <n v="-27634.798700000025" u="1"/>
        <n v="-69105.473599999852" u="1"/>
        <n v="-16301.998899999933" u="1"/>
        <n v="-11833.976599999985" u="1"/>
        <n v="-19200.82940000001" u="1"/>
        <n v="-11416.445899999859" u="1"/>
        <n v="-55967.987599999688" u="1"/>
        <n v="-18662.068999999923" u="1"/>
        <n v="-104558.6376999991" u="1"/>
        <n v="-36643.719499999788" u="1"/>
        <n v="-45727.256900000044" u="1"/>
        <n v="-41964.374300000141" u="1"/>
        <n v="-10468.154399999963" u="1"/>
        <n v="-8456.5097999999052" u="1"/>
        <n v="-2022.1032000000046" u="1"/>
        <n v="-49447.14959999975" u="1"/>
        <n v="-15361.072300000027" u="1"/>
        <n v="-7336.6267999999582" u="1"/>
        <n v="-21881.42039999997" u="1"/>
        <n v="-33004.171699999824" u="1"/>
        <n v="-30350.502900000054" u="1"/>
        <n v="-6408.6226999999599" u="1"/>
        <n v="-30013.834999999985" u="1"/>
        <n v="-31633.527400000155" u="1"/>
        <n v="-20445.745799999993" u="1"/>
        <n v="-145906.22649999993" u="1"/>
        <n v="-22599.289800000002" u="1"/>
        <n v="-59658.244199999754" u="1"/>
        <n v="-21038.029699999959" u="1"/>
        <n v="-14783.484299999958" u="1"/>
        <n v="-33083.444900000024" u="1"/>
        <n v="-44561.270699999892" u="1"/>
        <n v="-52678.64009999983" u="1"/>
        <n v="2992.9491999999518" u="1"/>
        <n v="-41992.511200000023" u="1"/>
        <n v="-5256677.2949999897" u="1"/>
        <n v="-10918.164999999903" u="1"/>
        <n v="-44824.414099999856" u="1"/>
        <n v="-20022.801899999948" u="1"/>
        <n v="-12533.780299999809" u="1"/>
        <n v="-20022.325500000028" u="1"/>
        <n v="-2449.063799999999" u="1"/>
        <n v="-4074.8798000000115" u="1"/>
        <n v="11.2766" u="1"/>
        <n v="-12834.650799999999" u="1"/>
        <n v="-10745.604699999974" u="1"/>
        <n v="-4298.1864999999234" u="1"/>
        <n v="-6154.8980999999876" u="1"/>
        <n v="-28302.028400000287" u="1"/>
        <n v="-11752.502399999859" u="1"/>
        <n v="-9073.5814999999602" u="1"/>
        <n v="-21157.771900000131" u="1"/>
        <n v="-8908.9601999999686" u="1"/>
        <n v="-16887.218799999995" u="1"/>
        <n v="-20017.771300000015" u="1"/>
        <n v="-10433.971899999953" u="1"/>
        <n v="-20987.06580000004" u="1"/>
        <n v="-10367.507699999998" u="1"/>
        <n v="-13148.854999999961" u="1"/>
        <n v="-19068.004999999852" u="1"/>
        <n v="-32244.727999999988" u="1"/>
        <n v="-35427.81730000001" u="1"/>
        <n v="-5801.6240999999991" u="1"/>
        <n v="-13329.127299999935" u="1"/>
        <n v="-24281.584499999946" u="1"/>
        <n v="-7050.7045999999882" u="1"/>
        <n v="-14878.587799999805" u="1"/>
        <n v="-14542.436399999926" u="1"/>
        <n v="-14467.718999999801" u="1"/>
        <n v="-15120.519599999898" u="1"/>
        <n v="-12682.805299999816" u="1"/>
        <n v="-1852.4317000000083" u="1"/>
        <n v="-15457.690199999923" u="1"/>
        <n v="-46161.517099999808" u="1"/>
        <n v="-18666.544199999877" u="1"/>
        <n v="-22662.756500000003" u="1"/>
        <n v="-21538.271900000225" u="1"/>
        <n v="-34315.45120000004" u="1"/>
        <n v="-37902.503500000028" u="1"/>
        <n v="-17131.526799999956" u="1"/>
        <n v="-14850.518999999924" u="1"/>
        <n v="-49908.616199999313" u="1"/>
        <n v="-27436.415900000291" u="1"/>
        <n v="-18410.499499999853" u="1"/>
        <n v="-34900.0749" u="1"/>
        <n v="-18353.030399999927" u="1"/>
        <n v="-22052.794599999936" u="1"/>
        <n v="-18891.69219999995" u="1"/>
        <n v="-10271.590599999809" u="1"/>
        <n v="-13539.756199999985" u="1"/>
        <n v="79.4696" u="1"/>
        <n v="-5524.5337999999938" u="1"/>
        <n v="-15310.127699999899" u="1"/>
        <n v="-28091.193000000232" u="1"/>
        <n v="-23598.995299999893" u="1"/>
        <n v="-2689.4172000000026" u="1"/>
        <n v="-32320.839799999867" u="1"/>
        <n v="-6333.3954999999887" u="1"/>
        <n v="-35686.878300000113" u="1"/>
        <n v="-13790.384799999916" u="1"/>
        <n v="-6749.3744999999717" u="1"/>
        <n v="-9038.7473999999966" u="1"/>
        <n v="-8708.3700999999674" u="1"/>
        <n v="-5091.4975999999915" u="1"/>
        <n v="-9857.907299999988" u="1"/>
        <n v="-10244.853699999978" u="1"/>
        <n v="-4625.9021000000084" u="1"/>
        <n v="-10154.942700000001" u="1"/>
        <n v="-10444.239100000008" u="1"/>
        <n v="-6709.6349000000155" u="1"/>
        <n v="-2177.7831999999999" u="1"/>
        <n v="-13726.901999999936" u="1"/>
        <n v="-21896.152599999823" u="1"/>
        <n v="-11534.734199999972" u="1"/>
        <n v="-6634.4672999999202" u="1"/>
        <n v="-19718.400399999955" u="1"/>
        <n v="-9678.012700000003" u="1"/>
        <n v="-15291.53749999986" u="1"/>
        <n v="-20360.68810000005" u="1"/>
        <n v="-28754.639600000173" u="1"/>
        <n v="-14552.604999999778" u="1"/>
        <n v="-22429.523500000047" u="1"/>
        <n v="-12513.5244" u="1"/>
        <n v="-6965.0416000000268" u="1"/>
        <n v="-12978.770599999931" u="1"/>
        <n v="-7329.3031999999903" u="1"/>
        <n v="-12487.250599999908" u="1"/>
        <n v="-4340.3609999999426" u="1"/>
        <n v="-1598.1473000000196" u="1"/>
        <n v="-16843.427499999892" u="1"/>
        <n v="-12865.035299999934" u="1"/>
        <n v="-6204.113600000007" u="1"/>
        <n v="-23209.013099999982" u="1"/>
        <n v="-6234.3418000000183" u="1"/>
        <n v="-18867.451799999904" u="1"/>
        <n v="-6510.6346999999587" u="1"/>
        <n v="-32634.165200000105" u="1"/>
        <n v="-9079.6864999999852" u="1"/>
        <n v="-133.33410000000003" u="1"/>
        <n v="-21622.837000000072" u="1"/>
        <n v="-15988.570299999983" u="1"/>
        <n v="-8097.0942000000177" u="1"/>
        <n v="-17458.692099999847" u="1"/>
        <n v="-43927.650200000229" u="1"/>
        <n v="532.29279999999858" u="1"/>
        <n v="4.0796000000000001" u="1"/>
        <n v="385.39439999999956" u="1"/>
        <n v="-215.10399999999981" u="1"/>
        <n v="659.41649999999993" u="1"/>
        <n v="-4671.9486000000015" u="1"/>
        <n v="-481.95020000000034" u="1"/>
        <n v="755.10730000000001" u="1"/>
        <n v="-12460.173399999931" u="1"/>
        <n v="-42690.342400000081" u="1"/>
        <n v="-34197.786400000026" u="1"/>
        <n v="-9015.5822999999727" u="1"/>
        <n v="-21068.0042999998" u="1"/>
        <n v="-2548.5207000000073" u="1"/>
        <n v="-30829.076900000066" u="1"/>
        <n v="547.06869999999981" u="1"/>
        <n v="-311.96100000000035" u="1"/>
        <n v="-1836.7925999999979" u="1"/>
        <n v="-508.06559999999968" u="1"/>
        <n v="-1783.923" u="1"/>
        <n v="66.645100000000014" u="1"/>
        <n v="-752.36480000000006" u="1"/>
        <n v="-194.78380000000016" u="1"/>
        <n v="-66.229199999999707" u="1"/>
        <n v="-21889.607599999978" u="1"/>
        <n v="-9700.5863999999965" u="1"/>
        <n v="-32449.784600000195" u="1"/>
        <n v="-11666.660199999973" u="1"/>
        <n v="-6454.2742999998936" u="1"/>
        <n v="-22803.676099999975" u="1"/>
        <n v="-21627.940199999888" u="1"/>
        <n v="-37933.215199999948" u="1"/>
        <n v="-18448.467199999883" u="1"/>
        <n v="-31677.765099999826" u="1"/>
        <n v="-38818.462700000091" u="1"/>
        <n v="-26666.020900000178" u="1"/>
        <n v="-14797.495199999859" u="1"/>
        <n v="-10188.852000000043" u="1"/>
        <n v="-28874.762899999918" u="1"/>
        <n v="-46003.300099999607" u="1"/>
        <n v="-19377.927900000122" u="1"/>
        <n v="-27815.658700000015" u="1"/>
        <n v="-12879.257199999995" u="1"/>
        <n v="-17968.834699999992" u="1"/>
        <n v="-8531.4507000000067" u="1"/>
        <n v="-8661.5755999999601" u="1"/>
        <n v="-10385.263599999922" u="1"/>
        <n v="-27564.487800000097" u="1"/>
        <n v="-21123.72529999994" u="1"/>
        <n v="177.32" u="1"/>
        <n v="-12445.999399999977" u="1"/>
        <n v="220.11819999998261" u="1"/>
        <n v="-15690.283399999893" u="1"/>
        <n v="-18154.510899999932" u="1"/>
        <n v="-12861.344499999983" u="1"/>
        <n v="-27765.644900000152" u="1"/>
        <n v="86.25" u="1"/>
        <n v="-13574.561899999924" u="1"/>
        <n v="-6412.4372999999969" u="1"/>
        <n v="-10898.237599999891" u="1"/>
        <n v="-10371.69229999991" u="1"/>
        <n v="-16156.206199999906" u="1"/>
        <n v="-16157.9719999999" u="1"/>
        <n v="-44627.423900000082" u="1"/>
        <n v="-24996.660299999967" u="1"/>
        <n v="-6078.8257999999851" u="1"/>
        <n v="-18593.908299999934" u="1"/>
        <n v="-7624.3143999999165" u="1"/>
        <n v="-35085.206600000151" u="1"/>
        <n v="-15049.05399999984" u="1"/>
        <n v="-51346.604299999395" u="1"/>
        <n v="-27011.594200000003" u="1"/>
        <n v="-26422.483500000002" u="1"/>
        <n v="-22276.943000000003" u="1"/>
        <n v="-1755.4587000000161" u="1"/>
        <n v="-9401.4505999999456" u="1"/>
        <n v="-1046.0357999999987" u="1"/>
        <n v="-29009.56960000001" u="1"/>
        <n v="-7687.496799999928" u="1"/>
        <n v="-12731.246099999993" u="1"/>
        <n v="-11072.468999999928" u="1"/>
        <n v="-13931.695999999876" u="1"/>
        <n v="-14399.914999999828" u="1"/>
        <n v="-13842.406499999934" u="1"/>
        <n v="-19408.001600000083" u="1"/>
        <n v="-17048.274199999803" u="1"/>
        <n v="-13184.830799999945" u="1"/>
        <n v="-43252.498999999647" u="1"/>
        <n v="-14026.715699999953" u="1"/>
        <n v="-34666.078700000086" u="1"/>
        <n v="-11344.062099999843" u="1"/>
        <n v="-9706.8845999998739" u="1"/>
        <n v="-25895.388900000016" u="1"/>
        <n v="-29086.758799999981" u="1"/>
        <n v="-23018.981599999996" u="1"/>
        <n v="-12275.568099999917" u="1"/>
        <n v="-29172.41379999994" u="1"/>
        <n v="-3233691.2539999965" u="1"/>
        <n v="-10918.165000000001" u="1"/>
        <n v="-47086.268399999979" u="1"/>
        <n v="-19797.270899999989" u="1"/>
        <n v="-12250.994100000004" u="1"/>
        <n v="-19535.010100000003" u="1"/>
        <n v="-2367.8750000000009" u="1"/>
        <n v="-3997.2986000000001" u="1"/>
        <n v="-12449.681000000004" u="1"/>
        <n v="-10423.269300000004" u="1"/>
        <n v="-4115.6723999999986" u="1"/>
        <n v="-5989.3587999999945" u="1"/>
        <n v="-27798.496499999972" u="1"/>
        <n v="-11521.563400000006" u="1"/>
        <n v="-8842.9677000000102" u="1"/>
        <n v="-20386.185499999989" u="1"/>
        <n v="-8686.5199000000102" u="1"/>
        <n v="-16449.882000000005" u="1"/>
        <n v="-19502.671800000022" u="1"/>
        <n v="-10156.3449" u="1"/>
        <n v="-20412.411600000014" u="1"/>
        <n v="-10106.593899999989" u="1"/>
        <n v="-12837.384799999993" u="1"/>
        <n v="-18725.230399999993" u="1"/>
        <n v="-31474.821799999969" u="1"/>
        <n v="-34970.803399999983" u="1"/>
        <n v="-5628.0247999999747" u="1"/>
        <n v="-13024.761000000002" u="1"/>
        <n v="-23822.346099999992" u="1"/>
        <n v="-6845.934599999996" u="1"/>
        <n v="-14504.145000000033" u="1"/>
        <n v="-14082.476199999992" u="1"/>
        <n v="-14054.146299999989" u="1"/>
        <n v="-14861.165999999996" u="1"/>
        <n v="-12298.722899999993" u="1"/>
        <n v="-1746.7703999999994" u="1"/>
        <n v="-15163.087100000002" u="1"/>
        <n v="-45237.417999999991" u="1"/>
        <n v="-18304.981000000003" u="1"/>
        <n v="-22171.527999999995" u="1"/>
        <n v="-21004.432900000003" u="1"/>
        <n v="-33753.132300000005" u="1"/>
        <n v="-37399.714999999982" u="1"/>
        <n v="-16739.621600000013" u="1"/>
        <n v="-14515.992700000003" u="1"/>
        <n v="-49284.420700000024" u="1"/>
        <n v="-26729.166499999992" u="1"/>
        <n v="-17870.365299999998" u="1"/>
        <n v="-34317.453300000023" u="1"/>
        <n v="-18022.293600000005" u="1"/>
        <n v="-21574.117800000018" u="1"/>
        <n v="-18551.79689999999" u="1"/>
        <n v="-9995.6355000000203" u="1"/>
        <n v="-13283.518399999997" u="1"/>
        <n v="-5398.8067999999985" u="1"/>
        <n v="-15041.348799999996" u="1"/>
        <n v="-27662.370999999985" u="1"/>
        <n v="-23097.457799999996" u="1"/>
        <n v="-2689.4171999999994" u="1"/>
        <n v="-31833.569899999977" u="1"/>
        <n v="-6197.4181999999983" u="1"/>
        <n v="-35321.863899999968" u="1"/>
        <n v="-15005.245700000003" u="1"/>
        <n v="-6610.2284000000027" u="1"/>
        <n v="-8889.3151999999991" u="1"/>
        <n v="-8482.686200000011" u="1"/>
        <n v="-4926.8976999999941" u="1"/>
        <n v="-9719.2162999999964" u="1"/>
        <n v="-9999.3676000000087" u="1"/>
        <n v="-4541.7947000000031" u="1"/>
        <n v="-10086.659599999999" u="1"/>
        <n v="-10257.987700000009" u="1"/>
        <n v="-6598.4324000000033" u="1"/>
        <n v="-2116.0390999999995" u="1"/>
        <n v="-13370.477200000007" u="1"/>
        <n v="-21495.713099999997" u="1"/>
        <n v="-11340.6502" u="1"/>
        <n v="-6438.0856000000113" u="1"/>
        <n v="-19179.86189999996" u="1"/>
        <n v="-9512.5352000000021" u="1"/>
        <n v="-14945.68480000001" u="1"/>
        <n v="-19923.724800000004" u="1"/>
        <n v="-28230.45949999995" u="1"/>
        <n v="-14222.77479999999" u="1"/>
        <n v="-21898.167399999969" u="1"/>
        <n v="-12156.352000000006" u="1"/>
        <n v="-6829.512700000002" u="1"/>
        <n v="-12570.839699999993" u="1"/>
        <n v="-7009.3824999999997" u="1"/>
        <n v="-12208.2441" u="1"/>
        <n v="-4170.5904000000119" u="1"/>
        <n v="-1532.2041999999988" u="1"/>
        <n v="117434.82500000001" u="1"/>
        <n v="-12657.301399999997" u="1"/>
        <n v="-6050.1377999999968" u="1"/>
        <n v="-22685.570899999992" u="1"/>
        <n v="-6135.4794999999995" u="1"/>
        <n v="-18414.160999999989" u="1"/>
        <n v="-6377.5434000000014" u="1"/>
        <n v="-31999.658599999988" u="1"/>
        <n v="-8886.808299999997" u="1"/>
        <n v="-129.74580000000003" u="1"/>
        <n v="-21154.472400000002" u="1"/>
        <n v="-15599.84680000001" u="1"/>
        <n v="-7967.8670999999958" u="1"/>
        <n v="-17048.505899999996" u="1"/>
        <n v="-43135.413499999995" u="1"/>
        <n v="560.93569999999966" u="1"/>
        <n v="402.40540000000021" u="1"/>
        <n v="-194.18980000000033" u="1"/>
        <n v="679.85630000000015" u="1"/>
        <n v="-4543.9858999999997" u="1"/>
        <n v="-477.803" u="1"/>
        <n v="772.63279999999997" u="1"/>
        <n v="-12239.676600000006" u="1"/>
        <n v="-42014.773999999969" u="1"/>
        <n v="-33491.472999999976" u="1"/>
        <n v="-8785.8814999999922" u="1"/>
        <n v="-20658.211400000011" u="1"/>
        <n v="-2425.9854000000087" u="1"/>
        <n v="-30202.732999999971" u="1"/>
        <n v="567.91149999999993" u="1"/>
        <n v="-295.08969999999999" u="1"/>
        <n v="-1762.9585999999986" u="1"/>
        <n v="-480.19280000000003" u="1"/>
        <n v="-1718.8704000000007" u="1"/>
        <n v="84.289999999999964" u="1"/>
        <n v="-740.72600000000011" u="1"/>
        <n v="-164.92549999999994" u="1"/>
        <n v="-35.769599999999969" u="1"/>
        <n v="-21410.361799999977" u="1"/>
        <n v="-9514.4778000000006" u="1"/>
        <n v="-31713.618099999981" u="1"/>
        <n v="-11376.136699999995" u="1"/>
        <n v="-6148.0132000000103" u="1"/>
        <n v="-22315.785399999997" u="1"/>
        <n v="-21175.9683" u="1"/>
        <n v="-37228.335099999982" u="1"/>
        <n v="-18055.645500000002" u="1"/>
        <n v="-31020.322199999948" u="1"/>
        <n v="-40286.403100000003" u="1"/>
        <n v="-26031.951800000024" u="1"/>
        <n v="-14616.39480000002" u="1"/>
        <n v="-10027.089199999989" u="1"/>
        <n v="-28407.298600000006" u="1"/>
        <n v="-45222.467500000057" u="1"/>
        <n v="-18775.201700000012" u="1"/>
        <n v="-27274.029399999978" u="1"/>
        <n v="-12582.497000000005" u="1"/>
        <n v="-17649.914699999994" u="1"/>
        <n v="-8350.3894000000037" u="1"/>
        <n v="-8385.0749000000033" u="1"/>
        <n v="-10273.593099999998" u="1"/>
        <n v="-26893.924399999982" u="1"/>
        <n v="-20696.863099999999" u="1"/>
        <n v="-12284.220499999996" u="1"/>
        <n v="343.56670000000031" u="1"/>
        <n v="-15268.678900000028" u="1"/>
        <n v="-17767.597499999989" u="1"/>
        <n v="-12589.062100000006" u="1"/>
        <n v="-27184.612599999971" u="1"/>
        <n v="-13281.307399999998" u="1"/>
        <n v="-6206.4095000000025" u="1"/>
        <n v="-10671.387000000008" u="1"/>
        <n v="-10144.711700000005" u="1"/>
        <n v="-15896.959600000002" u="1"/>
        <n v="-15898.865200000004" u="1"/>
        <n v="-43985.509300000049" u="1"/>
        <n v="-24508.958099999974" u="1"/>
        <n v="-5838.3609000000015" u="1"/>
        <n v="-18145.437000000005" u="1"/>
        <n v="-7437.3220000000038" u="1"/>
        <n v="-34389.146900000014" u="1"/>
        <n v="-14756.03660000001" u="1"/>
        <n v="-50176.217200000101" u="1"/>
        <n v="-26516.433300000022" u="1"/>
        <n v="-25879.882499999992" u="1"/>
        <n v="-21863.639200000005" u="1"/>
        <n v="-1659.0143999999937" u="1"/>
        <n v="-9191.5651000000162" u="1"/>
        <n v="-1026.7660000000001" u="1"/>
        <n v="-28417.220599999971" u="1"/>
        <n v="-7376.5915000000177" u="1"/>
        <n v="-12493.586000000003" u="1"/>
        <n v="-10782.227200000005" u="1"/>
        <n v="-13670.059400000013" u="1"/>
        <n v="-14007.616600000003" u="1"/>
        <n v="-13565.779000000002" u="1"/>
        <n v="-19029.882999999994" u="1"/>
        <n v="-16637.584200000008" u="1"/>
        <n v="-12856.424000000019" u="1"/>
        <n v="-42251.312999999966" u="1"/>
        <n v="-13684.789199999988" u="1"/>
        <n v="-34039.764000000003" u="1"/>
        <n v="-11005.957599999998" u="1"/>
        <n v="-9472.3639000000003" u="1"/>
        <n v="-25432.315400000018" u="1"/>
        <n v="-28581.932500000003" u="1"/>
        <n v="-22540.522600000011" u="1"/>
        <n v="-12028.915400000005" u="1"/>
        <n v="-28718.346100000013" u="1"/>
        <n v="-3038942.7301000026" u="1"/>
        <n v="0" u="1"/>
        <n v="-28152.984899999181" u="1"/>
        <n v="-5449.4329999999454" u="1"/>
        <n v="-9899.7899000000216" u="1"/>
        <n v="-19170.077900000084" u="1"/>
        <n v="-2553.3571000000111" u="1"/>
        <n v="-2234.8164000000106" u="1"/>
        <n v="-16196.54999999997" u="1"/>
        <n v="-13978.298399999965" u="1"/>
        <n v="-5199.0740000000178" u="1"/>
        <n v="-5351.6614999999792" u="1"/>
        <n v="-15318.974599999729" u="1"/>
        <n v="-7262.5309000000125" u="1"/>
        <n v="-5503.6264000000501" u="1"/>
        <n v="-28056.46089999879" u="1"/>
        <n v="-9161.8523000000532" u="1"/>
        <n v="-16013.249900000155" u="1"/>
        <n v="-18253.134699999653" u="1"/>
        <n v="-10865.726000000024" u="1"/>
        <n v="-25839.827399999867" u="1"/>
        <n v="-9912.5287000000317" u="1"/>
        <n v="-13447.062400000017" u="1"/>
        <n v="-13237.998800000027" u="1"/>
        <n v="-24632.451399998696" u="1"/>
        <n v="-18209.533899999878" u="1"/>
        <n v="-5298.8581000001177" u="1"/>
        <n v="-11377.025299999925" u="1"/>
        <n v="-15959.718299999869" u="1"/>
        <n v="-6760.7643999999982" u="1"/>
        <n v="-16061.263099999989" u="1"/>
        <n v="-17875.267200000038" u="1"/>
        <n v="-9674.1001000001706" u="1"/>
        <n v="-5829.0978999999352" u="1"/>
        <n v="-13369.072600000127" u="1"/>
        <n v="-2064.7934999999798" u="1"/>
        <n v="-11547.970200000002" u="1"/>
        <n v="-38736.639099999942" u="1"/>
        <n v="-14392.461200000049" u="1"/>
        <n v="-19410.415499999908" u="1"/>
        <n v="-16449.809799999603" u="1"/>
        <n v="-17650.846499999472" u="1"/>
        <n v="-18952.599099999865" u="1"/>
        <n v="-13210.392900000079" u="1"/>
        <n v="-12867.100600000042" u="1"/>
        <n v="7973.1663000002336" u="1"/>
        <n v="-29073.19289999899" u="1"/>
        <n v="-18490.395099999769" u="1"/>
        <n v="-24566.224199999273" u="1"/>
        <n v="-10022.797300000107" u="1"/>
        <n v="-18983.07189999985" u="1"/>
        <n v="-13151.977800000044" u="1"/>
        <n v="-11085.877000000117" u="1"/>
        <n v="-10436.689099999992" u="1"/>
        <n v="152.03" u="1"/>
        <n v="-3354.2966999999994" u="1"/>
        <n v="-10025.726000000046" u="1"/>
        <n v="-15819.822000000033" u="1"/>
        <n v="-17579.543799999825" u="1"/>
        <n v="-11415.146599999835" u="1"/>
        <n v="-3834.2399999999902" u="1"/>
        <n v="-10408.542899999438" u="1"/>
        <n v="-9421.6762000000017" u="1"/>
        <n v="-3894.9070999999631" u="1"/>
        <n v="-7714.5697999999829" u="1"/>
        <n v="-8306.4778999999544" u="1"/>
        <n v="-5447.6461999999519" u="1"/>
        <n v="-4344.2460999999694" u="1"/>
        <n v="-10189.519399999996" u="1"/>
        <n v="-2907.169300000005" u="1"/>
        <n v="-3003.8562000000093" u="1"/>
        <n v="-5948.771399999956" u="1"/>
        <n v="-4035.6767000000091" u="1"/>
        <n v="-674.81420000000162" u="1"/>
        <n v="-12018.897900000084" u="1"/>
        <n v="110.75" u="1"/>
        <n v="-16023.9232999999" u="1"/>
        <n v="-7872.121599999964" u="1"/>
        <n v="-7058.868999999996" u="1"/>
        <n v="-21188.387599999354" u="1"/>
        <n v="-1746.9566999999506" u="1"/>
        <n v="-14159.022200000078" u="1"/>
        <n v="-18145.928900000115" u="1"/>
        <n v="-21521.684199999847" u="1"/>
        <n v="-8022.6812000001792" u="1"/>
        <n v="-17230.821899999886" u="1"/>
        <n v="-12328.341299999991" u="1"/>
        <n v="-2693.3056999999444" u="1"/>
        <n v="-18539.631700000009" u="1"/>
        <n v="-11253.039599999993" u="1"/>
        <n v="-7127.8926000000147" u="1"/>
        <n v="-3428.6724999999178" u="1"/>
        <n v="-1159.4711999999936" u="1"/>
        <n v="-12261.430100000041" u="1"/>
        <n v="-6178.2322999999487" u="1"/>
        <n v="-5984.1088999999702" u="1"/>
        <n v="-20654.266999999974" u="1"/>
        <n v="545.61569999999392" u="1"/>
        <n v="-17482.249699999917" u="1"/>
        <n v="-2834.3321000000042" u="1"/>
        <n v="-24436.137399999359" u="1"/>
        <n v="-7537.659699999951" u="1"/>
        <n v="-156.10820000000001" u="1"/>
        <n v="-13853.850899999981" u="1"/>
        <n v="-15913.706900000037" u="1"/>
        <n v="374.86639999999079" u="1"/>
        <n v="-15367.869600000095" u="1"/>
        <n v="-31080.271599999222" u="1"/>
        <n v="-939.64650000000051" u="1"/>
        <n v="6.1539000000000001" u="1"/>
        <n v="-363.84560000000101" u="1"/>
        <n v="-329.59460000000047" u="1"/>
        <n v="-339.49030000000027" u="1"/>
        <n v="-5419.7286999999933" u="1"/>
        <n v="-152.73480000000114" u="1"/>
        <n v="257.03829999999948" u="1"/>
        <n v="-7816.3716999999988" u="1"/>
        <n v="-27448.704699999536" u="1"/>
        <n v="-28800.674399999236" u="1"/>
        <n v="-7060.5449000000808" u="1"/>
        <n v="-16069.486199999998" u="1"/>
        <n v="-3843.7614999999928" u="1"/>
        <n v="-28336.357599999232" u="1"/>
        <n v="-761.32789999999966" u="1"/>
        <n v="-459.2056999999985" u="1"/>
        <n v="-2703.2584000000011" u="1"/>
        <n v="-1027.7327000000009" u="1"/>
        <n v="-3354.9924999999994" u="1"/>
        <n v="-499.18089999999984" u="1"/>
        <n v="-131.22799999999995" u="1"/>
        <n v="-1052.4023999999999" u="1"/>
        <n v="-1061.4610999999998" u="1"/>
        <n v="-18385.266499999907" u="1"/>
        <n v="1356.51080000006" u="1"/>
        <n v="-27917.850999999271" u="1"/>
        <n v="-12157.662800000046" u="1"/>
        <n v="-11110.82070000012" u="1"/>
        <n v="-21777.513799999979" u="1"/>
        <n v="-19956.446799999911" u="1"/>
        <n v="-23854.346699998969" u="1"/>
        <n v="-15780.874300000116" u="1"/>
        <n v="-26167.29569999942" u="1"/>
        <n v="-23008.613899998309" u="1"/>
        <n v="-21856.622499999299" u="1"/>
        <n v="-4689.8956999999409" u="1"/>
        <n v="-5953.3121999999548" u="1"/>
        <n v="-20659.041599999793" u="1"/>
        <n v="-34001.160299998919" u="1"/>
        <n v="-25709.648199999872" u="1"/>
        <n v="-23000.523199999978" u="1"/>
        <n v="-10749.504599999989" u="1"/>
        <n v="-11647.429799999978" u="1"/>
        <n v="-5621.3452999999281" u="1"/>
        <n v="-8833.815600000009" u="1"/>
        <n v="-2947.7258000000302" u="1"/>
        <n v="-23343.52679999901" u="1"/>
        <n v="-17656.150999999973" u="1"/>
        <n v="-6019.8534999999847" u="1"/>
        <n v="-893.81189999998696" u="1"/>
        <n v="-4758.1547999998256" u="1"/>
        <n v="-14876.545199999975" u="1"/>
        <n v="-2775.7006000000347" u="1"/>
        <n v="-23672.359899999738" u="1"/>
        <n v="171.35" u="1"/>
        <n v="-11008.116500000007" u="1"/>
        <n v="-7652.4257999999691" u="1"/>
        <n v="-8159.1693999999834" u="1"/>
        <n v="-8259.7575000000834" u="1"/>
        <n v="-9878.9730000000382" u="1"/>
        <n v="-6888.0793999999678" u="1"/>
        <n v="-25991.523699999285" u="1"/>
        <n v="-21417.714399999881" u="1"/>
        <n v="-8233.7071000000506" u="1"/>
        <n v="-19655.722999999874" u="1"/>
        <n v="-6453.2054999999855" u="1"/>
        <n v="-27728.024299999161" u="1"/>
        <n v="-10957.970100000057" u="1"/>
        <n v="-53341.686500000389" u="1"/>
        <n v="-8131.661699999484" u="1"/>
        <n v="-24274.329699999707" u="1"/>
        <n v="-12017.250800000036" u="1"/>
        <n v="-878.02779999998347" u="1"/>
        <n v="-6103.0546999999469" u="1"/>
        <n v="211.57289999999898" u="1"/>
        <n v="-21823.393199999689" u="1"/>
        <n v="-11550.720600000135" u="1"/>
        <n v="-8666.4390999999032" u="1"/>
        <n v="-10579.554100000041" u="1"/>
        <n v="-2530.7169000000304" u="1"/>
        <n v="-12480.00380000005" u="1"/>
        <n v="-11710.951300000066" u="1"/>
        <n v="-14866.138299999668" u="1"/>
        <n v="-15087.861500000199" u="1"/>
        <n v="-11973.616299999927" u="1"/>
        <n v="-39318.748499999587" u="1"/>
        <n v="-12939.549400000024" u="1"/>
        <n v="-27694.311199999331" u="1"/>
        <n v="-11210.124500000045" u="1"/>
        <n v="-6586.5990000000365" u="1"/>
        <n v="-9485.2688999999245" u="1"/>
        <n v="-19523.463499999714" u="1"/>
        <n v="-18111.960599999878" u="1"/>
        <n v="-9141.4118999999337" u="1"/>
        <n v="-21757.492600000016" u="1"/>
        <n v="-2411450.1676999754" u="1"/>
      </sharedItems>
    </cacheField>
    <cacheField name="Ingreso bruto" numFmtId="164">
      <sharedItems containsString="0" containsBlank="1" containsNumber="1" minValue="-10857.880899999998" maxValue="3354641.4351999871"/>
    </cacheField>
    <cacheField name="% ingreso" numFmtId="165">
      <sharedItems containsString="0" containsBlank="1" containsNumber="1" minValue="-2.6166490032332301E-2" maxValue="1.0000000000000009" count="1218">
        <n v="-2.3072510578283547E-6"/>
        <n v="3.4365295733350802E-3"/>
        <n v="1.2202085197686433E-2"/>
        <n v="6.4019655497756112E-3"/>
        <n v="4.6086831330986455E-3"/>
        <n v="8.2227851270654413E-3"/>
        <n v="-3.4191463444188379E-5"/>
        <n v="9.4944633026335004E-4"/>
        <n v="1.1253538039528068E-3"/>
        <n v="3.9062430823456457E-3"/>
        <n v="4.7700591878744366E-3"/>
        <n v="2.8013420454993483E-3"/>
        <n v="3.4633165494503235E-3"/>
        <n v="7.6979858500020471E-3"/>
        <n v="4.3732849496403792E-3"/>
        <n v="3.660872566330724E-3"/>
        <n v="1.060986444826335E-2"/>
        <n v="2.5326674293264422E-3"/>
        <n v="5.2220172374266797E-3"/>
        <n v="8.1179714512100692E-3"/>
        <n v="2.4130805203380649E-3"/>
        <n v="5.0535544043887508E-3"/>
        <n v="2.8969248093188792E-3"/>
        <n v="2.2607080209596036E-3"/>
        <n v="5.5354638815200367E-3"/>
        <n v="1.0142862883338533E-2"/>
        <n v="8.8043571781134533E-3"/>
        <n v="1.9016456820279033E-3"/>
        <n v="3.6385469314016731E-3"/>
        <n v="7.1072721363971293E-3"/>
        <n v="3.2447091619945494E-3"/>
        <n v="3.5678993213432374E-3"/>
        <n v="5.5243132710233508E-3"/>
        <n v="2.9666024796497054E-3"/>
        <n v="4.8320993206338305E-3"/>
        <n v="5.1899086195368923E-3"/>
        <n v="4.2993176107180946E-3"/>
        <n v="1.4938671380541051E-3"/>
        <n v="4.873320119539221E-3"/>
        <n v="9.7039662297198973E-3"/>
        <n v="5.6953934031584857E-3"/>
        <n v="7.7605041262622928E-3"/>
        <n v="6.8832342132635217E-3"/>
        <n v="6.4834110947846928E-3"/>
        <n v="9.7238056376821504E-3"/>
        <n v="5.4298689597251024E-3"/>
        <n v="5.3050531163367394E-3"/>
        <n v="1.5505010208906912E-2"/>
        <n v="9.6173908667161172E-3"/>
        <n v="6.6770835967643683E-3"/>
        <n v="1.0102693612612368E-2"/>
        <n v="5.6296963967101899E-3"/>
        <n v="8.2916250923674526E-3"/>
        <n v="4.7697420451870498E-3"/>
        <n v="3.8516745975951533E-3"/>
        <n v="4.1578347997625643E-3"/>
        <n v="-1.0003381478533311E-3"/>
        <n v="1.569312310031175E-3"/>
        <n v="4.8175713894252669E-3"/>
        <n v="8.6920914688640976E-3"/>
        <n v="5.4480052944646798E-3"/>
        <n v="3.4849033870897081E-3"/>
        <n v="7.3929333966273906E-3"/>
        <n v="1.3513066560360246E-3"/>
        <n v="1.1315619488178323E-2"/>
        <n v="3.5484732511480367E-3"/>
        <n v="2.7797002690524582E-3"/>
        <n v="0"/>
        <n v="1.28121078899861E-3"/>
        <n v="3.6291097976240581E-3"/>
        <n v="2.3083393708628287E-3"/>
        <n v="2.7952747204533644E-3"/>
        <n v="2.7291999985250776E-3"/>
        <n v="8.1075591908613708E-4"/>
        <n v="2.2076572841110485E-3"/>
        <n v="3.3612553585261862E-3"/>
        <n v="1.8562447046233401E-3"/>
        <n v="7.613505196711858E-4"/>
        <n v="5.5923980438409189E-3"/>
        <n v="8.0034629687328347E-3"/>
        <n v="4.8679994018575156E-3"/>
        <n v="3.2729434462927726E-3"/>
        <n v="7.1007557618687541E-3"/>
        <n v="2.2678230883851347E-3"/>
        <n v="3.8381946472417585E-3"/>
        <n v="6.1963201139441362E-3"/>
        <n v="7.7303303202221887E-3"/>
        <n v="5.1032589117767698E-3"/>
        <n v="7.5598654252262958E-3"/>
        <n v="3.9536369403990641E-3"/>
        <n v="2.0108923800966133E-3"/>
        <n v="4.9430041989007613E-3"/>
        <n v="4.2306965063626176E-3"/>
        <n v="2.8881197252076177E-3"/>
        <n v="1.2246362448435825E-2"/>
        <n v="1.1756563782396839E-3"/>
        <n v="4.5808893131625717E-3"/>
        <n v="3.2434522467380202E-3"/>
        <n v="1.0751250080427745E-3"/>
        <n v="5.6280147266691361E-3"/>
        <n v="2.1446671243333867E-3"/>
        <n v="5.4468476148512354E-3"/>
        <n v="2.7618467067099754E-3"/>
        <n v="1.026738650473568E-2"/>
        <n v="2.9800950990173099E-3"/>
        <n v="-3.801133517937312E-5"/>
        <n v="-7.0192178373890037E-4"/>
        <n v="5.317209497514205E-3"/>
        <n v="5.7227848253939015E-3"/>
        <n v="1.7414050392100182E-3"/>
        <n v="4.796973599367909E-3"/>
        <n v="1.3444528296452783E-2"/>
        <n v="1.9228964181727657E-4"/>
        <n v="-3.2366740558526204E-3"/>
        <n v="1.3179280365433247E-4"/>
        <n v="3.2317039568652777E-4"/>
        <n v="2.4276052023171051E-4"/>
        <n v="7.4080471728623038E-4"/>
        <n v="1.6950604438178998E-4"/>
        <n v="1.3327519755426461E-4"/>
        <n v="2.0100045951998995E-3"/>
        <n v="1.1129347180967478E-2"/>
        <n v="1.1013829946864973E-2"/>
        <n v="3.1855694584428645E-3"/>
        <n v="6.362513911632903E-3"/>
        <n v="1.8009244852840059E-3"/>
        <n v="9.1258178530709902E-3"/>
        <n v="3.4358059490530559E-4"/>
        <n v="2.4984139622362796E-4"/>
        <n v="4.4599937993397039E-4"/>
        <n v="2.5406685527008951E-4"/>
        <n v="5.8521470563156232E-4"/>
        <n v="4.5891244406817585E-4"/>
        <n v="2.0179071685485345E-4"/>
        <n v="1.3096863211367564E-4"/>
        <n v="2.6447944352273452E-4"/>
        <n v="1.3635367857808953E-4"/>
        <n v="4.756497976973432E-3"/>
        <n v="2.9571786110751748E-3"/>
        <n v="1.038031720308847E-2"/>
        <n v="4.7306138097152417E-3"/>
        <n v="4.0922545271016384E-3"/>
        <n v="5.6134657798017238E-3"/>
        <n v="5.825527370806779E-3"/>
        <n v="9.6738019627021377E-3"/>
        <n v="6.4646009175365607E-3"/>
        <n v="8.3539567316914601E-3"/>
        <n v="9.3839550986536732E-3"/>
        <n v="8.1339137511646405E-3"/>
        <n v="4.8178591101902864E-3"/>
        <n v="3.3364335700851759E-3"/>
        <n v="7.8277017998003955E-3"/>
        <n v="1.381886424986448E-2"/>
        <n v="7.0645379119594724E-3"/>
        <n v="7.3729627376780396E-3"/>
        <n v="4.0081024037069441E-3"/>
        <n v="4.6964547193285222E-3"/>
        <n v="2.5012884870360863E-3"/>
        <n v="2.758456806412235E-3"/>
        <n v="1.862636326623514E-3"/>
        <n v="9.0479804134985086E-3"/>
        <n v="5.0857197496527538E-3"/>
        <n v="-4.4276893035855911E-5"/>
        <n v="2.416121560698716E-3"/>
        <n v="1.9633054760761076E-3"/>
        <n v="7.0611979126728253E-3"/>
        <n v="7.6767084642132312E-3"/>
        <n v="5.4489519232061431E-3"/>
        <n v="8.5396495730972397E-3"/>
        <n v="4.0771637637584306E-3"/>
        <n v="1.9956608267437336E-3"/>
        <n v="3.441481876083642E-3"/>
        <n v="4.189652000516156E-3"/>
        <n v="3.1085323726642139E-3"/>
        <n v="4.0306793322589032E-3"/>
        <n v="1.0555099876982469E-2"/>
        <n v="6.7492615343106429E-3"/>
        <n v="4.0754028005931843E-3"/>
        <n v="3.4178545819208801E-3"/>
        <n v="3.1655368256568459E-3"/>
        <n v="9.9980213825745633E-3"/>
        <n v="5.0251561979514818E-3"/>
        <n v="1.3350780810745463E-2"/>
        <n v="9.1897338345974765E-3"/>
        <n v="7.3447670268018414E-3"/>
        <n v="7.9761340867134933E-3"/>
        <n v="1.7219767333064148E-3"/>
        <n v="2.9676196971574137E-3"/>
        <n v="4.1458863096558801E-4"/>
        <n v="7.8511517575736902E-3"/>
        <n v="3.6621680550093065E-3"/>
        <n v="2.7350789576868588E-3"/>
        <n v="5.1065455521563897E-3"/>
        <n v="5.3218510367966368E-3"/>
        <n v="6.1312388513957376E-3"/>
        <n v="-1.2370919754506035E-5"/>
        <n v="3.7055381149129537E-3"/>
        <n v="6.5252472798766085E-3"/>
        <n v="5.1820898703481286E-3"/>
        <n v="4.3419011186009585E-3"/>
        <n v="1.4889194378838901E-2"/>
        <n v="3.5338416426890615E-3"/>
        <n v="7.6284124829199759E-3"/>
        <n v="4.8748547992060092E-3"/>
        <n v="4.0946598214247698E-3"/>
        <n v="7.705660559951635E-3"/>
        <n v="6.6566947709178594E-3"/>
        <n v="1.038752190751571E-2"/>
        <n v="4.0738062961370482E-3"/>
        <n v="6.8535221853388588E-3"/>
        <m/>
        <n v="1.0000000000000009"/>
        <n v="2.2183497538295978E-3" u="1"/>
        <n v="1.1244477407240982E-2" u="1"/>
        <n v="5.0446816697948789E-3" u="1"/>
        <n v="4.4727866958858822E-3" u="1"/>
        <n v="7.3682688852538137E-3" u="1"/>
        <n v="7.4987699937518592E-4" u="1"/>
        <n v="9.3047362543503234E-4" u="1"/>
        <n v="3.902476750355217E-3" u="1"/>
        <n v="4.5354630861046269E-3" u="1"/>
        <n v="1.913354820040376E-3" u="1"/>
        <n v="2.4928210469252004E-3" u="1"/>
        <n v="8.6173295920707379E-3" u="1"/>
        <n v="3.2747436442391864E-3" u="1"/>
        <n v="3.6229608986896146E-3" u="1"/>
        <n v="8.4432278210187419E-3" u="1"/>
        <n v="2.3654915942500172E-3" u="1"/>
        <n v="5.2890258340099489E-3" u="1"/>
        <n v="8.5584181253855005E-3" u="1"/>
        <n v="3.0064150861141281E-3" u="1"/>
        <n v="5.7789053677007422E-3" u="1"/>
        <n v="2.4925663425667479E-3" u="1"/>
        <n v="3.4731129288244596E-3" u="1"/>
        <n v="6.85247938477857E-3" u="1"/>
        <n v="1.2554564621735594E-2" u="1"/>
        <n v="9.8667481217893857E-3" u="1"/>
        <n v="1.7417352101081296E-3" u="1"/>
        <n v="3.6727896835189017E-3" u="1"/>
        <n v="6.2117153750034515E-3" u="1"/>
        <n v="3.6851945598368246E-3" u="1"/>
        <n v="2.5996183056494009E-3" u="1"/>
        <n v="3.1576912485109143E-3" u="1"/>
        <n v="3.4893254647813668E-3" u="1"/>
        <n v="5.5127480726035686E-3" u="1"/>
        <n v="4.9637761088776045E-3" u="1"/>
        <n v="5.3031558763395109E-3" u="1"/>
        <n v="1.0763148872970703E-3" u="1"/>
        <n v="1.655568608189833E-3" u="1"/>
        <n v="1.3921359478371437E-2" u="1"/>
        <n v="5.6693805973280203E-3" u="1"/>
        <n v="6.1928570778885588E-3" u="1"/>
        <n v="6.665828142201422E-3" u="1"/>
        <n v="1.1433144350591852E-2" u="1"/>
        <n v="9.3402322550675335E-3" u="1"/>
        <n v="5.929226689462665E-3" u="1"/>
        <n v="4.1601819051156124E-3" u="1"/>
        <n v="1.288376062998022E-2" u="1"/>
        <n v="8.1538936604417991E-3" u="1"/>
        <n v="5.5729002165443775E-3" u="1"/>
        <n v="9.7386959194945763E-3" u="1"/>
        <n v="4.3292521223926225E-3" u="1"/>
        <n v="6.7649682229059442E-3" u="1"/>
        <n v="4.083499025195436E-3" u="1"/>
        <n v="3.1608047294564264E-3" u="1"/>
        <n v="3.7619982329346051E-3" u="1"/>
        <n v="2.5481152136042069E-3" u="1"/>
        <n v="4.6220135771187533E-3" u="1"/>
        <n v="7.9795134537568747E-3" u="1"/>
        <n v="6.9924647388627777E-3" u="1"/>
        <n v="2.8938331983416566E-3" u="1"/>
        <n v="1.2103962229373986E-2" u="1"/>
        <n v="1.8770613239720293E-3" u="1"/>
        <n v="9.4563287205317731E-3" u="1"/>
        <n v="3.9181093771722027E-3" u="1"/>
        <n v="2.3592965712298897E-3" u="1"/>
        <n v="3.8247676661644541E-3" u="1"/>
        <n v="2.9835894350058317E-3" u="1"/>
        <n v="1.8511193758635951E-3" u="1"/>
        <n v="2.4329779189894724E-3" u="1"/>
        <n v="3.5435070776150741E-3" u="1"/>
        <n v="1.197286042387543E-3" u="1"/>
        <n v="2.3709809479416852E-3" u="1"/>
        <n v="2.4942109043211563E-3" u="1"/>
        <n v="1.794888297902602E-3" u="1"/>
        <n v="1.0686194307458106E-3" u="1"/>
        <n v="5.3722097104842575E-3" u="1"/>
        <n v="6.5670613514725758E-3" u="1"/>
        <n v="3.2377303278140796E-3" u="1"/>
        <n v="1.8570052413683564E-3" u="1"/>
        <n v="4.960772510666879E-3" u="1"/>
        <n v="2.4836543221121448E-3" u="1"/>
        <n v="3.854058200402645E-3" u="1"/>
        <n v="6.4886760320922192E-3" u="1"/>
        <n v="8.7244118383539692E-3" u="1"/>
        <n v="5.1050690745812529E-3" u="1"/>
        <n v="7.7378448669164299E-3" u="1"/>
        <n v="4.7256849585966482E-3" u="1"/>
        <n v="2.756971245073808E-3" u="1"/>
        <n v="5.7916631423625044E-3" u="1"/>
        <n v="3.2379625320375269E-3" u="1"/>
        <n v="4.7343253783650001E-3" u="1"/>
        <n v="1.8278426748791214E-3" u="1"/>
        <n v="8.0215333190899573E-4" u="1"/>
        <n v="7.7649557748689854E-3" u="1"/>
        <n v="3.6103326625409318E-3" u="1"/>
        <n v="2.7214398950878905E-3" u="1"/>
        <n v="7.3510115081220351E-3" u="1"/>
        <n v="2.0059738238815818E-3" u="1"/>
        <n v="5.9115600928943768E-3" u="1"/>
        <n v="2.1361482983443024E-3" u="1"/>
        <n v="8.0256148435797134E-3" u="1"/>
        <n v="3.006287415536765E-3" u="1"/>
        <n v="1.9333177322736877E-5" u="1"/>
        <n v="9.16182934971751E-3" u="1"/>
        <n v="4.2528152156464383E-3" u="1"/>
        <n v="1.5914831293276799E-3" u="1"/>
        <n v="5.6347185591618786E-3" u="1"/>
        <n v="1.2450835419156051E-2" u="1"/>
        <n v="1.2886895719545929E-4" u="1"/>
        <n v="1.3686628348251093E-4" u="1"/>
        <n v="2.3362993955075117E-5" u="1"/>
        <n v="1.03040868260763E-4" u="1"/>
        <n v="6.5597871427318854E-4" u="1"/>
        <n v="2.6837368575432199E-5" u="1"/>
        <n v="1.9976207124408973E-4" u="1"/>
        <n v="-7.2156390496404369E-5" u="1"/>
        <n v="2.7843670132261362E-3" u="1"/>
        <n v="1.1053684229434224E-2" u="1"/>
        <n v="1.254688141997487E-2" u="1"/>
        <n v="2.3949777523034946E-3" u="1"/>
        <n v="5.7591209282363805E-3" u="1"/>
        <n v="1.6088235588445727E-3" u="1"/>
        <n v="8.571040602065658E-3" u="1"/>
        <n v="2.3061804883744305E-4" u="1"/>
        <n v="1.1980028485752808E-4" u="1"/>
        <n v="6.899741541000154E-4" u="1"/>
        <n v="1.94872197564487E-4" u="1"/>
        <n v="3.5750256488067278E-4" u="1"/>
        <n v="9.2788575613384085E-5" u="1"/>
        <n v="1.9066828083091799E-4" u="1"/>
        <n v="8.9086694910975057E-5" u="1"/>
        <n v="2.866794842711216E-4" u="1"/>
        <n v="3.7598831919421561E-3" u="1"/>
        <n v="3.3675825692112806E-3" u="1"/>
        <n v="1.1011186271609892E-2" u="1"/>
        <n v="4.9749452041957451E-3" u="1"/>
        <n v="3.9731702499985868E-3" u="1"/>
        <n v="6.7927416537016559E-3" u="1"/>
        <n v="5.9543386373079503E-3" u="1"/>
        <n v="8.3762209755713253E-3" u="1"/>
        <n v="4.3060850777264827E-3" u="1"/>
        <n v="8.7643824649762114E-3" u="1"/>
        <n v="1.0249323874848818E-2" u="1"/>
        <n v="9.6412233110593059E-3" u="1"/>
        <n v="4.0971608949045705E-3" u="1"/>
        <n v="2.6872702702536643E-3" u="1"/>
        <n v="6.5636716707566135E-3" u="1"/>
        <n v="1.4060914471382829E-2" u="1"/>
        <n v="1.0509516893593373E-2" u="1"/>
        <n v="8.615961555560419E-3" u="1"/>
        <n v="4.7057581031834531E-3" u="1"/>
        <n v="6.8866560992779813E-3" u="1"/>
        <n v="3.1603004858648497E-3" u="1"/>
        <n v="3.2951820876276484E-3" u="1"/>
        <n v="1.6102876383839882E-3" u="1"/>
        <n v="9.718420368592922E-3" u="1"/>
        <n v="4.9879263952923988E-3" u="1"/>
        <n v="2.3314054180297011E-3" u="1"/>
        <n v="1.6340638282145265E-3" u="1"/>
        <n v="4.3373574634787172E-3" u="1"/>
        <n v="5.6314909784751536E-3" u="1"/>
        <n v="6.6986180559270017E-3" u="1"/>
        <n v="6.9133210941776284E-3" u="1"/>
        <n v="2.8647423917169557E-3" u="1"/>
        <n v="2.3684636215165924E-3" u="1"/>
        <n v="2.6928234309319577E-3" u="1"/>
        <n v="3.1213293605227813E-3" u="1"/>
        <n v="3.7745770536924488E-3" u="1"/>
        <n v="4.9706308811393466E-3" u="1"/>
        <n v="1.1417635375460197E-2" u="1"/>
        <n v="5.9820497469750223E-3" u="1"/>
        <n v="2.5330788120627723E-3" u="1"/>
        <n v="3.4417110328611726E-3" u="1"/>
        <n v="2.5061896790258041E-3" u="1"/>
        <n v="9.0570067254829335E-3" u="1"/>
        <n v="3.7672006603763734E-3" u="1"/>
        <n v="1.7112042887104394E-2" u="1"/>
        <n v="1.0179339370025553E-2" u="1"/>
        <n v="7.4753850090987957E-3" u="1"/>
        <n v="7.8349042228721185E-3" u="1"/>
        <n v="2.1951951620683601E-3" u="1"/>
        <n v="2.0958166789900104E-3" u="1"/>
        <n v="5.699053110273238E-4" u="1"/>
        <n v="8.5594948912802241E-3" u="1"/>
        <n v="3.2333911272499228E-3" u="1"/>
        <n v="3.4069492865496011E-3" u="1"/>
        <n v="4.0519529868578395E-3" u="1"/>
        <n v="5.9763832365600051E-3" u="1"/>
        <n v="5.4839119561862935E-3" u="1"/>
        <n v="3.6248851838205222E-3" u="1"/>
        <n v="5.0935540573761977E-3" u="1"/>
        <n v="5.9529729781703936E-3" u="1"/>
        <n v="4.4910918010022931E-3" u="1"/>
        <n v="2.3425637260189716E-2" u="1"/>
        <n v="4.2341438819175044E-3" u="1"/>
        <n v="9.7774638502211957E-3" u="1"/>
        <n v="4.431618085660457E-3" u="1"/>
        <n v="3.4607855152354755E-3" u="1"/>
        <n v="6.2419899575989228E-3" u="1"/>
        <n v="8.0494057929327897E-3" u="1"/>
        <n v="9.0607182571866389E-3" u="1"/>
        <n v="3.367099509709075E-3" u="1"/>
        <n v="6.2039908946931429E-3" u="1"/>
        <n v="1.0000000000000002" u="1"/>
        <n v="2.2183447311321441E-3" u="1"/>
        <n v="1.1244451947951654E-2" u="1"/>
        <n v="5.0446702478314535E-3" u="1"/>
        <n v="4.4727765687838442E-3" u="1"/>
        <n v="7.3682522023185357E-3" u="1"/>
        <n v="7.4987530153412807E-4" u="1"/>
        <n v="9.3047151869442518E-4" u="1"/>
        <n v="3.9024679145257934E-3" u="1"/>
        <n v="4.5354528170932443E-3" u="1"/>
        <n v="1.9133504879000594E-3" u="1"/>
        <n v="2.4928154027809885E-3" u="1"/>
        <n v="8.6173100810629094E-3" u="1"/>
        <n v="3.2747362296975647E-3" u="1"/>
        <n v="3.6229526957286366E-3" u="1"/>
        <n v="8.443208704205089E-3" u="1"/>
        <n v="2.3654862383999777E-3" u="1"/>
        <n v="5.2890138588123957E-3" u="1"/>
        <n v="8.5583987477626331E-3" u="1"/>
        <n v="3.0064082791111417E-3" u="1"/>
        <n v="5.778892283337814E-3" u="1"/>
        <n v="2.4925606989992257E-3" u="1"/>
        <n v="3.4731050651431766E-3" u="1"/>
        <n v="6.8524638696729574E-3" u="1"/>
        <n v="1.2554536196200047E-2" u="1"/>
        <n v="9.8667257818988371E-3" u="1"/>
        <n v="1.7417312665419659E-3" u="1"/>
        <n v="3.6727813677376177E-3" u="1"/>
        <n v="6.211701310689691E-3" u="1"/>
        <n v="3.6851862159689233E-3" u="1"/>
        <n v="2.5996124196991698E-3" u="1"/>
        <n v="3.1576840989946064E-3" u="1"/>
        <n v="3.4893175643923172E-3" u="1"/>
        <n v="5.5127355908631895E-3" u="1"/>
        <n v="4.9637648700972693E-3" u="1"/>
        <n v="5.3031438691492766E-3" u="1"/>
        <n v="1.0763124503486001E-3" u="1"/>
        <n v="1.6555648597186255E-3" u="1"/>
        <n v="1.3921327958194396E-2" u="1"/>
        <n v="5.669367760946651E-3" u="1"/>
        <n v="6.1928430562729793E-3" u="1"/>
        <n v="6.665813049703974E-3" u="1"/>
        <n v="1.1433118464130568E-2" u="1"/>
        <n v="9.3402111072928614E-3" u="1"/>
        <n v="5.9292132647482997E-3" u="1"/>
        <n v="4.1601724858006438E-3" u="1"/>
        <n v="1.2883731459092326E-2" u="1"/>
        <n v="8.1538751987268055E-3" u="1"/>
        <n v="5.5728875986099735E-3" u="1"/>
        <n v="9.7386738695346385E-3" u="1"/>
        <n v="4.3292423202757301E-3" u="1"/>
        <n v="6.7649529059395164E-3" u="1"/>
        <n v="4.083489779502728E-3" u="1"/>
        <n v="3.1607975728906862E-3" u="1"/>
        <n v="3.761989715170938E-3" u="1"/>
        <n v="2.5481094442651895E-3" u="1"/>
        <n v="4.6220031121432604E-3" u="1"/>
        <n v="7.9794953868664673E-3" u="1"/>
        <n v="6.9924489068080064E-3" u="1"/>
        <n v="2.8938266462420177E-3" u="1"/>
        <n v="1.2103934824074071E-2" u="1"/>
        <n v="1.8770570740059866E-3" u="1"/>
        <n v="9.4563073098962239E-3" u="1"/>
        <n v="3.9181005059480255E-3" u="1"/>
        <n v="2.3592912294063753E-3" u="1"/>
        <n v="3.8247590062807858E-3" u="1"/>
        <n v="2.9835826796837678E-3" u="1"/>
        <n v="1.851115184634254E-3" u="1"/>
        <n v="2.4329724103396466E-3" u="1"/>
        <n v="3.5434990545502071E-3" u="1"/>
        <n v="1.1972833315410953E-3" u="1"/>
        <n v="2.3709755796628806E-3" u="1"/>
        <n v="2.4942052570300871E-3" u="1"/>
        <n v="1.7948842339893861E-3" u="1"/>
        <n v="1.0686170112210807E-3" u="1"/>
        <n v="5.372197546945099E-3" u="1"/>
        <n v="6.5670464825988723E-3" u="1"/>
        <n v="3.2377229970765166E-3" u="1"/>
        <n v="1.8570010368124733E-3" u="1"/>
        <n v="4.9607612786871664E-3" u="1"/>
        <n v="2.4836486987228567E-3" u="1"/>
        <n v="3.8540494742005339E-3" u="1"/>
        <n v="6.4886613406954109E-3" u="1"/>
        <n v="8.7243920848948473E-3" u="1"/>
        <n v="5.1050575158911237E-3" u="1"/>
        <n v="7.737827347202215E-3" u="1"/>
        <n v="4.725674258892627E-3" u="1"/>
        <n v="2.7569650028514284E-3" u="1"/>
        <n v="5.7916500291139384E-3" u="1"/>
        <n v="3.2379552007742161E-3" u="1"/>
        <n v="4.7343146590976895E-3" u="1"/>
        <n v="1.8278385363519345E-3" u="1"/>
        <n v="8.0215151570598776E-4" u="1"/>
        <n v="7.7649381937713773E-3" u="1"/>
        <n v="3.6103244881722967E-3" u="1"/>
        <n v="2.7214337333141625E-3" u="1"/>
        <n v="7.3509948642602246E-3" u="1"/>
        <n v="2.0059692820370853E-3" u="1"/>
        <n v="5.9115467081800131E-3" u="1"/>
        <n v="2.1361434617640385E-3" u="1"/>
        <n v="8.0255966723084132E-3" u="1"/>
        <n v="3.0062806088228503E-3" u="1"/>
        <n v="1.9333133549341686E-5" u="1"/>
        <n v="9.1618086058754718E-3" u="1"/>
        <n v="4.2528055865948865E-3" u="1"/>
        <n v="1.5914795259561914E-3" u="1"/>
        <n v="5.6347058012608912E-3" u="1"/>
        <n v="1.2450807228480023E-2" u="1"/>
        <n v="1.288686654155983E-4" u="1"/>
        <n v="1.3686597359542841E-4" u="1"/>
        <n v="2.3362941057532716E-5" u="1"/>
        <n v="1.0304063495981241E-4" u="1"/>
        <n v="6.5597722903281601E-4" u="1"/>
        <n v="2.68373078113518E-5" u="1"/>
        <n v="1.9976161895091815E-4" u="1"/>
        <n v="-7.2156227122834461E-5" u="1"/>
        <n v="2.784360708975388E-3" u="1"/>
        <n v="1.1053659202131144E-2" u="1"/>
        <n v="1.2546853011835236E-2" u="1"/>
        <n v="2.3949723296921022E-3" u="1"/>
        <n v="5.75910788866856E-3" u="1"/>
        <n v="1.6088199162115826E-3" u="1"/>
        <n v="8.5710211958634642E-3" u="1"/>
        <n v="2.306175266814195E-4" u="1"/>
        <n v="1.198000136105869E-4" u="1"/>
        <n v="6.8997259188854725E-4" u="1"/>
        <n v="1.9487175634276874E-4" u="1"/>
        <n v="3.5750175543787938E-4" u="1"/>
        <n v="9.2788365525258316E-5" u="1"/>
        <n v="1.9066784912753743E-4" u="1"/>
        <n v="8.9086493204497283E-5" u="1"/>
        <n v="2.8667883518307212E-4" u="1"/>
        <n v="5.5390075097697979E-3" u="1"/>
        <n v="3.3698391038698445E-3" u="1"/>
        <n v="1.101116134052894E-2" u="1"/>
        <n v="4.9749339401267863E-3" u="1"/>
        <n v="3.9731612541078088E-3" u="1"/>
        <n v="6.792726273851777E-3" u="1"/>
        <n v="5.9543251557361287E-3" u="1"/>
        <n v="8.3762020104718327E-3" u="1"/>
        <n v="4.3060753280634734E-3" u="1"/>
        <n v="8.7643626210172319E-3" u="1"/>
        <n v="1.0249300668745721E-2" u="1"/>
        <n v="9.6412014817928819E-3" u="1"/>
        <n v="4.0971516182792067E-3" u="1"/>
        <n v="2.6872641858454059E-3" u="1"/>
        <n v="6.5636568095577144E-3" u="1"/>
        <n v="1.4060882635231082E-2" u="1"/>
        <n v="1.0509493098371984E-2" u="1"/>
        <n v="8.6159420476500017E-3" u="1"/>
        <n v="4.7057474485970056E-3" u="1"/>
        <n v="5.1075076759882982E-3" u="1"/>
        <n v="3.160293330440796E-3" u="1"/>
        <n v="3.2951746268101473E-3" u="1"/>
        <n v="1.6102839924360874E-3" u="1"/>
        <n v="9.7183983645401043E-3" u="1"/>
        <n v="4.9879151018319759E-3" u="1"/>
        <n v="2.3314001393562045E-3" u="1"/>
        <n v="1.634060128433546E-3" u="1"/>
        <n v="4.3373476430100385E-3" u="1"/>
        <n v="5.6314782278818996E-3" u="1"/>
        <n v="6.6986028891879183E-3" u="1"/>
        <n v="6.9133054413166905E-3" u="1"/>
        <n v="2.8647359054835347E-3" u="1"/>
        <n v="2.368458258937407E-3" u="1"/>
        <n v="2.6928173339504633E-3" u="1"/>
        <n v="3.1213222933355574E-3" u="1"/>
        <n v="3.7745685074483284E-3" u="1"/>
        <n v="4.9706196268387111E-3" u="1"/>
        <n v="1.1417609524113709E-2" u="1"/>
        <n v="5.9820362026608382E-3" u="1"/>
        <n v="2.5330730767685644E-3" u="1"/>
        <n v="3.4417032402787842E-3" u="1"/>
        <n v="2.5061840046128594E-3" u="1"/>
        <n v="9.0569862189759567E-3" u="1"/>
        <n v="3.7671921308335696E-3" u="1"/>
        <n v="1.711200414271153E-2" u="1"/>
        <n v="1.0179316322378597E-2" u="1"/>
        <n v="7.4753680836355564E-3" u="1"/>
        <n v="7.8348864834000848E-3" u="1"/>
        <n v="2.1951901917965926E-3" u="1"/>
        <n v="2.0958119337269594E-3" u="1"/>
        <n v="5.6990402067085683E-4" u="1"/>
        <n v="8.5594755112193572E-3" u="1"/>
        <n v="3.2333838063370039E-3" u="1"/>
        <n v="3.4069415726733381E-3" u="1"/>
        <n v="4.0519438125903879E-3" u="1"/>
        <n v="5.9763697050756936E-3" u="1"/>
        <n v="5.4838995397354894E-3" u="1"/>
        <n v="3.6248769765026487E-3" u="1"/>
        <n v="5.0935425247578981E-3" u="1"/>
        <n v="5.9529594996906845E-3" u="1"/>
        <n v="4.4910816324545706E-3" u="1"/>
        <n v="2.3425584220812864E-2" u="1"/>
        <n v="4.2341342951408281E-3" u="1"/>
        <n v="9.7774417124844824E-3" u="1"/>
        <n v="4.4316080517707024E-3" u="1"/>
        <n v="3.4607776794654105E-3" u="1"/>
        <n v="6.2419758247386761E-3" u="1"/>
        <n v="8.0493875677949706E-3" u="1"/>
        <n v="9.0606977422761897E-3" u="1"/>
        <n v="3.3670918860590725E-3" u="1"/>
        <n v="6.2039768478688384E-3" u="1"/>
        <n v="1.0000000000000004" u="1"/>
        <n v="2.9781891045188962E-3" u="1"/>
        <n v="1.1012162798772459E-2" u="1"/>
        <n v="5.6219835484900161E-3" u="1"/>
        <n v="4.4713288522452597E-3" u="1"/>
        <n v="6.2314908462833786E-3" u="1"/>
        <n v="1.0252544579342055E-3" u="1"/>
        <n v="1.3261203754587965E-3" u="1"/>
        <n v="3.9594838759963976E-3" u="1"/>
        <n v="3.7922850441651484E-3" u="1"/>
        <n v="1.945013908168136E-3" u="1"/>
        <n v="2.3439458784662659E-3" u="1"/>
        <n v="9.0066973652928022E-3" u="1"/>
        <n v="3.913947390102545E-3" u="1"/>
        <n v="3.1706686249190976E-3" u="1"/>
        <n v="7.8909386269506235E-3" u="1"/>
        <n v="2.7442847141421756E-3" u="1"/>
        <n v="6.0415904617666478E-3" u="1"/>
        <n v="6.6038781452001294E-3" u="1"/>
        <n v="3.333834320665779E-3" u="1"/>
        <n v="6.040657056186804E-3" u="1"/>
        <n v="3.3557554389251616E-3" u="1"/>
        <n v="4.3677192609386292E-3" u="1"/>
        <n v="5.5869087644932628E-3" u="1"/>
        <n v="1.0407008069925401E-2" u="1"/>
        <n v="9.6634095199527384E-3" u="1"/>
        <n v="2.3250483101385625E-3" u="1"/>
        <n v="4.2817821314051884E-3" u="1"/>
        <n v="6.9665922475165764E-3" u="1"/>
        <n v="2.6357673999874262E-3" u="1"/>
        <n v="4.7196020670964688E-3" u="1"/>
        <n v="4.5827822271549698E-3" u="1"/>
        <n v="5.6605449720859629E-3" u="1"/>
        <n v="4.7710778926528512E-3" u="1"/>
        <n v="4.670414732231459E-3" u="1"/>
        <n v="1.0376680905225682E-3" u="1"/>
        <n v="4.2435315067162107E-3" u="1"/>
        <n v="1.2989386589923093E-2" u="1"/>
        <n v="5.4655715291812238E-3" u="1"/>
        <n v="6.9017282786599035E-3" u="1"/>
        <n v="7.1427024936796197E-3" u="1"/>
        <n v="1.0175699309101021E-2" u="1"/>
        <n v="1.0260520077677773E-2" u="1"/>
        <n v="5.1095700685560748E-3" u="1"/>
        <n v="4.603756167738283E-3" u="1"/>
        <n v="1.3968031464627466E-2" u="1"/>
        <n v="7.9172160915114646E-3" u="1"/>
        <n v="5.4675248441206593E-3" u="1"/>
        <n v="9.5702953217359169E-3" u="1"/>
        <n v="4.8438500947689039E-3" u="1"/>
        <n v="6.6297104683958798E-3" u="1"/>
        <n v="5.0721916140617877E-3" u="1"/>
        <n v="3.4126024523864844E-3" u="1"/>
        <n v="4.0751754434145242E-3" u="1"/>
        <n v="2.037350651611705E-3" u="1"/>
        <n v="4.5918485834344509E-3" u="1"/>
        <n v="7.9979256664839352E-3" u="1"/>
        <n v="7.3880469209441748E-3" u="1"/>
        <n v="6.9953422373899112E-4" u="1"/>
        <n v="9.4547803984614005E-3" u="1"/>
        <n v="2.2651011203976531E-3" u="1"/>
        <n v="1.0307346284015261E-2" u="1"/>
        <n v="4.7490155576182689E-3" u="1"/>
        <n v="2.5493454785905116E-3" u="1"/>
        <n v="2.1242587021965964E-3" u="1"/>
        <n v="2.8955684459071006E-3" u="1"/>
        <n v="2.0500657922210459E-3" u="1"/>
        <n v="3.1040556233063606E-3" u="1"/>
        <n v="2.9465845602998889E-3" u="1"/>
        <n v="1.5528122463218854E-3" u="1"/>
        <n v="2.6854703086413353E-3" u="1"/>
        <n v="3.1690161141456458E-3" u="1"/>
        <n v="2.0406938220997395E-3" u="1"/>
        <n v="1.1942810838962183E-3" u="1"/>
        <n v="4.6025247968742942E-3" u="1"/>
        <n v="6.3283677829548109E-3" u="1"/>
        <n v="3.3356419610816655E-3" u="1"/>
        <n v="2.9534739399821488E-3" u="1"/>
        <n v="6.1613601885276165E-3" u="1"/>
        <n v="3.0185813488221793E-3" u="1"/>
        <n v="4.392417556417145E-3" u="1"/>
        <n v="6.2528360703802003E-3" u="1"/>
        <n v="9.2358525644296845E-3" u="1"/>
        <n v="5.3721925407126661E-3" u="1"/>
        <n v="7.0914268210239238E-3" u="1"/>
        <n v="4.4228362222671676E-3" u="1"/>
        <n v="2.5985520052352563E-3" u="1"/>
        <n v="5.4638656661986284E-3" u="1"/>
        <n v="3.3931119566052203E-3" u="1"/>
        <n v="4.6917771538521769E-3" u="1"/>
        <n v="2.2282863129888778E-3" u="1"/>
        <n v="1.0123652774447322E-3" u="1"/>
        <n v="6.5750710492242974E-3" u="1"/>
        <n v="3.9274217791024539E-3" u="1"/>
        <n v="1.946982543684806E-3" u="1"/>
        <n v="6.8467293303533551E-3" u="1"/>
        <n v="2.1480517697571961E-3" u="1"/>
        <n v="5.7456339798039645E-3" u="1"/>
        <n v="2.4779913096849597E-3" u="1"/>
        <n v="1.0005394365146405E-2" u="1"/>
        <n v="2.7383918054479303E-3" u="1"/>
        <n v="5.2573346660825066E-5" u="1"/>
        <n v="7.373932375820097E-3" u="1"/>
        <n v="4.7835187644298055E-3" u="1"/>
        <n v="2.5511671257209424E-3" u="1"/>
        <n v="5.5748919888168056E-3" u="1"/>
        <n v="1.2409735296291319E-2" u="1"/>
        <n v="8.9477637502164336E-5" u="1"/>
        <n v="2.0102145777959178E-4" u="1"/>
        <n v="2.4203058406835036E-4" u="1"/>
        <n v="2.1728391028934713E-4" u="1"/>
        <n v="1.4963175826744682E-3" u="1"/>
        <n v="1.4060533637458468E-4" u="1"/>
        <n v="1.3668652980416724E-4" u="1"/>
        <n v="3.6973173611099803E-3" u="1"/>
        <n v="1.1757394550429756E-2" u="1"/>
        <n v="9.8744898634118353E-3" u="1"/>
        <n v="2.9569328242325032E-3" u="1"/>
        <n v="6.186926102605129E-3" u="1"/>
        <n v="1.2438267982663679E-3" u="1"/>
        <n v="8.4576269760888046E-3" u="1"/>
        <n v="2.4015056389643951E-4" u="1"/>
        <n v="1.7117572990115015E-4" u="1"/>
        <n v="7.6710388160848423E-4" u="1"/>
        <n v="2.1718546443641451E-4" u="1"/>
        <n v="4.3804516929191938E-4" u="1"/>
        <n v="8.2347797489407495E-5" u="1"/>
        <n v="2.8036799407905996E-4" u="1"/>
        <n v="1.436838104582324E-4" u="1"/>
        <n v="1.3136388443245827E-4" u="1"/>
        <n v="6.3829233260720257E-3" u="1"/>
        <n v="3.2770892254086969E-3" u="1"/>
        <n v="1.0234972628063145E-2" u="1"/>
        <n v="3.7531796345000308E-3" u="1"/>
        <n v="4.1155255502649812E-3" u="1"/>
        <n v="6.2515898247138156E-3" u="1"/>
        <n v="6.2220422967378258E-3" u="1"/>
        <n v="1.1233757586330138E-2" u="1"/>
        <n v="5.5656833365177764E-3" u="1"/>
        <n v="8.7277108039640321E-3" u="1"/>
        <n v="1.079115528436661E-2" u="1"/>
        <n v="9.1273051252808504E-3" u="1"/>
        <n v="4.4532689886789944E-3" u="1"/>
        <n v="2.955662694419756E-3" u="1"/>
        <n v="7.6461307014302222E-3" u="1"/>
        <n v="1.2400693152623753E-2" u="1"/>
        <n v="8.1636721873660622E-3" u="1"/>
        <n v="8.8043781396606423E-3" u="1"/>
        <n v="5.0864407831859495E-3" u="1"/>
        <n v="5.1154329461035849E-3" u="1"/>
        <n v="3.0462215939758316E-3" u="1"/>
        <n v="3.4441749946647923E-3" u="1"/>
        <n v="3.1142677851434264E-3" u="1"/>
        <n v="8.4277588186976414E-3" u="1"/>
        <n v="6.0447425121598151E-3" u="1"/>
        <n v="3.4615749941667908E-3" u="1"/>
        <n v="1.1648827262569889E-3" u="1"/>
        <n v="4.9567445658713046E-3" u="1"/>
        <n v="5.7786392424004464E-3" u="1"/>
        <n v="3.9309304728251089E-3" u="1"/>
        <n v="8.4046352814767019E-3" u="1"/>
        <n v="4.113599357204953E-3" u="1"/>
        <n v="2.3635744002134481E-3" u="1"/>
        <n v="3.4505894364536007E-3" u="1"/>
        <n v="3.3032993310457993E-3" u="1"/>
        <n v="4.5384810067894818E-3" u="1"/>
        <n v="4.676789711216529E-3" u="1"/>
        <n v="1.2749214746143829E-2" u="1"/>
        <n v="6.8320000851942366E-3" u="1"/>
        <n v="2.5443006213262229E-3" u="1"/>
        <n v="5.0603220144662267E-3" u="1"/>
        <n v="2.7136080150484774E-3" u="1"/>
        <n v="9.449361465725498E-3" u="1"/>
        <n v="4.4684751425255595E-3" u="1"/>
        <n v="1.5666369275329241E-2" u="1"/>
        <n v="8.5597126274690061E-3" u="1"/>
        <n v="7.2483839994934946E-3" u="1"/>
        <n v="6.925504969860787E-3" u="1"/>
        <n v="1.1975321666881692E-3" u="1"/>
        <n v="3.346248375567139E-3" u="1"/>
        <n v="5.3122330100474418E-4" u="1"/>
        <n v="8.4761038502818593E-3" u="1"/>
        <n v="3.1129265894373056E-3" u="1"/>
        <n v="3.7947603379740054E-3" u="1"/>
        <n v="3.4945944980961261E-3" u="1"/>
        <n v="6.1039082820775964E-3" u="1"/>
        <n v="5.4188396863376637E-3" u="1"/>
        <n v="4.0139940908514382E-3" u="1"/>
        <n v="5.6901742176277198E-3" u="1"/>
        <n v="5.8301252034688045E-3" u="1"/>
        <n v="4.126761164198506E-3" u="1"/>
        <n v="1.3429086803866445E-2" u="1"/>
        <n v="4.4227986129482212E-3" u="1"/>
        <n v="9.4525408022309021E-3" u="1"/>
        <n v="4.2517217277511458E-3" u="1"/>
        <n v="3.3422045174247004E-3" u="1"/>
        <n v="7.8275224643709861E-3" u="1"/>
        <n v="8.3453668660377553E-3" u="1"/>
        <n v="6.9769533216102386E-3" u="1"/>
        <n v="3.7531337431538944E-3" u="1"/>
        <n v="7.2943852408450553E-3" u="1"/>
        <n v="1" u="1"/>
        <n v="3.1260195082672537E-3" u="1"/>
        <n v="1.1389315353340897E-2" u="1"/>
        <n v="5.8455055588952747E-3" u="1"/>
        <n v="4.6236351221743402E-3" u="1"/>
        <n v="6.4207992487064222E-3" u="1"/>
        <n v="1.0561518142294236E-3" u="1"/>
        <n v="1.3728404413844741E-3" u="1"/>
        <n v="4.0612191807278108E-3" u="1"/>
        <n v="3.8999290542608882E-3" u="1"/>
        <n v="1.9966131931584761E-3" u="1"/>
        <n v="2.4195275080363941E-3" u="1"/>
        <n v="9.3289568329502255E-3" u="1"/>
        <n v="4.0513546477762381E-3" u="1"/>
        <n v="3.2712613327308877E-3" u="1"/>
        <n v="8.0926123876600455E-3" u="1"/>
        <n v="2.8257255537749962E-3" u="1"/>
        <n v="6.2337805914450114E-3" u="1"/>
        <n v="6.8048287595650261E-3" u="1"/>
        <n v="3.428116486423593E-3" u="1"/>
        <n v="6.1977531668249916E-3" u="1"/>
        <n v="3.4580736205556341E-3" u="1"/>
        <n v="4.506053032708391E-3" u="1"/>
        <n v="5.779816837379795E-3" u="1"/>
        <n v="1.0733987458754084E-2" u="1"/>
        <n v="1.0029362831034325E-2" u="1"/>
        <n v="2.3977070184127524E-3" u="1"/>
        <n v="4.4193653344615797E-3" u="1"/>
        <n v="7.1993037407273152E-3" u="1"/>
        <n v="2.716173254761884E-3" u="1"/>
        <n v="4.8616603005899265E-3" u="1"/>
        <n v="4.6969891630612047E-3" u="1"/>
        <n v="5.8396731350407911E-3" u="1"/>
        <n v="4.9440336216629134E-3" u="1"/>
        <n v="4.8076575316291338E-3" u="1"/>
        <n v="1.0631549290480951E-3" u="1"/>
        <n v="4.3816203644966474E-3" u="1"/>
        <n v="1.3406577064584757E-2" u="1"/>
        <n v="5.6478297425858375E-3" u="1"/>
        <n v="7.1233420570112173E-3" u="1"/>
        <n v="7.3657842309111854E-3" u="1"/>
        <n v="1.0542318396757622E-2" u="1"/>
        <n v="1.0646009680637487E-2" u="1"/>
        <n v="5.2666850449633422E-3" u="1"/>
        <n v="4.7498940860212441E-3" u="1"/>
        <n v="1.4507655135778487E-2" u="1"/>
        <n v="8.1360381073314458E-3" u="1"/>
        <n v="5.6059043631959422E-3" u="1"/>
        <n v="9.901863729706372E-3" u="1"/>
        <n v="5.0028389374088406E-3" u="1"/>
        <n v="6.8409129480933419E-3" u="1"/>
        <n v="5.2402593893463023E-3" u="1"/>
        <n v="3.5140382536180291E-3" u="1"/>
        <n v="4.2123459818356425E-3" u="1"/>
        <n v="2.1075179507744333E-3" u="1"/>
        <n v="4.7535866706048232E-3" u="1"/>
        <n v="8.2893206317539332E-3" u="1"/>
        <n v="7.6312616913251155E-3" u="1"/>
        <n v="7.3425748109501277E-4" u="1"/>
        <n v="9.8040966277383717E-3" u="1"/>
        <n v="2.3440491425260092E-3" u="1"/>
        <n v="1.0729089065925091E-2" u="1"/>
        <n v="4.9145261167879732E-3" u="1"/>
        <n v="2.6416223696480927E-3" u="1"/>
        <n v="2.1929021723765744E-3" u="1"/>
        <n v="2.9837198766086309E-3" u="1"/>
        <n v="2.1112912361508441E-3" u="1"/>
        <n v="3.2239791149949511E-3" u="1"/>
        <n v="3.0323917388482913E-3" u="1"/>
        <n v="1.6091776015380267E-3" u="1"/>
        <n v="2.801955143865597E-3" u="1"/>
        <n v="3.2804516680610516E-3" u="1"/>
        <n v="2.1146039335112874E-3" u="1"/>
        <n v="1.2383570644525213E-3" u="1"/>
        <n v="4.7432087752097441E-3" u="1"/>
        <n v="6.5438793598096194E-3" u="1"/>
        <n v="3.4534195464833366E-3" u="1"/>
        <n v="3.0517157493225406E-3" u="1"/>
        <n v="6.3345730496532724E-3" u="1"/>
        <n v="3.1276655384756412E-3" u="1"/>
        <n v="4.525275828578269E-3" u="1"/>
        <n v="6.4556039221010273E-3" u="1"/>
        <n v="9.5652120609897185E-3" u="1"/>
        <n v="5.5576303408428219E-3" u="1"/>
        <n v="7.3125748022131593E-3" u="1"/>
        <n v="4.5544167691256828E-3" u="1"/>
        <n v="2.6941621812396439E-3" u="1"/>
        <n v="5.6346204979220707E-3" u="1"/>
        <n v="3.4827531395490072E-3" u="1"/>
        <n v="4.8559567714408615E-3" u="1"/>
        <n v="2.2970848519293704E-3" u="1"/>
        <n v="1.0463773154855375E-3" u="1"/>
        <n v="-2.6166490032332301E-2" u="1"/>
        <n v="4.0712124606262631E-3" u="1"/>
        <n v="2.0057075100598171E-3" u="1"/>
        <n v="7.0576800059133854E-3" u="1"/>
        <n v="2.2303298308628252E-3" u="1"/>
        <n v="5.9192046159882994E-3" u="1"/>
        <n v="2.5647918903047989E-3" u="1"/>
        <n v="1.0342088697103461E-2" u="1"/>
        <n v="2.8268202229669889E-3" u="1"/>
        <n v="5.4299295737252663E-5" u="1"/>
        <n v="7.6246158320455405E-3" u="1"/>
        <n v="4.9252328488283677E-3" u="1"/>
        <n v="2.6459771341579624E-3" u="1"/>
        <n v="5.750602510087602E-3" u="1"/>
        <n v="1.2830626218637902E-2" u="1"/>
        <n v="8.6865377899020903E-5" u="1"/>
        <n v="2.0437740518748567E-4" u="1"/>
        <n v="2.4889400158151996E-4" u="1"/>
        <n v="2.2303578803602419E-4" u="1"/>
        <n v="1.5390786814312993E-3" u="1"/>
        <n v="1.4656335227740684E-4" u="1"/>
        <n v="1.3695628859316836E-4" u="1"/>
        <n v="3.8265431467808175E-3" u="1"/>
        <n v="1.2174636020992674E-2" u="1"/>
        <n v="1.0190696915668842E-2" u="1"/>
        <n v="3.047141021589725E-3" u="1"/>
        <n v="6.3931134343252751E-3" u="1"/>
        <n v="1.2753914143143253E-3" u="1"/>
        <n v="8.7231978673655078E-3" u="1"/>
        <n v="2.4693824483317287E-4" u="1"/>
        <n v="1.7551769840697375E-4" u="1"/>
        <n v="7.8699846594767E-4" u="1"/>
        <n v="2.2110197343183747E-4" u="1"/>
        <n v="4.4376858673934692E-4" u="1"/>
        <n v="8.2090043312865157E-5" u="1"/>
        <n v="2.9141859113045746E-4" u="1"/>
        <n v="1.4346291006906169E-4" u="1"/>
        <n v="1.3038337278273014E-4" u="1"/>
        <n v="6.5817357397186336E-3" u="1"/>
        <n v="3.3939244445893423E-3" u="1"/>
        <n v="1.0561389001324559E-2" u="1"/>
        <n v="3.8662881764316304E-3" u="1"/>
        <n v="4.2443895405240208E-3" u="1"/>
        <n v="6.4417542180173109E-3" u="1"/>
        <n v="6.4177976569657069E-3" u="1"/>
        <n v="1.1617788508130823E-2" u="1"/>
        <n v="5.74521301710278E-3" u="1"/>
        <n v="8.9990294586749474E-3" u="1"/>
        <n v="1.1146523114817774E-2" u="1"/>
        <n v="9.4242148470395359E-3" u="1"/>
        <n v="4.6297203855283717E-3" u="1"/>
        <n v="3.0625385457012308E-3" u="1"/>
        <n v="7.9105471632862183E-3" u="1"/>
        <n v="1.2823943665985951E-2" u="1"/>
        <n v="8.4204680393543743E-3" u="1"/>
        <n v="9.1080231318764679E-3" u="1"/>
        <n v="5.2652203637443985E-3" u="1"/>
        <n v="5.2908125872797064E-3" u="1"/>
        <n v="3.1528400485999006E-3" u="1"/>
        <n v="3.5470436219386383E-3" u="1"/>
        <n v="3.2413523678850114E-3" u="1"/>
        <n v="8.6809574421279814E-3" u="1"/>
        <n v="6.2396686217658396E-3" u="1"/>
        <n v="3.593559194455879E-3" u="1"/>
        <n v="1.192303853053808E-3" u="1"/>
        <n v="5.0971127810725304E-3" u="1"/>
        <n v="5.9701945635588323E-3" u="1"/>
        <n v="4.0589993302039594E-3" u="1"/>
        <n v="8.6787344147953756E-3" u="1"/>
        <n v="4.2455707962242833E-3" u="1"/>
        <n v="2.4301594742522428E-3" u="1"/>
        <n v="3.5660035061013803E-3" u="1"/>
        <n v="3.4113702469257511E-3" u="1"/>
        <n v="4.6999175158156901E-3" u="1"/>
        <n v="4.8451259714742305E-3" u="1"/>
        <n v="1.3223975599819141E-2" u="1"/>
        <n v="7.0510211192552855E-3" u="1"/>
        <n v="2.6113758996555107E-3" u="1"/>
        <n v="5.2010622237596144E-3" u="1"/>
        <n v="2.8022556847492482E-3" u="1"/>
        <n v="9.746991249443903E-3" u="1"/>
        <n v="4.6181201821835103E-3" u="1"/>
        <n v="1.615578703710557E-2" u="1"/>
        <n v="8.8626564961970886E-3" u="1"/>
        <n v="7.4745537543976035E-3" u="1"/>
        <n v="7.1628543423248201E-3" u="1"/>
        <n v="1.2332241049309032E-3" u="1"/>
        <n v="3.4606610943432692E-3" u="1"/>
        <n v="5.5284653156523254E-4" u="1"/>
        <n v="8.7509636191203301E-3" u="1"/>
        <n v="3.1908801908879622E-3" u="1"/>
        <n v="3.9245962600420467E-3" u="1"/>
        <n v="3.5965818910423252E-3" u="1"/>
        <n v="6.3380547335381123E-3" u="1"/>
        <n v="5.5912092585882348E-3" u="1"/>
        <n v="4.1451159909212673E-3" u="1"/>
        <n v="5.8795041847921137E-3" u="1"/>
        <n v="6.0183808419617376E-3" u="1"/>
        <n v="4.2507291702159082E-3" u="1"/>
        <n v="1.3849119230761441E-2" u="1"/>
        <n v="4.5581318130083317E-3" u="1"/>
        <n v="9.7675041005571353E-3" u="1"/>
        <n v="4.3795042897253099E-3" u="1"/>
        <n v="3.4503497395469724E-3" u="1"/>
        <n v="8.1020240899193508E-3" u="1"/>
        <n v="8.6352908655927037E-3" u="1"/>
        <n v="7.2054457679896411E-3" u="1"/>
        <n v="3.8786888617023392E-3" u="1"/>
        <n v="7.5422719149233087E-3" u="1"/>
        <n v="0.99999999999999922" u="1"/>
        <n v="1.0163635992451785E-2" u="1"/>
        <n v="3.331064058316189E-3" u="1"/>
        <n v="4.1765682326875761E-3" u="1"/>
        <n v="7.1973101676470657E-3" u="1"/>
        <n v="1.1991093937698436E-3" u="1"/>
        <n v="1.1458278679523451E-3" u="1"/>
        <n v="5.6858359756281731E-3" u="1"/>
        <n v="4.8337333224381437E-3" u="1"/>
        <n v="2.6957247303854731E-3" u="1"/>
        <n v="2.4449262477266448E-3" u="1"/>
        <n v="7.4855566513413819E-3" u="1"/>
        <n v="3.4108983280655703E-3" u="1"/>
        <n v="3.4060654887689574E-3" u="1"/>
        <n v="1.1395949380336551E-2" u="1"/>
        <n v="3.2853059967136423E-3" u="1"/>
        <n v="6.4592413732899511E-3" u="1"/>
        <n v="7.6078039185291961E-3" u="1"/>
        <n v="4.2704110699387492E-3" u="1"/>
        <n v="8.561198175690541E-3" u="1"/>
        <n v="3.8535487358572298E-3" u="1"/>
        <n v="4.7061411679140859E-3" u="1"/>
        <n v="5.0626577600514219E-3" u="1"/>
        <n v="1.1371070083266595E-2" u="1"/>
        <n v="6.8200242415205501E-3" u="1"/>
        <n v="2.5639747583579829E-3" u="1"/>
        <n v="4.4953772835842985E-3" u="1"/>
        <n v="6.7827496198596829E-3" u="1"/>
        <n v="3.0243710668641762E-3" u="1"/>
        <n v="5.5302845173412262E-3" u="1"/>
        <n v="6.7933690994155579E-3" u="1"/>
        <n v="6.1083018224710895E-3" u="1"/>
        <n v="3.8305683217166723E-3" u="1"/>
        <n v="5.6726931329383595E-3" u="1"/>
        <n v="1.560648127465869E-3" u="1"/>
        <n v="4.3512479098532075E-3" u="1"/>
        <n v="1.3648625459225922E-2" u="1"/>
        <n v="5.3401653568283915E-3" u="1"/>
        <n v="7.2552280551943507E-3" u="1"/>
        <n v="7.8844670019527358E-3" u="1"/>
        <n v="8.3051893355119439E-3" u="1"/>
        <n v="7.4258906766110555E-3" u="1"/>
        <n v="5.7882652799054321E-3" u="1"/>
        <n v="4.9408483293851817E-3" u="1"/>
        <n v="9.2191564367735592E-3" u="1"/>
        <n v="1.0445764228179289E-2" u="1"/>
        <n v="7.977496428366572E-3" u="1"/>
        <n v="8.6050674455291354E-3" u="1"/>
        <n v="4.884854309692821E-3" u="1"/>
        <n v="7.069762580055359E-3" u="1"/>
        <n v="5.0201424502003935E-3" u="1"/>
        <n v="4.0757935936978342E-3" u="1"/>
        <n v="3.9050854905687648E-3" u="1"/>
        <n v="1.8569953300683762E-3" u="1"/>
        <n v="3.9697495938859116E-3" u="1"/>
        <n v="6.3334059105971474E-3" u="1"/>
        <n v="7.4075251554599686E-3" u="1"/>
        <n v="7.196715875178508E-3" u="1"/>
        <n v="2.0082902032113681E-3" u="1"/>
        <n v="5.3910814333890198E-3" u="1"/>
        <n v="4.2114023931413194E-3" u="1"/>
        <n v="2.0550853679196309E-3" u="1"/>
        <n v="2.2071133513783918E-3" u="1"/>
        <n v="3.3332886600577474E-3" u="1"/>
        <n v="2.4310680185812548E-3" u="1"/>
        <n v="2.0483806888739074E-3" u="1"/>
        <n v="3.6257310961420024E-3" u="1"/>
        <n v="1.2421877220521063E-3" u="1"/>
        <n v="1.0085155196713602E-3" u="1"/>
        <n v="2.750828269035293E-3" u="1"/>
        <n v="1.6424491739640932E-3" u="1"/>
        <n v="9.1207119136675716E-4" u="1"/>
        <n v="5.2641889997151557E-3" u="1"/>
        <n v="5.9142217794114433E-3" u="1"/>
        <n v="2.8665500968607679E-3" u="1"/>
        <n v="2.9003543295135414E-3" u="1"/>
        <n v="7.9539115734181074E-3" u="1"/>
        <n v="2.4440720434238386E-3" u="1"/>
        <n v="5.1080641173757999E-3" u="1"/>
        <n v="6.453679625947643E-3" u="1"/>
        <n v="7.7418448138398569E-3" u="1"/>
        <n v="4.871435689455075E-3" u="1"/>
        <n v="7.8477763528998802E-3" u="1"/>
        <n v="5.2753034037746321E-3" u="1"/>
        <n v="2.0015995031457201E-3" u="1"/>
        <n v="6.024933900967284E-3" u="1"/>
        <n v="4.7251271099340549E-3" u="1"/>
        <n v="4.1208329241809111E-3" u="1"/>
        <n v="2.5074961054355575E-3" u="1"/>
        <n v="9.7389458869100436E-4" u="1"/>
        <n v="6.3465025283160354E-3" u="1"/>
        <n v="3.0681505739268903E-3" u="1"/>
        <n v="2.2741525949016034E-3" u="1"/>
        <n v="7.730945869029753E-3" u="1"/>
        <n v="1.4600919493469608E-3" u="1"/>
        <n v="6.694854281192813E-3" u="1"/>
        <n v="2.17123834293881E-3" u="1"/>
        <n v="9.5928071134047284E-3" u="1"/>
        <n v="2.8487745801474727E-3" u="1"/>
        <n v="5.3065294722609918E-5" u="1"/>
        <n v="6.9175241400497665E-3" u="1"/>
        <n v="5.7412435070679614E-3" u="1"/>
        <n v="1.9086292229687711E-3" u="1"/>
        <n v="6.0582113633417135E-3" u="1"/>
        <n v="1.1701003943844171E-2" u="1"/>
        <n v="4.2296525948533716E-4" u="1"/>
        <n v="3.9712858809391017E-4" u="1"/>
        <n v="3.0893525988007762E-4" u="1"/>
        <n v="3.0205928830122553E-4" u="1"/>
        <n v="1.8898630568157254E-3" u="1"/>
        <n v="6.1385389281430898E-5" u="1"/>
        <n v="3.9067550210293285E-4" u="1"/>
        <n v="3.2566506883939983E-3" u="1"/>
        <n v="9.9777969726649856E-3" u="1"/>
        <n v="1.0431952567047407E-2" u="1"/>
        <n v="3.3926228269723934E-3" u="1"/>
        <n v="6.0524442193287424E-3" u="1"/>
        <n v="1.8098261347353659E-3" u="1"/>
        <n v="9.2507037359331207E-3" u="1"/>
        <n v="3.0787840324628205E-4" u="1"/>
        <n v="2.491516215872369E-4" u="1"/>
        <n v="1.0905093560299557E-3" u="1"/>
        <n v="4.1167570366507512E-4" u="1"/>
        <n v="9.608465972402861E-4" u="1"/>
        <n v="2.6057928058298939E-4" u="1"/>
        <n v="1.7194199825709756E-4" u="1"/>
        <n v="4.4094986057567945E-4" u="1"/>
        <n v="4.4970673394185089E-4" u="1"/>
        <n v="7.0782059412034561E-3" u="1"/>
        <n v="2.7487385973265018E-3" u="1"/>
        <n v="1.0892794744986084E-2" u="1"/>
        <n v="4.3896152074976817E-3" u="1"/>
        <n v="4.523312174159101E-3" u="1"/>
        <n v="7.2058058141828141E-3" u="1"/>
        <n v="6.7826193209000827E-3" u="1"/>
        <n v="1.0410808516348556E-2" u="1"/>
        <n v="5.8017934450342217E-3" u="1"/>
        <n v="9.7100689731635641E-3" u="1"/>
        <n v="1.081212582435365E-2" u="1"/>
        <n v="9.3648437378193554E-3" u="1"/>
        <n v="2.6747792440950722E-3" u="1"/>
        <n v="2.3892262154192189E-3" u="1"/>
        <n v="6.9041212997649291E-3" u="1"/>
        <n v="1.1532519184634266E-2" u="1"/>
        <n v="8.9020335538965278E-3" u="1"/>
        <n v="7.9996628027586107E-3" u="1"/>
        <n v="4.4200841241094557E-3" u="1"/>
        <n v="4.7103782568117718E-3" u="1"/>
        <n v="2.674301814756658E-3" u="1"/>
        <n v="4.0838018054901995E-3" u="1"/>
        <n v="1.6494132502804508E-3" u="1"/>
        <n v="9.9039187775611659E-3" u="1"/>
        <n v="6.3043918370420636E-3" u="1"/>
        <n v="2.3893813849569135E-3" u="1"/>
        <n v="1.8233555576864825E-3" u="1"/>
        <n v="6.337683792960202E-3" u="1"/>
        <n v="5.7146374200341419E-3" u="1"/>
        <n v="4.0213824576589311E-3" u="1"/>
        <n v="8.5816267541731391E-3" u="1"/>
        <n v="4.3312835821612914E-3" u="1"/>
        <n v="3.0428492202883616E-3" u="1"/>
        <n v="3.3505305170566922E-3" u="1"/>
        <n v="3.3523412094880055E-3" u="1"/>
        <n v="3.8289877250129098E-3" u="1"/>
        <n v="3.8268359626195329E-3" u="1"/>
        <n v="9.4808560082577341E-3" u="1"/>
        <n v="7.2030302004959671E-3" u="1"/>
        <n v="3.5516457319816784E-3" u="1"/>
        <n v="6.6236772595629559E-3" u="1"/>
        <n v="2.7617531135508853E-3" u="1"/>
        <n v="1.0280530825369342E-2" u="1"/>
        <n v="4.327606109857148E-3" u="1"/>
        <n v="1.7285999044701995E-2" u="1"/>
        <n v="7.3133322719690233E-3" u="1"/>
        <n v="8.0140331085304002E-3" u="1"/>
        <n v="6.3823332271050297E-3" u="1"/>
        <n v="1.4242963266491041E-3" u="1"/>
        <n v="3.0999187352546485E-3" u="1"/>
        <n v="2.8467155249779194E-4" u="1"/>
        <n v="8.7486719643023892E-3" u="1"/>
        <n v="4.5919336438377785E-3" u="1"/>
        <n v="3.5101347646817279E-3" u="1"/>
        <n v="4.2867553277641836E-3" u="1"/>
        <n v="4.1284830568227848E-3" u="1"/>
        <n v="5.7940029222671337E-3" u="1"/>
        <n v="4.0856338237275271E-3" u="1"/>
        <n v="5.584574302111134E-3" u="1"/>
        <n v="6.065656070726096E-3" u="1"/>
        <n v="4.8504372602788844E-3" u="1"/>
        <n v="1.4787089177597273E-2" u="1"/>
        <n v="5.050074162325776E-3" u="1"/>
        <n v="9.2503470289524489E-3" u="1"/>
        <n v="4.9935564883240215E-3" u="1"/>
        <n v="3.4637569111214579E-3" u="1"/>
        <n v="6.8393275549862636E-3" u="1"/>
        <n v="7.456044994703601E-3" u="1"/>
        <n v="7.0666523570394003E-3" u="1"/>
        <n v="3.6430381597944697E-3" u="1"/>
        <n v="6.742273725997644E-3" u="1"/>
      </sharedItems>
    </cacheField>
    <cacheField name="Gasto aplicado" numFmtId="164">
      <sharedItems containsString="0" containsBlank="1" containsNumber="1" minValue="-56422.786380026657" maxValue="4813081.3251" count="1818">
        <n v="-4.5860125106851726"/>
        <n v="6830.625372640613"/>
        <n v="24253.500798351062"/>
        <n v="12724.880547624651"/>
        <n v="9160.45890821582"/>
        <n v="16344.036483351547"/>
        <n v="-67.960735604242927"/>
        <n v="1887.1690334861569"/>
        <n v="2236.8119006226757"/>
        <n v="7764.2524356563708"/>
        <n v="9481.2183694004943"/>
        <n v="5568.0935214134552"/>
        <n v="6883.8685631339604"/>
        <n v="15300.91807538924"/>
        <n v="8692.5692042889896"/>
        <n v="7276.5412035476102"/>
        <n v="21088.719812835094"/>
        <n v="5034.0618446733379"/>
        <n v="10379.55375536509"/>
        <n v="16135.703355869502"/>
        <n v="4796.3646686880502"/>
        <n v="10044.708244177167"/>
        <n v="5758.0788068009997"/>
        <n v="4493.5011436879995"/>
        <n v="11002.576649370132"/>
        <n v="20160.483151294429"/>
        <n v="17499.999417216819"/>
        <n v="3779.8101160602819"/>
        <n v="7232.1656074258835"/>
        <n v="14126.78469634758"/>
        <n v="6449.3531208725553"/>
        <n v="7091.7427338600819"/>
        <n v="10980.41311451506"/>
        <n v="5896.5737775881526"/>
        <n v="9604.5325722627276"/>
        <n v="10315.732992191632"/>
        <n v="8545.5478645311196"/>
        <n v="2969.2882190574528"/>
        <n v="9686.4651815638099"/>
        <n v="19288.109276954368"/>
        <n v="11320.460905863725"/>
        <n v="15425.182661205843"/>
        <n v="13681.475238205776"/>
        <n v="12886.765959740478"/>
        <n v="19327.543118716312"/>
        <n v="10792.690676721717"/>
        <n v="10544.600198068076"/>
        <n v="30818.566776723212"/>
        <n v="19116.027571105617"/>
        <n v="13271.719523437388"/>
        <n v="20080.640614232736"/>
        <n v="11189.878110175237"/>
        <n v="16480.866387942555"/>
        <n v="9480.5880000581146"/>
        <n v="7655.7892699745071"/>
        <n v="8264.3292520669547"/>
        <n v="-1988.3242638054937"/>
        <n v="3119.246976854402"/>
        <n v="9575.6560986554068"/>
        <n v="17276.854239585788"/>
        <n v="10828.739401342071"/>
        <n v="6926.7756872392692"/>
        <n v="14694.579912559171"/>
        <n v="2685.9275713958218"/>
        <n v="22491.515330708018"/>
        <n v="7053.1304637968096"/>
        <n v="5525.0771980696463"/>
        <n v="0"/>
        <n v="2546.6013710284137"/>
        <n v="7213.4078682443114"/>
        <n v="4588.1756984209433"/>
        <n v="5556.0337897804939"/>
        <n v="5424.7002271085676"/>
        <n v="1611.5007404268731"/>
        <n v="4388.0547328767143"/>
        <n v="6681.0064182254355"/>
        <n v="3689.5687660051067"/>
        <n v="1513.2999923792715"/>
        <n v="11115.741959145611"/>
        <n v="15908.100325224694"/>
        <n v="9675.8894456588096"/>
        <n v="6505.4730565781074"/>
        <n v="14113.832410548406"/>
        <n v="4507.6434227075033"/>
        <n v="7628.9958177603085"/>
        <n v="12316.128956293229"/>
        <n v="15365.207630952676"/>
        <n v="10143.503514828575"/>
        <n v="15026.382717022587"/>
        <n v="7858.4549392049821"/>
        <n v="3996.9545496468504"/>
        <n v="9824.9728912745995"/>
        <n v="8409.1529793696191"/>
        <n v="5740.5773624935528"/>
        <n v="24341.508570711379"/>
        <n v="2336.7959202275547"/>
        <n v="9105.2144624438297"/>
        <n v="6446.8548105687178"/>
        <n v="2136.9745267666758"/>
        <n v="11186.535535113477"/>
        <n v="4262.8522067752374"/>
        <n v="10826.438336976922"/>
        <n v="5489.5905266104992"/>
        <n v="20407.99279428085"/>
        <n v="5923.3924113956018"/>
        <n v="-75.553311846577955"/>
        <n v="-1395.1763380179689"/>
        <n v="10568.762855172668"/>
        <n v="11374.905524983464"/>
        <n v="3461.3074588874947"/>
        <n v="9534.7148570965364"/>
        <n v="26723.045486790783"/>
        <n v="382.20491873095705"/>
        <n v="-6433.3821249263001"/>
        <n v="261.95824868140858"/>
        <n v="642.3503297020701"/>
        <n v="482.52346839573454"/>
        <n v="1472.4620842288875"/>
        <n v="336.91905245167101"/>
        <n v="264.90473209412005"/>
        <n v="3995.1899420939303"/>
        <n v="22121.270780005692"/>
        <n v="21891.662702030659"/>
        <n v="6331.8039623420946"/>
        <n v="12646.46441450571"/>
        <n v="3579.6114134563891"/>
        <n v="18138.951416847125"/>
        <n v="682.91870592853593"/>
        <n v="496.59778673892697"/>
        <n v="886.49162352542726"/>
        <n v="504.99652946989772"/>
        <n v="1163.2032640562966"/>
        <n v="912.15830313093375"/>
        <n v="401.08975089495107"/>
        <n v="260.32008235201033"/>
        <n v="525.69313282965049"/>
        <n v="271.02368149984972"/>
        <n v="9454.2633994846565"/>
        <n v="5877.8424050159247"/>
        <n v="20632.459738928723"/>
        <n v="9402.8146789512029"/>
        <n v="8133.9784825411516"/>
        <n v="11157.617289686797"/>
        <n v="11579.121965602015"/>
        <n v="19228.153206959414"/>
        <n v="12849.377870613613"/>
        <n v="16604.760004452786"/>
        <n v="18652.03846634673"/>
        <n v="16167.391102546526"/>
        <n v="9576.2279874507258"/>
        <n v="6631.6693372251584"/>
        <n v="15558.748261052066"/>
        <n v="27467.095146978656"/>
        <n v="14041.843923543262"/>
        <n v="14654.885189491386"/>
        <n v="7966.7133340956107"/>
        <n v="9334.9182897240298"/>
        <n v="4971.6914227691495"/>
        <n v="5482.8525840174443"/>
        <n v="3702.2730871741942"/>
        <n v="17984.23766323633"/>
        <n v="10108.64176163758"/>
        <n v="-88.00706135023924"/>
        <n v="4802.4091990793686"/>
        <n v="3902.3683378679639"/>
        <n v="14035.205166801868"/>
        <n v="15258.626033918024"/>
        <n v="10830.620969989139"/>
        <n v="16973.85277870559"/>
        <n v="8103.9832944349728"/>
        <n v="3966.6795199761646"/>
        <n v="6840.4688278140529"/>
        <n v="8327.5707793450019"/>
        <n v="6178.6810336651661"/>
        <n v="8011.5884145255586"/>
        <n v="20979.866895340794"/>
        <n v="13415.184155714649"/>
        <n v="8100.483112224947"/>
        <n v="6793.5059859263347"/>
        <n v="6291.9860568450167"/>
        <n v="19872.588631833165"/>
        <n v="9988.262488280574"/>
        <n v="26536.708095876893"/>
        <n v="18265.994154532149"/>
        <n v="14598.841924330804"/>
        <n v="15853.780014299491"/>
        <n v="3422.6907450136237"/>
        <n v="5898.5956521477547"/>
        <n v="824.05798100948164"/>
        <n v="15605.358619885139"/>
        <n v="7279.1161843964746"/>
        <n v="5436.3855528880313"/>
        <n v="10150.03621262404"/>
        <n v="10577.988620676533"/>
        <n v="12186.770045287218"/>
        <n v="-24.589085167110419"/>
        <n v="7365.3207769276823"/>
        <n v="12969.921742714287"/>
        <n v="10300.192038607096"/>
        <n v="8630.1890652522434"/>
        <n v="29594.539122087295"/>
        <n v="7024.0479158804746"/>
        <n v="15162.630423178049"/>
        <n v="9689.5155908930883"/>
        <n v="8138.7593709582716"/>
        <n v="15316.172729071279"/>
        <n v="13231.193630040127"/>
        <n v="20646.780185126812"/>
        <n v="8097.3098167206008"/>
        <n v="13622.418062213588"/>
        <m/>
        <n v="1987652.1435000014"/>
        <n v="9413.8926679653578" u="1"/>
        <n v="47717.589724699101" u="1"/>
        <n v="21407.846847197026" u="1"/>
        <n v="18980.926614066964" u="1"/>
        <n v="31268.330124563556" u="1"/>
        <n v="3182.2130726263208" u="1"/>
        <n v="3948.6013533692967" u="1"/>
        <n v="16560.732681423797" u="1"/>
        <n v="19246.903072159828" u="1"/>
        <n v="8119.601916018637" u="1"/>
        <n v="10578.651872044475" u="1"/>
        <n v="36568.902502498284" u="1"/>
        <n v="13896.855141417655" u="1"/>
        <n v="15374.566152889527" u="1"/>
        <n v="35830.076091939372" u="1"/>
        <n v="10038.310657190657" u="1"/>
        <n v="22444.757159465604" u="1"/>
        <n v="36318.903049828637" u="1"/>
        <n v="12758.163534479447" u="1"/>
        <n v="24523.632838306054" u="1"/>
        <n v="10577.570996727858" u="1"/>
        <n v="14738.664306308379" u="1"/>
        <n v="29079.501700030825" u="1"/>
        <n v="53277.137042084541" u="1"/>
        <n v="41870.993354418082" u="1"/>
        <n v="7391.3089203667205" u="1"/>
        <n v="15586.021912446044" u="1"/>
        <n v="26360.325608386702" u="1"/>
        <n v="15638.663825207868" u="1"/>
        <n v="11031.861709279085" u="1"/>
        <n v="13400.126125620265" u="1"/>
        <n v="14807.464581427474" u="1"/>
        <n v="23394.155304605458" u="1"/>
        <n v="21064.512228568055" u="1"/>
        <n v="22504.720067322975" u="1"/>
        <n v="4567.5001466545855" u="1"/>
        <n v="7025.6483023231458" u="1"/>
        <n v="59077.331559330763" u="1"/>
        <n v="24058.848405196521" u="1"/>
        <n v="26280.297657594125" u="1"/>
        <n v="28287.419765732466" u="1"/>
        <n v="48518.225580984647" u="1"/>
        <n v="39636.646020890701" u="1"/>
        <n v="25161.543423113741" u="1"/>
        <n v="17654.342317464139" u="1"/>
        <n v="54674.128604387843" u="1"/>
        <n v="34602.244128947474" u="1"/>
        <n v="23649.419753247614" u="1"/>
        <n v="41327.585045507869" u="1"/>
        <n v="18371.816591323666" u="1"/>
        <n v="28708.135244540361" u="1"/>
        <n v="17328.927265219645" u="1"/>
        <n v="13413.338638838348" u="1"/>
        <n v="15964.591481024914" u="1"/>
        <n v="10813.300781388973" u="1"/>
        <n v="19614.192779907724" u="1"/>
        <n v="33862.236135926731" u="1"/>
        <n v="29673.550089452237" u="1"/>
        <n v="12280.405775128223" u="1"/>
        <n v="51364.939675416979" u="1"/>
        <n v="7965.5851402857679" u="1"/>
        <n v="40129.318406353712" u="1"/>
        <n v="16627.072027020407" u="1"/>
        <n v="10012.021168039375" u="1"/>
        <n v="16230.962780787146" u="1"/>
        <n v="12661.299534905451" u="1"/>
        <n v="7855.496677152697" u="1"/>
        <n v="10324.698778160282" u="1"/>
        <n v="15037.392205289872" u="1"/>
        <n v="5080.8589927858338" u="1"/>
        <n v="10061.60553500722" u="1"/>
        <n v="10584.549935831179" u="1"/>
        <n v="7616.8718473146855" u="1"/>
        <n v="4534.8433476626824" u="1"/>
        <n v="22797.760144446926" u="1"/>
        <n v="27868.288397707362" u="1"/>
        <n v="13739.783702385161" u="1"/>
        <n v="7880.474211026356" u="1"/>
        <n v="21051.766018857594" u="1"/>
        <n v="10539.751530311658" u="1"/>
        <n v="16355.261460483474" u="1"/>
        <n v="27535.648793822991" u="1"/>
        <n v="37023.321726254471" u="1"/>
        <n v="21664.10965975601" u="1"/>
        <n v="32836.680028821735" u="1"/>
        <n v="20054.137498402983" u="1"/>
        <n v="11699.611995352328" u="1"/>
        <n v="24577.772326969003" u="1"/>
        <n v="13740.769095077547" u="1"/>
        <n v="20090.804387456439" u="1"/>
        <n v="7756.7185812488033" u="1"/>
        <n v="3404.0553599836612" u="1"/>
        <n v="32951.729144569086" u="1"/>
        <n v="15320.97637991338" u="1"/>
        <n v="11548.829498346207" u="1"/>
        <n v="31195.09591261447" u="1"/>
        <n v="8512.6442483513929" u="1"/>
        <n v="25086.57262844306" u="1"/>
        <n v="9065.058730596731" u="1"/>
        <n v="34057.874147870978" u="1"/>
        <n v="12757.621745651928" u="1"/>
        <n v="82.043174631409883" u="1"/>
        <n v="38879.567115853752" u="1"/>
        <n v="18047.445362333448" u="1"/>
        <n v="6753.6921698233045" u="1"/>
        <n v="23911.754960447484" u="1"/>
        <n v="52836.94695126063" u="1"/>
        <n v="546.87432816956255" u="1"/>
        <n v="580.81215567716538" u="1"/>
        <n v="99.144292785985556" u="1"/>
        <n v="437.26904314624721" u="1"/>
        <n v="2783.7419225607237" u="1"/>
        <n v="113.88831126543444" u="1"/>
        <n v="847.71965943417376" u="1"/>
        <n v="-306.20623022510301" u="1"/>
        <n v="11815.869957153554" u="1"/>
        <n v="46907.930880528038" u="1"/>
        <n v="53244.532248094365" u="1"/>
        <n v="10163.439495250079" u="1"/>
        <n v="24439.674666565174" u="1"/>
        <n v="6827.2788267544947" u="1"/>
        <n v="36372.468381655039" u="1"/>
        <n v="978.66152769796645" u="1"/>
        <n v="508.39008650169586" u="1"/>
        <n v="2928.0065594501716" u="1"/>
        <n v="826.96876300757503" u="1"/>
        <n v="1517.1145886707163" u="1"/>
        <n v="393.76193502843086" u="1"/>
        <n v="809.12882552857184" u="1"/>
        <n v="378.05246110894194" u="1"/>
        <n v="1216.5664545805014" u="1"/>
        <n v="15955.615994243857" u="1"/>
        <n v="14290.830741337288" u="1"/>
        <n v="46727.58456098337" u="1"/>
        <n v="21111.909923337211" u="1"/>
        <n v="16860.730919671241" u="1"/>
        <n v="28825.995873181375" u="1"/>
        <n v="25268.109658348265" u="1"/>
        <n v="35545.722711697163" u="1"/>
        <n v="18273.503838095956" u="1"/>
        <n v="37192.942945020142" u="1"/>
        <n v="43494.509695991401" u="1"/>
        <n v="40913.945729934581" u="1"/>
        <n v="17386.903413869557" u="1"/>
        <n v="11403.825681820548" u="1"/>
        <n v="27853.903790237931" u="1"/>
        <n v="59669.553648394911" u="1"/>
        <n v="44598.676947880616" u="1"/>
        <n v="36563.09703884145" u="1"/>
        <n v="19969.574963687239" u="1"/>
        <n v="29224.535602590928" u="1"/>
        <n v="13411.198807172301" u="1"/>
        <n v="13983.588674769244" u="1"/>
        <n v="6833.4918630972206" u="1"/>
        <n v="41241.542770324464" u="1"/>
        <n v="21166.997512422426" u="1"/>
        <n v="9893.6609671021324" u="1"/>
        <n v="6934.3896132069403" u="1"/>
        <n v="18406.212795479492" u="1"/>
        <n v="23898.058248236266" u="1"/>
        <n v="28426.568575730333" u="1"/>
        <n v="29337.692420871626" u="1"/>
        <n v="12156.954668864793" u="1"/>
        <n v="10050.922890967367" u="1"/>
        <n v="11427.391333946942" u="1"/>
        <n v="13245.81911874097" u="1"/>
        <n v="16017.971552539559" u="1"/>
        <n v="21093.601460427904" u="1"/>
        <n v="48452.410969457545" u="1"/>
        <n v="25385.705818135822" u="1"/>
        <n v="10749.491605230376" u="1"/>
        <n v="14605.405753341845" u="1"/>
        <n v="10635.383623877267" u="1"/>
        <n v="38434.736929804305" u="1"/>
        <n v="15986.668745200745" u="1"/>
        <n v="72617.464757631271" u="1"/>
        <n v="43197.520181290412" u="1"/>
        <n v="31722.893112723719" u="1"/>
        <n v="33248.565646863404" u="1"/>
        <n v="9315.6327604667549" u="1"/>
        <n v="8893.9055862059104" u="1"/>
        <n v="2418.4768067581981" u="1"/>
        <n v="36323.472463891485" u="1"/>
        <n v="13721.369668121524" u="1"/>
        <n v="14457.889182447989" u="1"/>
        <n v="17195.057022938425" u="1"/>
        <n v="25361.659149770388" u="1"/>
        <n v="23271.785013606685" u="1"/>
        <n v="15382.732139183461" u="1"/>
        <n v="21615.243994704306" u="1"/>
        <n v="25262.314283421569" u="1"/>
        <n v="19058.607013446832" u="1"/>
        <n v="99410.128842584571" u="1"/>
        <n v="17968.210818101408" u="1"/>
        <n v="41492.102447774792" u="1"/>
        <n v="18806.22157610692" u="1"/>
        <n v="14686.351118002533" u="1"/>
        <n v="26488.800241671743" u="1"/>
        <n v="34158.834532180183" u="1"/>
        <n v="38450.487359163839" u="1"/>
        <n v="14288.780807462723" u="1"/>
        <n v="26327.545642814759" u="1"/>
        <n v="4243646.7251000004" u="1"/>
        <n v="10677.073598046101" u="1"/>
        <n v="54120.461681670415" u="1"/>
        <n v="24280.408161125153" u="1"/>
        <n v="21527.83737455837" u="1"/>
        <n v="35463.997073606282" u="1"/>
        <n v="3609.2108099676425" u="1"/>
        <n v="4478.4350901655725" u="1"/>
        <n v="18782.895441206034" u="1"/>
        <n v="21829.503254823678" u="1"/>
        <n v="9209.111501682748" u="1"/>
        <n v="11998.123262046807" u="1"/>
        <n v="41475.814223759851" u="1"/>
        <n v="15761.571791785729" u="1"/>
        <n v="17437.5659615322" u="1"/>
        <n v="40637.850138131274" u="1"/>
        <n v="11385.277638823976" u="1"/>
        <n v="25456.453832045027" u="1"/>
        <n v="41192.269185615543" u="1"/>
        <n v="14470.087543815862" u="1"/>
        <n v="27814.278528697727" u="1"/>
        <n v="11996.897352031374" u="1"/>
        <n v="16716.337129150841" u="1"/>
        <n v="32981.465882045384" u="1"/>
        <n v="60426.003711222424" u="1"/>
        <n v="47489.353600739982" u="1"/>
        <n v="8383.094232335905" u="1"/>
        <n v="17677.39541223316" u="1"/>
        <n v="29897.423575579738" u="1"/>
        <n v="17737.100955595957" u="1"/>
        <n v="12512.145989752094" u="1"/>
        <n v="15198.190367436157" u="1"/>
        <n v="16794.369206520074" u="1"/>
        <n v="26533.244722597727" u="1"/>
        <n v="23891.00399845259" u="1"/>
        <n v="25524.462720920936" u="1"/>
        <n v="5180.379354745467" u="1"/>
        <n v="7968.3683088035159" u="1"/>
        <n v="67004.483616177953" u="1"/>
        <n v="27287.12809533632" u="1"/>
        <n v="29806.65726342268" u="1"/>
        <n v="32083.100306138069" u="1"/>
        <n v="55028.528967362821" u="1"/>
        <n v="44955.195653002855" u="1"/>
        <n v="28537.78563709524" u="1"/>
        <n v="20023.24850060192" u="1"/>
        <n v="62010.447283360634" u="1"/>
        <n v="39245.264446188034" u="1"/>
        <n v="26822.761227751042" u="1"/>
        <n v="46873.029332696511" u="1"/>
        <n v="20836.995363551705" u="1"/>
        <n v="32560.268496758457" u="1"/>
        <n v="19654.168398961294" u="1"/>
        <n v="15213.175770501564" u="1"/>
        <n v="18106.762443307507" u="1"/>
        <n v="12264.25798050372" u="1"/>
        <n v="22246.076863610804" u="1"/>
        <n v="38405.960230248587" u="1"/>
        <n v="33655.225250073519" u="1"/>
        <n v="13928.222989104217" u="1"/>
        <n v="58257.222661978456" u="1"/>
        <n v="9034.4283490450616" u="1"/>
        <n v="45513.976117668128" u="1"/>
        <n v="18858.136375043301" u="1"/>
        <n v="11355.460556728043" u="1"/>
        <n v="18408.876146138082" u="1"/>
        <n v="14360.226077477755" u="1"/>
        <n v="8909.567925772164" u="1"/>
        <n v="11710.094072689286" u="1"/>
        <n v="17055.149124965104" u="1"/>
        <n v="5762.6220438939563" u="1"/>
        <n v="11411.698284743556" u="1"/>
        <n v="12004.812743577755" u="1"/>
        <n v="8638.923787330732" u="1"/>
        <n v="5143.3405803923597" u="1"/>
        <n v="25856.823687949483" u="1"/>
        <n v="31607.728786460269" u="1"/>
        <n v="15583.424093075781" u="1"/>
        <n v="8937.897010973451" u="1"/>
        <n v="23876.547468728393" u="1"/>
        <n v="11954.003169931895" u="1"/>
        <n v="18549.853550286061" u="1"/>
        <n v="31230.454723799405" u="1"/>
        <n v="41991.208616657634" u="1"/>
        <n v="24571.056993296959" u="1"/>
        <n v="37242.792301667047" u="1"/>
        <n v="22745.054523981882" u="1"/>
        <n v="13269.496769178475" u="1"/>
        <n v="27875.682596643164" u="1"/>
        <n v="15584.541708356797" u="1"/>
        <n v="22786.641472850257" u="1"/>
        <n v="8797.5355246136114" u="1"/>
        <n v="3860.8204801451484" u="1"/>
        <n v="37373.279010996732" u="1"/>
        <n v="17376.785371573293" u="1"/>
        <n v="13098.481879311566" u="1"/>
        <n v="35380.936102076892" u="1"/>
        <n v="9654.8932900969485" u="1"/>
        <n v="28452.755063597593" u="1"/>
        <n v="10281.432203550958" u="1"/>
        <n v="38627.849466272324" u="1"/>
        <n v="14469.473056335517" u="1"/>
        <n v="93.051944042000727" u="1"/>
        <n v="44096.529905079689" u="1"/>
        <n v="20469.099148120797" u="1"/>
        <n v="7659.9203856587437" u="1"/>
        <n v="27120.297264481422" u="1"/>
        <n v="59926.747753817275" u="1"/>
        <n v="620.2553669023763" u="1"/>
        <n v="658.74706155378601" u="1"/>
        <n v="112.44773530342273" u="1"/>
        <n v="495.94295585151917" u="1"/>
        <n v="3157.2717507486918" u="1"/>
        <n v="129.17014504277768" u="1"/>
        <n v="961.46891764440625" u="1"/>
        <n v="-347.2937892545886" u="1"/>
        <n v="13401.354530711633" u="1"/>
        <n v="53202.160679797162" u="1"/>
        <n v="60389.023920038853" u="1"/>
        <n v="11527.196594172296" u="1"/>
        <n v="27719.054628186732" u="1"/>
        <n v="7743.3810941669135" u="1"/>
        <n v="41253.022054846704" u="1"/>
        <n v="1109.9809109110909" u="1"/>
        <n v="576.60720825584156" u="1"/>
        <n v="3320.8941968496097" u="1"/>
        <n v="937.93361124281751" u="1"/>
        <n v="1720.6850227885243" u="1"/>
        <n v="446.59794929617334" u="1"/>
        <n v="917.69986393273462" u="1"/>
        <n v="428.78053676121385" u="1"/>
        <n v="1379.8085479210649" u="1"/>
        <n v="26659.693604861666" u="1"/>
        <n v="16219.309659427665" u="1"/>
        <n v="52997.615015762916" u="1"/>
        <n v="23944.761640830391" u="1"/>
        <n v="19123.148233757187" u="1"/>
        <n v="32693.943975192091" u="1"/>
        <n v="28658.651210646705" u="1"/>
        <n v="40315.341471867046" u="1"/>
        <n v="20725.490745976156" u="1"/>
        <n v="42183.590057622518" u="1"/>
        <n v="49330.717644074961" u="1"/>
        <n v="46403.886803543755" u="1"/>
        <n v="19719.923940042889" u="1"/>
        <n v="12934.021068502576" u="1"/>
        <n v="31591.414014447677" u="1"/>
        <n v="67676.171626053576" u="1"/>
        <n v="50583.044968041526" u="1"/>
        <n v="41469.22976768807" u="1"/>
        <n v="22649.145165479214" u="1"/>
        <n v="24582.849813104174" u="1"/>
        <n v="15210.748810582676" u="1"/>
        <n v="15859.943459243279" u="1"/>
        <n v="7750.4278121016005" u="1"/>
        <n v="46775.441678250347" u="1"/>
        <n v="24007.241027811742" u="1"/>
        <n v="11221.218472070883" u="1"/>
        <n v="7864.8642882540062" u="1"/>
        <n v="20876.006941038115" u="1"/>
        <n v="27104.76269132561" u="1"/>
        <n v="32240.920470211269" u="1"/>
        <n v="33274.301314313569" u="1"/>
        <n v="13788.206888026238" u="1"/>
        <n v="11399.582215370492" u="1"/>
        <n v="12960.748821942543" u="1"/>
        <n v="15023.178039671673" u="1"/>
        <n v="18167.305193510125" u="1"/>
        <n v="23923.996500112928" u="1"/>
        <n v="54953.883177795586" u="1"/>
        <n v="28792.026733098995" u="1"/>
        <n v="12191.886720908375" u="1"/>
        <n v="16565.197592321972" u="1"/>
        <n v="12062.467429866483" u="1"/>
        <n v="43592.011232241231" u="1"/>
        <n v="18131.802092978727" u="1"/>
        <n v="82361.467574318682" u="1"/>
        <n v="48993.877293526028" u="1"/>
        <n v="35979.554521594866" u="1"/>
        <n v="37709.945817531356" u="1"/>
        <n v="10565.628917178865" u="1"/>
        <n v="10087.313279142945" u="1"/>
        <n v="2742.9943989903049" u="1"/>
        <n v="41197.451735700655" u="1"/>
        <n v="15562.539215161385" u="1"/>
        <n v="16397.886859140865" u="1"/>
        <n v="19502.335094733287" u="1"/>
        <n v="28764.753419393212" u="1"/>
        <n v="26394.454463425365" u="1"/>
        <n v="17446.827681389848" u="1"/>
        <n v="24515.634404514938" u="1"/>
        <n v="28652.078197037867" u="1"/>
        <n v="21615.941134666711" u="1"/>
        <n v="112749.24194275161" u="1"/>
        <n v="20379.232703907768" u="1"/>
        <n v="47059.622113612815" u="1"/>
        <n v="21329.689954140358" u="1"/>
        <n v="16657.00441935788" u="1"/>
        <n v="30043.137273775388" u="1"/>
        <n v="38742.356981046076" u="1"/>
        <n v="43609.875095725256" u="1"/>
        <n v="16206.087076686656" u="1"/>
        <n v="29860.245107830266" u="1"/>
        <n v="4813081.3251" u="1"/>
        <n v="6775.0461624126419" u="1"/>
        <n v="25051.435181359629" u="1"/>
        <n v="12789.381979656833" u="1"/>
        <n v="10171.77160957442" u="1"/>
        <n v="14175.942716384967" u="1"/>
        <n v="2332.3388935188823" u="1"/>
        <n v="3016.7751090811653" u="1"/>
        <n v="9007.3817000071303" u="1"/>
        <n v="8627.0231115483311" u="1"/>
        <n v="4424.6884774304754" u="1"/>
        <n v="5332.2139634149098" u="1"/>
        <n v="20489.226264427052" u="1"/>
        <n v="8903.7913022258781" u="1"/>
        <n v="7212.915481742205" u="1"/>
        <n v="17951.000284446949" u="1"/>
        <n v="6242.9399103318938" u="1"/>
        <n v="13743.940641899975" u="1"/>
        <n v="15023.082052375756" u="1"/>
        <n v="7584.0991379877414" u="1"/>
        <n v="13741.817248901827" u="1"/>
        <n v="7633.9672232324547" u="1"/>
        <n v="9936.0714107838103" u="1"/>
        <n v="12709.590780248411" u="1"/>
        <n v="23674.776050775832" u="1"/>
        <n v="21983.172755765547" u="1"/>
        <n v="5289.2241151264743" u="1"/>
        <n v="9740.5740802849305" u="1"/>
        <n v="15848.215951100756" u="1"/>
        <n v="5996.0751925394925" u="1"/>
        <n v="10736.56532564681" u="1"/>
        <n v="10425.315536259341" u="1"/>
        <n v="12877.104893072397" u="1"/>
        <n v="10853.667054970721" u="1"/>
        <n v="10624.66965595584" u="1"/>
        <n v="2360.5785152748599" u="1"/>
        <n v="9653.5581995217744" u="1"/>
        <n v="29549.397529734437" u="1"/>
        <n v="12433.562179777326" u="1"/>
        <n v="15700.657697457809" u="1"/>
        <n v="16248.847007610249" u="1"/>
        <n v="23148.574564786311" u="1"/>
        <n v="23341.532299326023" u="1"/>
        <n v="11623.698787972546" u="1"/>
        <n v="10473.028898531747" u="1"/>
        <n v="31775.70484939732" u="1"/>
        <n v="18010.778568895283" u="1"/>
        <n v="12438.005752169798" u="1"/>
        <n v="21771.348399032191" u="1"/>
        <n v="11019.215652247027" u="1"/>
        <n v="15081.847690148057" u="1"/>
        <n v="11538.666996574819" u="1"/>
        <n v="7763.2878025775899" u="1"/>
        <n v="9270.5670392692919" u="1"/>
        <n v="4634.7442117583632" u="1"/>
        <n v="10445.940479861867" u="1"/>
        <n v="18194.383799119751" u="1"/>
        <n v="16806.978060432219" u="1"/>
        <n v="1591.3618953302728" u="1"/>
        <n v="21508.564905383344" u="1"/>
        <n v="5152.8509824784114" u="1"/>
        <n v="23448.056666454278" u="1"/>
        <n v="10803.477717402093" u="1"/>
        <n v="5799.475014928179" u="1"/>
        <n v="4832.4502787453521" u="1"/>
        <n v="6587.0934312665531" u="1"/>
        <n v="4663.6697304432382" u="1"/>
        <n v="7061.378374760523" u="1"/>
        <n v="6703.1493692570657" u="1"/>
        <n v="3532.4736882649804" u="1"/>
        <n v="6109.1437347705642" u="1"/>
        <n v="7209.1562050874654" u="1"/>
        <n v="4642.3495496299183" u="1"/>
        <n v="2716.8555086095425" u="1"/>
        <n v="10470.227667933625" u="1"/>
        <n v="14396.326881052746" u="1"/>
        <n v="7588.2113171788114" u="1"/>
        <n v="6718.8219352828019" u="1"/>
        <n v="14016.403336237914" u="1"/>
        <n v="6866.9339875822934" u="1"/>
        <n v="9992.2572626983019" u="1"/>
        <n v="14224.500707005367" u="1"/>
        <n v="21010.528639133056" u="1"/>
        <n v="12221.135454921627" u="1"/>
        <n v="16132.200603685131" u="1"/>
        <n v="10061.456315579197" u="1"/>
        <n v="5911.4143437653884" u="1"/>
        <n v="12429.681532831066" u="1"/>
        <n v="7718.9491108383681" u="1"/>
        <n v="10673.266769014135" u="1"/>
        <n v="5069.1014249784103" u="1"/>
        <n v="2303.0174536279937" u="1"/>
        <n v="14957.549140195943" u="1"/>
        <n v="8934.4440258377435" u="1"/>
        <n v="4429.1669024177154" u="1"/>
        <n v="15575.541259050449" u="1"/>
        <n v="4886.5768386820173" u="1"/>
        <n v="13070.672841571246" u="1"/>
        <n v="5637.1522841512169" u="1"/>
        <n v="22761.149919645784" u="1"/>
        <n v="6229.5342040341257" u="1"/>
        <n v="119.59846673240436" u="1"/>
        <n v="16774.869053441365" u="1"/>
        <n v="10881.968642825444" u="1"/>
        <n v="5803.6190578237656" u="1"/>
        <n v="12682.253963453326" u="1"/>
        <n v="28230.755853657298" u="1"/>
        <n v="203.55158900452611" u="1"/>
        <n v="457.30126875614491" u="1"/>
        <n v="550.59243124981469" u="1"/>
        <n v="494.29652412809497" u="1"/>
        <n v="3403.9546652249514" u="1"/>
        <n v="319.8613691702613" u="1"/>
        <n v="310.94652377785195" u="1"/>
        <n v="8410.9822847049745" u="1"/>
        <n v="26746.753827013414" u="1"/>
        <n v="22463.356861181619" u="1"/>
        <n v="6726.6905089845304" u="1"/>
        <n v="14074.562923148162" u="1"/>
        <n v="2829.5664514768528" u="1"/>
        <n v="19240.152715797612" u="1"/>
        <n v="546.31559623230805" u="1"/>
        <n v="389.40558549666537" u="1"/>
        <n v="1745.0752879921522" u="1"/>
        <n v="494.07257085491142" u="1"/>
        <n v="996.50362653987224" u="1"/>
        <n v="187.33200269828728" u="1"/>
        <n v="637.8057388855824" u="1"/>
        <n v="326.8645524116672" u="1"/>
        <n v="298.83810257492576" u="1"/>
        <n v="14520.434622389183" u="1"/>
        <n v="7455.0104111255368" u="1"/>
        <n v="23283.414716997759" u="1"/>
        <n v="8538.0626908419272" u="1"/>
        <n v="9362.3590064601376" u="1"/>
        <n v="14221.665637900236" u="1"/>
        <n v="14154.448325971063" u="1"/>
        <n v="25555.538467741044" u="1"/>
        <n v="12661.305312367045" u="1"/>
        <n v="19854.563130099148" u="1"/>
        <n v="24548.667875526786" u="1"/>
        <n v="20763.595390358099" u="1"/>
        <n v="10130.687445656598" u="1"/>
        <n v="6723.8011061254028" u="1"/>
        <n v="17394.089712915888" u="1"/>
        <n v="28210.185991031056" u="1"/>
        <n v="18571.438543068623" u="1"/>
        <n v="20028.972719371224" u="1"/>
        <n v="11571.082258065682" u="1"/>
        <n v="11637.036176779953" u="1"/>
        <n v="6929.8124450221703" u="1"/>
        <n v="7835.1117949075924" u="1"/>
        <n v="7084.6098974865881" u="1"/>
        <n v="19172.206007912511" u="1"/>
        <n v="13751.111202992806" u="1"/>
        <n v="7874.6948420932549" u="1"/>
        <n v="2649.9775424647196" u="1"/>
        <n v="11276.037911128898" u="1"/>
        <n v="13145.75611192316" u="1"/>
        <n v="8942.4259105020483" u="1"/>
        <n v="19119.602554400299" u="1"/>
        <n v="9357.977133301174" u="1"/>
        <n v="5376.8666487448299" u="1"/>
        <n v="7849.7039304974196" u="1"/>
        <n v="7514.6354615777191" u="1"/>
        <n v="10324.535229000818" u="1"/>
        <n v="10639.172018093532" u="1"/>
        <n v="29003.033524155573" u="1"/>
        <n v="15542.033878428076" u="1"/>
        <n v="5787.9985305113642" u="1"/>
        <n v="11511.664988855679" u="1"/>
        <n v="6173.1538607640905" u="1"/>
        <n v="21496.237441227007" u="1"/>
        <n v="10165.279740050164" u="1"/>
        <n v="35639.232873664303" u="1"/>
        <n v="19472.386122189229" u="1"/>
        <n v="16489.260579507307" u="1"/>
        <n v="15754.747003012986" u="1"/>
        <n v="2724.251357301579" u="1"/>
        <n v="7612.3397204584189" u="1"/>
        <n v="1208.4734248054974" u="1"/>
        <n v="19282.185532117132" u="1"/>
        <n v="7081.558827691184" u="1"/>
        <n v="8632.6541273206658" u="1"/>
        <n v="7949.8105098800224" u="1"/>
        <n v="13885.706693191676" u="1"/>
        <n v="12327.252479013418" u="1"/>
        <n v="9131.3863246313922" u="1"/>
        <n v="12944.508103297791" u="1"/>
        <n v="13262.880898399959" u="1"/>
        <n v="9387.9187679095285" u="1"/>
        <n v="30549.666197217244" u="1"/>
        <n v="10061.370758597066" u="1"/>
        <n v="21503.470075164616" u="1"/>
        <n v="9672.1900337151947" u="1"/>
        <n v="7603.1403967661463" u="1"/>
        <n v="17806.735627690199" u="1"/>
        <n v="18984.773557154076" u="1"/>
        <n v="15871.786232507744" u="1"/>
        <n v="8537.9582931768982" u="1"/>
        <n v="16593.90824382527" u="1"/>
        <n v="2274887.8343999917" u="1"/>
        <n v="6740.6330697648309" u="1"/>
        <n v="24558.770509805323" u="1"/>
        <n v="12604.658408425708" u="1"/>
        <n v="9969.9402785652765" u="1"/>
        <n v="13845.16367722281" u="1"/>
        <n v="2277.3792124007236" u="1"/>
        <n v="2960.2546158888504" u="1"/>
        <n v="8757.203287048942" u="1"/>
        <n v="8409.4135316062075" u="1"/>
        <n v="4305.2952426367819" u="1"/>
        <n v="5217.2250015534728" u="1"/>
        <n v="20116.02127507158" u="1"/>
        <n v="8735.932403468305" u="1"/>
        <n v="7053.8178859514765" u="1"/>
        <n v="17450.092853478836" u="1"/>
        <n v="6093.1094842760886" u="1"/>
        <n v="13441.895513839516" u="1"/>
        <n v="14673.246168011223" u="1"/>
        <n v="7392.0445135678074" u="1"/>
        <n v="13364.209610354297" u="1"/>
        <n v="7456.6410551030676" u="1"/>
        <n v="9716.3981242152713" u="1"/>
        <n v="12463.013876973871" u="1"/>
        <n v="23145.687556833047" u="1"/>
        <n v="21626.306102297196" u="1"/>
        <n v="5170.1734992942602" u="1"/>
        <n v="9529.4735180191492" u="1"/>
        <n v="15523.852217073043" u="1"/>
        <n v="5856.8819598976916" u="1"/>
        <n v="10483.193757893085" u="1"/>
        <n v="10128.113531321767" u="1"/>
        <n v="12592.081958084806" u="1"/>
        <n v="10660.815276448069" u="1"/>
        <n v="10366.747635483005" u="1"/>
        <n v="2292.4800226206389" u="1"/>
        <n v="9448.0840730428663" u="1"/>
        <n v="28908.590133521582" u="1"/>
        <n v="12178.410222518918" u="1"/>
        <n v="15360.056106416152" u="1"/>
        <n v="15882.833949156373" u="1"/>
        <n v="22732.391729878884" u="1"/>
        <n v="22955.981152567554" u="1"/>
        <n v="11356.54825193135" u="1"/>
        <n v="10242.192369382337" u="1"/>
        <n v="31282.843793632397" u="1"/>
        <n v="17543.731693966314" u="1"/>
        <n v="12088.006564438547" u="1"/>
        <n v="21351.379904138928" u="1"/>
        <n v="10787.617126195537" u="1"/>
        <n v="14751.054471461131" u="1"/>
        <n v="11299.566634359433" u="1"/>
        <n v="7577.3175433207416" u="1"/>
        <n v="9083.077873109949" u="1"/>
        <n v="4544.4390722908547" u="1"/>
        <n v="10250.154686217262" u="1"/>
        <n v="17874.254664282631" u="1"/>
        <n v="16455.282759603888" u="1"/>
        <n v="1583.2787497652848" u="1"/>
        <n v="21140.564789608226" u="1"/>
        <n v="5054.4710695112799" u="1"/>
        <n v="23135.125156757011" u="1"/>
        <n v="10597.188270077748" u="1"/>
        <n v="5696.1279530051343" u="1"/>
        <n v="4728.5529929639042" u="1"/>
        <n v="6433.7925012921323" u="1"/>
        <n v="4552.5754041731834" u="1"/>
        <n v="6951.8632821366928" u="1"/>
        <n v="6538.7435943073988" u="1"/>
        <n v="3469.868222948" u="1"/>
        <n v="6041.853370648706" u="1"/>
        <n v="7073.6349978040735" u="1"/>
        <n v="4559.7185705286311" u="1"/>
        <n v="2670.2682304924128" u="1"/>
        <n v="10227.776839658842" u="1"/>
        <n v="14110.561210711783" u="1"/>
        <n v="7446.605479343576" u="1"/>
        <n v="6580.4119408096276" u="1"/>
        <n v="13659.234201325215" u="1"/>
        <n v="6744.1824032309669" u="1"/>
        <n v="9757.8482217566198" u="1"/>
        <n v="13920.212963334297" u="1"/>
        <n v="20625.458211986461" u="1"/>
        <n v="11983.913333214799" u="1"/>
        <n v="15768.098505645332" u="1"/>
        <n v="9820.6848057953503" u="1"/>
        <n v="5809.4195017483889" u="1"/>
        <n v="12149.927140064787" u="1"/>
        <n v="7509.8574798351156" u="1"/>
        <n v="10470.895243090194" u="1"/>
        <n v="4953.2020117026095" u="1"/>
        <n v="2256.3024695015934" u="1"/>
        <n v="-56422.779053409453" u="1"/>
        <n v="8778.7517875559861" u="1"/>
        <n v="4324.9053100371866" u="1"/>
        <n v="15218.469084362036" u="1"/>
        <n v="4809.258219482509" u="1"/>
        <n v="12763.575619318961" u="1"/>
        <n v="5530.4584591143712" u="1"/>
        <n v="22300.63660760006" u="1"/>
        <n v="6095.4699184757101" u="1"/>
        <n v="117.0855228329478" u="1"/>
        <n v="16440.952299183398" u="1"/>
        <n v="10620.275186800349" u="1"/>
        <n v="5705.5181278228656" u="1"/>
        <n v="12400.019049163011" u="1"/>
        <n v="27666.667839536818" u="1"/>
        <n v="187.30773667126476" u="1"/>
        <n v="440.69881601062411" u="1"/>
        <n v="536.68991299943639" u="1"/>
        <n v="480.93187025887011" u="1"/>
        <n v="3318.7139842183378" u="1"/>
        <n v="316.03442542951007" u="1"/>
        <n v="295.31872259974438" u="1"/>
        <n v="8251.1715649432863" u="1"/>
        <n v="26252.156763072046" u="1"/>
        <n v="21974.190644697403" u="1"/>
        <n v="6570.5474594909938" u="1"/>
        <n v="13785.464780434935" u="1"/>
        <n v="2750.1253659758986" u="1"/>
        <n v="18809.82375937207" u="1"/>
        <n v="532.47271647220441" u="1"/>
        <n v="378.46865609192804" u="1"/>
        <n v="1697.0040882315327" u="1"/>
        <n v="476.76198755746606" u="1"/>
        <n v="956.89780667942978" u="1"/>
        <n v="177.0106869741964" u="1"/>
        <n v="628.38564740981747" u="1"/>
        <n v="309.34894466869093" u="1"/>
        <n v="281.14555011651237" u="1"/>
        <n v="14192.190888850844" u="1"/>
        <n v="7318.3162443419751" u="1"/>
        <n v="22773.513657449825" u="1"/>
        <n v="8336.8737368313796" u="1"/>
        <n v="9152.1733700499408" u="1"/>
        <n v="13890.348858805753" u="1"/>
        <n v="13838.691347636928" u="1"/>
        <n v="25051.426969132448" u="1"/>
        <n v="12388.397690260201" u="1"/>
        <n v="19404.599173008839" u="1"/>
        <n v="24035.23782303129" u="1"/>
        <n v="20321.426045653592" u="1"/>
        <n v="9983.0619264929155" u="1"/>
        <n v="6603.7491269610882" u="1"/>
        <n v="17057.505773000688" u="1"/>
        <n v="27652.258257230289" u="1"/>
        <n v="18157.047701993222" u="1"/>
        <n v="19639.622133049339" u="1"/>
        <n v="11353.389961128953" u="1"/>
        <n v="11408.574449848453" u="1"/>
        <n v="6798.4661768958258" u="1"/>
        <n v="7648.4869895104703" u="1"/>
        <n v="6989.3252118048922" u="1"/>
        <n v="18718.740768212228" u="1"/>
        <n v="13454.591868354064" u="1"/>
        <n v="7748.7884769258681" u="1"/>
        <n v="2570.96373194336" u="1"/>
        <n v="10990.899730969026" u="1"/>
        <n v="12873.525197659892" u="1"/>
        <n v="8752.416625349797" u="1"/>
        <n v="18713.947256363208" u="1"/>
        <n v="9154.7205106599013" u="1"/>
        <n v="5240.150700795477" u="1"/>
        <n v="7689.3701707728706" u="1"/>
        <n v="7355.9346123164478" u="1"/>
        <n v="10134.427935747146" u="1"/>
        <n v="10447.540798809214" u="1"/>
        <n v="28514.846758366235" u="1"/>
        <n v="15204.110533016883" u="1"/>
        <n v="5630.9075168125728" u="1"/>
        <n v="11215.045821262804" u="1"/>
        <n v="6042.5014266873195" u="1"/>
        <n v="21017.428513466915" u="1"/>
        <n v="9958.0484183956123" u="1"/>
        <n v="34836.709138374812" u="1"/>
        <n v="19110.538275989809" u="1"/>
        <n v="16117.373575366673" u="1"/>
        <n v="15445.256411898084" u="1"/>
        <n v="2659.2000344668668" u="1"/>
        <n v="7462.2204225171081" u="1"/>
        <n v="1192.102481548173" u="1"/>
        <n v="18869.695025047306" u="1"/>
        <n v="6880.49210168847" u="1"/>
        <n v="8462.6034053697695" u="1"/>
        <n v="7755.306314871722" u="1"/>
        <n v="13666.741753172077" u="1"/>
        <n v="12056.319523516249" u="1"/>
        <n v="8938.1099038317861" u="1"/>
        <n v="12677.969615038692" u="1"/>
        <n v="12977.429226682269" u="1"/>
        <n v="9165.8435078843922" u="1"/>
        <n v="29862.843410638656" u="1"/>
        <n v="9828.6955515967711" u="1"/>
        <n v="21061.660355975684" u="1"/>
        <n v="9443.5211829060481" u="1"/>
        <n v="7439.9860573923288" u="1"/>
        <n v="17470.387298642749" u="1"/>
        <n v="18620.269970073397" u="1"/>
        <n v="15537.096264965367" u="1"/>
        <n v="8363.6133233894361" u="1"/>
        <n v="16263.394184341128" u="1"/>
        <n v="2156299.1056000008" u="1"/>
        <n v="6740.6339450502919" u="1"/>
        <n v="24558.77369881362" u="1"/>
        <n v="12604.660045167264" u="1"/>
        <n v="9969.9415731831086" u="1"/>
        <n v="13845.165475046599" u="1"/>
        <n v="2277.3795081232311" u="1"/>
        <n v="2960.255000284174" u="1"/>
        <n v="8757.2044241903131" u="1"/>
        <n v="8409.4146235863409" u="1"/>
        <n v="4305.2958016884759" u="1"/>
        <n v="5217.225679021175" u="1"/>
        <n v="20116.02388717949" u="1"/>
        <n v="8735.9335378476062" u="1"/>
        <n v="7053.8188019046493" u="1"/>
        <n v="17450.095119410304" u="1"/>
        <n v="6093.1102754792428" u="1"/>
        <n v="13441.897259298081" u="1"/>
        <n v="14673.248073363273" u="1"/>
        <n v="7392.0454734404229" u="1"/>
        <n v="13364.211345725182" u="1"/>
        <n v="7456.64202336368" u="1"/>
        <n v="9716.3993859101192" u="1"/>
        <n v="12463.015495322585" u="1"/>
        <n v="23145.690562349533" u="1"/>
        <n v="21626.308910518786" u="1"/>
        <n v="5170.1741706522253" u="1"/>
        <n v="9529.4747554414407" u="1"/>
        <n v="15523.85423287809" u="1"/>
        <n v="5856.8827204262016" u="1"/>
        <n v="10483.195119157968" u="1"/>
        <n v="10128.114846478733" u="1"/>
        <n v="12592.083593193282" u="1"/>
        <n v="10660.816660777482" u="1"/>
        <n v="10366.748981627112" u="1"/>
        <n v="2292.4803203040187" u="1"/>
        <n v="9448.0852998965674" u="1"/>
        <n v="28908.59388736316" u="1"/>
        <n v="12178.411803911245" u="1"/>
        <n v="15360.058100951926" u="1"/>
        <n v="15882.836011575955" u="1"/>
        <n v="22732.394681728034" u="1"/>
        <n v="22955.984133450263" u="1"/>
        <n v="11356.549726603162" u="1"/>
        <n v="10242.193699352682" u="1"/>
        <n v="31282.847855775832" u="1"/>
        <n v="17543.73397205698" u="1"/>
        <n v="12088.008134091768" u="1"/>
        <n v="21351.382676660771" u="1"/>
        <n v="10787.618526990438" u="1"/>
        <n v="14751.056386916756" u="1"/>
        <n v="11299.568101632061" u="1"/>
        <n v="7577.318527251452" u="1"/>
        <n v="9083.0790525668235" u="1"/>
        <n v="4544.439662395881" u="1"/>
        <n v="10250.156017221529" u="1"/>
        <n v="17874.256985292406" u="1"/>
        <n v="16455.28489635716" u="1"/>
        <n v="1583.2789553573793" u="1"/>
        <n v="21140.567534755279" u="1"/>
        <n v="5054.4717258450401" u="1"/>
        <n v="23135.128160901946" u="1"/>
        <n v="10597.18964614506" u="1"/>
        <n v="5696.1286926593975" u="1"/>
        <n v="4728.5536069765121" u="1"/>
        <n v="6433.7933367336973" u="1"/>
        <n v="4552.5759953347288" u="1"/>
        <n v="6951.8641848508441" u="1"/>
        <n v="6538.7444433770852" u="1"/>
        <n v="3469.868673517728" u="1"/>
        <n v="6041.8541551961453" u="1"/>
        <n v="7073.6359163305397" u="1"/>
        <n v="4559.7191626177319" u="1"/>
        <n v="2670.2685772323907" u="1"/>
        <n v="10227.778167757298" u="1"/>
        <n v="14110.563042998001" u="1"/>
        <n v="7446.606446301048" u="1"/>
        <n v="6580.4127952900371" u="1"/>
        <n v="13659.235975005668" u="1"/>
        <n v="6744.1832789773171" u="1"/>
        <n v="9757.84948883385" u="1"/>
        <n v="13920.214770903394" u="1"/>
        <n v="20625.460890245839" u="1"/>
        <n v="11983.914889351294" u="1"/>
        <n v="15768.100553166274" u="1"/>
        <n v="9820.686081032045" u="1"/>
        <n v="5809.420256113799" u="1"/>
        <n v="12149.928717758525" u="1"/>
        <n v="7509.8584550059941" u="1"/>
        <n v="10470.896602758088" u="1"/>
        <n v="4953.2026548863678" u="1"/>
        <n v="2256.3027624872416" u="1"/>
        <n v="-56422.786380026657" u="1"/>
        <n v="8778.7529274954741" u="1"/>
        <n v="4324.9058716352893" u="1"/>
        <n v="15218.471060512435" u="1"/>
        <n v="4809.2588439748615" u="1"/>
        <n v="12763.577276696253" u="1"/>
        <n v="5530.4591772560998" u="1"/>
        <n v="22300.639503384893" u="1"/>
        <n v="6095.4707099853722" u="1"/>
        <n v="117.08553803675061" u="1"/>
        <n v="16440.954434075829" u="1"/>
        <n v="10620.276565865546" u="1"/>
        <n v="5705.5188686964621" u="1"/>
        <n v="12400.020659331713" u="1"/>
        <n v="27666.671432112154" u="1"/>
        <n v="187.30776099357055" u="1"/>
        <n v="440.69887323629752" u="1"/>
        <n v="536.68998268975679" u="1"/>
        <n v="480.93193270889071" u="1"/>
        <n v="3318.7144151603684" u="1"/>
        <n v="316.03446646724871" u="1"/>
        <n v="295.31876094750515" u="1"/>
        <n v="8251.172636375366" u="1"/>
        <n v="26252.160171970128" u="1"/>
        <n v="21974.193498092536" u="1"/>
        <n v="6570.5483126904792" u="1"/>
        <n v="13785.466570506695" u="1"/>
        <n v="2750.1257230854944" u="1"/>
        <n v="18809.826201867472" u="1"/>
        <n v="532.47278561491294" u="1"/>
        <n v="378.46870523688352" u="1"/>
        <n v="1697.0043085911032" u="1"/>
        <n v="476.7620494660186" u="1"/>
        <n v="956.89793093463391" u="1"/>
        <n v="177.0107099594085" u="1"/>
        <n v="628.38572900702297" u="1"/>
        <n v="309.34898483830574" u="1"/>
        <n v="281.14558662385673" u="1"/>
        <n v="14192.19273173685" u="1"/>
        <n v="7318.3171946408193" u="1"/>
        <n v="22773.516614638742" u="1"/>
        <n v="8336.8748193920674" u="1"/>
        <n v="9152.1745584790115" u="1"/>
        <n v="13890.350662496934" u="1"/>
        <n v="13838.693144620271" u="1"/>
        <n v="25051.430222113231" u="1"/>
        <n v="12388.399298919845" u="1"/>
        <n v="19404.601692737087" u="1"/>
        <n v="24035.240944057761" u="1"/>
        <n v="20321.428684433748" u="1"/>
        <n v="9983.0632228146223" u="1"/>
        <n v="6603.7499844718805" u="1"/>
        <n v="17057.507987953893" u="1"/>
        <n v="27652.261847934515" u="1"/>
        <n v="18157.050059724272" u="1"/>
        <n v="19639.624683295813" u="1"/>
        <n v="11353.391435390653" u="1"/>
        <n v="11408.575931275976" u="1"/>
        <n v="6798.4670596910391" u="1"/>
        <n v="7648.4879826826837" u="1"/>
        <n v="6989.3261193835542" u="1"/>
        <n v="18718.743198880311" u="1"/>
        <n v="13454.593615461277" u="1"/>
        <n v="7748.7894831224421" u="1"/>
        <n v="2570.9640657884383" u="1"/>
        <n v="10990.901158160603" u="1"/>
        <n v="12873.526869314368" u="1"/>
        <n v="8752.4177618696085" u="1"/>
        <n v="18713.94968640884" u="1"/>
        <n v="9154.7216994197242" u="1"/>
        <n v="5240.151381240129" u="1"/>
        <n v="7689.3711692538509" u="1"/>
        <n v="7355.9355675001161" u="1"/>
        <n v="10134.42925172405" u="1"/>
        <n v="10447.542155444486" u="1"/>
        <n v="28514.850461079401" u="1"/>
        <n v="15204.112507302794" u="1"/>
        <n v="5630.9082479978242" u="1"/>
        <n v="11215.047277560225" u="1"/>
        <n v="6042.5022113189107" u="1"/>
        <n v="21017.431242624461" u="1"/>
        <n v="9958.0497114692625" u="1"/>
        <n v="34836.713661995178" u="1"/>
        <n v="19110.540757533628" u="1"/>
        <n v="16117.375668241724" u="1"/>
        <n v="15445.2584174973" u="1"/>
        <n v="2659.2003797696161" u="1"/>
        <n v="7462.2213915022139" u="1"/>
        <n v="1192.1026363452017" u="1"/>
        <n v="18869.697475317116" u="1"/>
        <n v="6880.4929951349222" u="1"/>
        <n v="8462.6045042567221" u="1"/>
        <n v="7755.3073219146509" u="1"/>
        <n v="13666.743527827401" u="1"/>
        <n v="12056.32108905484" u="1"/>
        <n v="8938.1110644642631" u="1"/>
        <n v="12677.971261299861" u="1"/>
        <n v="12977.430911828904" u="1"/>
        <n v="9165.8446980885601" u="1"/>
        <n v="29862.847288392037" u="1"/>
        <n v="9828.6968278736786" u="1"/>
        <n v="21061.663090876827" u="1"/>
        <n v="9443.522409167248" u="1"/>
        <n v="7439.9870234902555" u="1"/>
        <n v="17470.389567209491" u="1"/>
        <n v="18620.272387954836" u="1"/>
        <n v="15537.09828249018" u="1"/>
        <n v="8363.6144094223164" u="1"/>
        <n v="16263.396296177263" u="1"/>
        <n v="2156299.3855999992" u="1"/>
        <n v="21561.212032064494" u="1"/>
        <n v="7066.5437553139827" u="1"/>
        <n v="8860.2025198698993" u="1"/>
        <n v="15268.426643813435" u="1"/>
        <n v="2543.7994737230906" u="1"/>
        <n v="2430.7676535756364" u="1"/>
        <n v="12061.974193202679" u="1"/>
        <n v="10254.317367224307" u="1"/>
        <n v="5718.7302393638729" u="1"/>
        <n v="5186.6844964876973" u="1"/>
        <n v="15879.914851089434" u="1"/>
        <n v="7235.904761431264" u="1"/>
        <n v="7225.6523406569904" u="1"/>
        <n v="24175.450702739832" u="1"/>
        <n v="6969.4722674014392" u="1"/>
        <n v="13702.682083382253" u="1"/>
        <n v="16139.251101436694" u="1"/>
        <n v="9059.2814039587975" u="1"/>
        <n v="18161.788679924837" u="1"/>
        <n v="8174.946587168025" u="1"/>
        <n v="9983.642433631223" u="1"/>
        <n v="10739.959350306615" u="1"/>
        <n v="24122.671579232021" u="1"/>
        <n v="14468.049509491717" u="1"/>
        <n v="5439.2348811856609" u="1"/>
        <n v="9536.5263816483512" u="1"/>
        <n v="14388.974853370442" u="1"/>
        <n v="6415.9229910170307" u="1"/>
        <n v="11731.98618728506" u="1"/>
        <n v="14411.503095285485" u="1"/>
        <n v="12958.196343115435" u="1"/>
        <n v="8126.1957678512772" u="1"/>
        <n v="12034.092870204728" u="1"/>
        <n v="3310.7703983816837" u="1"/>
        <n v="9230.769269786746" u="1"/>
        <n v="28954.294279247799" u="1"/>
        <n v="11328.666004014065" u="1"/>
        <n v="15391.294075782043" u="1"/>
        <n v="16726.166198314411" u="1"/>
        <n v="17618.689646343446" u="1"/>
        <n v="15753.339014133468" u="1"/>
        <n v="12279.268471496294" u="1"/>
        <n v="10481.551929571517" u="1"/>
        <n v="19557.58616676864" u="1"/>
        <n v="22159.720943173732" u="1"/>
        <n v="16923.519506679619" u="1"/>
        <n v="18254.853271118802" u="1"/>
        <n v="10362.76580499846" u="1"/>
        <n v="14997.846254837923" u="1"/>
        <n v="10649.767059773214" u="1"/>
        <n v="8646.4184606684212" u="1"/>
        <n v="8284.2770370783874" u="1"/>
        <n v="3939.4435302379597" u="1"/>
        <n v="8421.4559407226916" u="1"/>
        <n v="13435.733808740435" u="1"/>
        <n v="15714.37826269451" u="1"/>
        <n v="15267.16590740639" u="1"/>
        <n v="4260.4015851725335" u="1"/>
        <n v="11436.679742737082" u="1"/>
        <n v="8934.0999636646102" u="1"/>
        <n v="4359.6731912296136" u="1"/>
        <n v="4682.1864717717281" u="1"/>
        <n v="7071.2630417851105" u="1"/>
        <n v="5157.2855474093758" u="1"/>
        <n v="4345.4498358655346" u="1"/>
        <n v="7691.6525732745222" u="1"/>
        <n v="2635.1861556910944" u="1"/>
        <n v="2139.4722295653942" u="1"/>
        <n v="5835.6272909139479" u="1"/>
        <n v="3484.3037391371818" u="1"/>
        <n v="1934.8745232514398" u="1"/>
        <n v="11167.489202094072" u="1"/>
        <n v="12546.473514522497" u="1"/>
        <n v="6081.1204262777255" u="1"/>
        <n v="6152.8329736720816" u="1"/>
        <n v="16873.486422194204" u="1"/>
        <n v="5184.8723812067901" u="1"/>
        <n v="10836.284730180676" u="1"/>
        <n v="13690.883351727032" u="1"/>
        <n v="16423.606441091448" u="1"/>
        <n v="10334.299445485127" u="1"/>
        <n v="16648.330385972233" u="1"/>
        <n v="11191.067380485581" u="1"/>
        <n v="4246.2078849194422" u="1"/>
        <n v="12781.339022216593" u="1"/>
        <n v="10023.919350457551" u="1"/>
        <n v="8741.9652271060477" u="1"/>
        <n v="5319.4206521193919" u="1"/>
        <n v="2066.0271323413986" u="1"/>
        <n v="13463.517069745607" u="1"/>
        <n v="6508.7971587990605" u="1"/>
        <n v="4824.4040152912585" u="1"/>
        <n v="16400.485339533803" u="1"/>
        <n v="3097.4497836758824" u="1"/>
        <n v="14202.513036454335" u="1"/>
        <n v="4606.0809654162877" u="1"/>
        <n v="20350.251456115111" u="1"/>
        <n v="6043.4113145858564" u="1"/>
        <n v="112.57310591484301" u="1"/>
        <n v="14674.88651023185" u="1"/>
        <n v="12179.516137289793" u="1"/>
        <n v="4048.9800498155132" u="1"/>
        <n v="12851.934075274081" u="1"/>
        <n v="24822.595693963591" u="1"/>
        <n v="897.28160755987392" u="1"/>
        <n v="842.47150313592067" u="1"/>
        <n v="655.37752900657119" u="1"/>
        <n v="640.79079240480951" u="1"/>
        <n v="4009.1693671272242" u="1"/>
        <n v="130.22341561137225" u="1"/>
        <n v="828.78187912577914" u="1"/>
        <n v="6908.6826858990244" u="1"/>
        <n v="21166.971770761353" u="1"/>
        <n v="22130.420783821242" u="1"/>
        <n v="7197.1349792042283" u="1"/>
        <n v="12839.699613613364" u="1"/>
        <n v="3839.3784528668089" u="1"/>
        <n v="19624.510838876478" u="1"/>
        <n v="653.13550558250495" u="1"/>
        <n v="528.55207970501272" u="1"/>
        <n v="2313.4145561464552" u="1"/>
        <n v="873.33186093678785" u="1"/>
        <n v="2038.3470274586148" u="1"/>
        <n v="552.79479941875866" u="1"/>
        <n v="364.75901777586523" u="1"/>
        <n v="935.43427238464267" u="1"/>
        <n v="954.01116785061402" u="1"/>
        <n v="15015.758063182164" u="1"/>
        <n v="5831.1942460052051" u="1"/>
        <n v="23108.05476434097" u="1"/>
        <n v="9312.1619367638214" u="1"/>
        <n v="9595.7876636563997" u="1"/>
        <n v="15286.449370763001" u="1"/>
        <n v="14388.698436200682" u="1"/>
        <n v="22085.565639395252" u="1"/>
        <n v="12307.967220345943" u="1"/>
        <n v="20599.011626531697" u="1"/>
        <n v="22936.92312371104" u="1"/>
        <n v="19866.648277076456" u="1"/>
        <n v="5674.296330932144" u="1"/>
        <n v="5068.5220389119668" u="1"/>
        <n v="14646.453626426499" u="1"/>
        <n v="24465.170888491019" u="1"/>
        <n v="18884.839354209704" u="1"/>
        <n v="16970.543416095876" u="1"/>
        <n v="9376.798920215575" u="1"/>
        <n v="9992.6310251342602" u="1"/>
        <n v="5673.2835088275815" u="1"/>
        <n v="8663.4071399738496" u="1"/>
        <n v="3499.0773817760937" u="1"/>
        <n v="21010.246025136195" u="1"/>
        <n v="13374.18314003293" u="1"/>
        <n v="5068.8512167087356" u="1"/>
        <n v="3868.0798700699779" u="1"/>
        <n v="13444.808939800476" u="1"/>
        <n v="12123.073788871789" u="1"/>
        <n v="8530.9902771018733" u="1"/>
        <n v="18205.12601633713" u="1"/>
        <n v="9188.4167984110791" u="1"/>
        <n v="6455.1226813872654" u="1"/>
        <n v="7107.8400438399731" u="1"/>
        <n v="7111.6812600607618" u="1"/>
        <n v="8122.8426783966452" u="1"/>
        <n v="8118.2779138536534" u="1"/>
        <n v="20112.757559532143" u="1"/>
        <n v="15280.561163504726" u="1"/>
        <n v="7534.4873376915311" u="1"/>
        <n v="14051.517580073179" u="1"/>
        <n v="5858.8033362970136" u="1"/>
        <n v="21809.193589044695" u="1"/>
        <n v="9180.6153816591832" u="1"/>
        <n v="36670.645314893402" u="1"/>
        <n v="15514.55678794196" u="1"/>
        <n v="17001.028688289927" u="1"/>
        <n v="13539.528577282897" u="1"/>
        <n v="3021.5126868159141" u="1"/>
        <n v="6576.1903695324363" u="1"/>
        <n v="603.90432198282883" u="1"/>
        <n v="18559.496951818528" u="1"/>
        <n v="9741.3617533613706" u="1"/>
        <n v="7446.4256668214766" u="1"/>
        <n v="9093.954232535365" u="1"/>
        <n v="8758.1942746720324" u="1"/>
        <n v="12291.440348137359" u="1"/>
        <n v="8667.2935969161244" u="1"/>
        <n v="11847.156935378405" u="1"/>
        <n v="12867.727332190263" u="1"/>
        <n v="10289.753223626691" u="1"/>
        <n v="31369.439571822943" u="1"/>
        <n v="10713.26441368252" u="1"/>
        <n v="19623.754118068169" u="1"/>
        <n v="10593.367405012008" u="1"/>
        <n v="7348.0393476983145" u="1"/>
        <n v="14508.999700433695" u="1"/>
        <n v="15817.308605976245" u="1"/>
        <n v="14991.248204891635" u="1"/>
        <n v="7728.3679052030193" u="1"/>
        <n v="14303.108994892738" u="1"/>
        <n v="2121407.3435999993" u="1"/>
        <n v="21588.653849244114" u="1"/>
        <n v="7075.5376282714369" u="1"/>
        <n v="8871.4792540981543" u="1"/>
        <n v="15287.859381266082" u="1"/>
        <n v="2547.0370690862692" u="1"/>
        <n v="2433.8613888191076" u="1"/>
        <n v="12077.325950336874" u="1"/>
        <n v="10267.368447194889" u="1"/>
        <n v="5726.0086961359139" u="1"/>
        <n v="5193.2857973565597" u="1"/>
        <n v="15900.125854048056" u="1"/>
        <n v="7245.1141869170406" u="1"/>
        <n v="7234.8487174766669" u="1"/>
        <n v="24206.219766066741" u="1"/>
        <n v="6978.3425935925661" u="1"/>
        <n v="13720.122035090135" u="1"/>
        <n v="16159.792172016723" u="1"/>
        <n v="9070.8115138476314" u="1"/>
        <n v="18184.903914999202" u="1"/>
        <n v="8185.3511687548398" u="1"/>
        <n v="9996.3490147845914" u="1"/>
        <n v="10753.628526258753" u="1"/>
        <n v="24153.373468456841" u="1"/>
        <n v="14486.463574943822" u="1"/>
        <n v="5446.1576130332278" u="1"/>
        <n v="9548.6639003140299" u="1"/>
        <n v="14407.288277344063" u="1"/>
        <n v="6424.0887928975644" u="1"/>
        <n v="11746.917955481882" u="1"/>
        <n v="14429.845191853907" u="1"/>
        <n v="12974.688758036107" u="1"/>
        <n v="8136.538302319912" u="1"/>
        <n v="12049.409141663662" u="1"/>
        <n v="3314.9841483258415" u="1"/>
        <n v="9242.5176391433506" u="1"/>
        <n v="28991.145567987707" u="1"/>
        <n v="11343.084450477501" u="1"/>
        <n v="15410.883191531067" u="1"/>
        <n v="16747.454259219685" u="1"/>
        <n v="17641.113657549326" u="1"/>
        <n v="15773.388918960318" u="1"/>
        <n v="12294.896787752039" u="1"/>
        <n v="10494.892220060858" u="1"/>
        <n v="19582.477889147929" u="1"/>
        <n v="22187.924506589818" u="1"/>
        <n v="16945.058747036208" u="1"/>
        <n v="18278.086953221733" u="1"/>
        <n v="10375.954911634632" u="1"/>
        <n v="15016.934613804073" u="1"/>
        <n v="10663.321444388754" u="1"/>
        <n v="8657.4231033714059" u="1"/>
        <n v="8294.8207679029238" u="1"/>
        <n v="3944.4574176291444" u="1"/>
        <n v="8432.1742646261828" u="1"/>
        <n v="13452.834004699047" u="1"/>
        <n v="15734.378580614253" u="1"/>
        <n v="15286.597040269371" u="1"/>
        <n v="4265.8239687212035" u="1"/>
        <n v="11451.235662607232" u="1"/>
        <n v="8945.4707501260909" u="1"/>
        <n v="4365.2219217229958" u="1"/>
        <n v="4688.1456778204501" u="1"/>
        <n v="7080.2629211672665" u="1"/>
        <n v="5163.8494310595452" u="1"/>
        <n v="4350.9804637254938" u="1"/>
        <n v="7701.4420472341062" u="1"/>
        <n v="2638.5400625406351" u="1"/>
        <n v="2142.1952214685066" u="1"/>
        <n v="5843.0545272403433" u="1"/>
        <n v="3488.7383519068844" u="1"/>
        <n v="1937.3371154681302" u="1"/>
        <n v="11181.702512393302" u="1"/>
        <n v="12562.441913326908" u="1"/>
        <n v="6088.8601115392494" u="1"/>
        <n v="6160.6639303617685" u="1"/>
        <n v="16894.961983442434" u="1"/>
        <n v="5191.4713757240343" u="1"/>
        <n v="10850.076503297591" u="1"/>
        <n v="13708.308286717091" u="1"/>
        <n v="16444.509422088817" u="1"/>
        <n v="10347.452321846655" u="1"/>
        <n v="16669.519382125061" u="1"/>
        <n v="11205.310699675772" u="1"/>
        <n v="4251.6122035779363" u="1"/>
        <n v="12797.606343749205" u="1"/>
        <n v="10036.677193654372" u="1"/>
        <n v="8753.0914760013366" u="1"/>
        <n v="5326.1908916040684" u="1"/>
        <n v="2068.6566477308643" u="1"/>
        <n v="13480.652626572059" u="1"/>
        <n v="6517.0811653486635" u="1"/>
        <n v="4830.5442272974924" u="1"/>
        <n v="16421.358893380184" u="1"/>
        <n v="3101.3920319391191" u="1"/>
        <n v="14220.589143013554" u="1"/>
        <n v="4611.9433089422218" u="1"/>
        <n v="20376.152035321305" u="1"/>
        <n v="6051.1030059522545" u="1"/>
        <n v="112.71638221059406" u="1"/>
        <n v="14693.563825409985" u="1"/>
        <n v="12195.017494758877" u="1"/>
        <n v="4054.1333487175289" u="1"/>
        <n v="12868.291245955103" u="1"/>
        <n v="24854.18840461197" u="1"/>
        <n v="898.42361376048439" u="1"/>
        <n v="843.54375032377425" u="1"/>
        <n v="656.21165420824741" u="1"/>
        <n v="641.60635248322285" u="1"/>
        <n v="4014.271997380627" u="1"/>
        <n v="130.3891561624321" u="1"/>
        <n v="829.83670298145705" u="1"/>
        <n v="6917.4756427576876" u="1"/>
        <n v="21193.911822587546" u="1"/>
        <n v="22158.587055752272" u="1"/>
        <n v="7206.2950608370538" u="1"/>
        <n v="12856.041213005552" u="1"/>
        <n v="3844.2649834305944" u="1"/>
        <n v="19649.4877389635" u="1"/>
        <n v="653.96677727126985" u="1"/>
        <n v="529.22478908329822" u="1"/>
        <n v="2316.3589314077362" u="1"/>
        <n v="874.4433853366836" u="1"/>
        <n v="2040.9413132711634" u="1"/>
        <n v="553.49836347633277" u="1"/>
        <n v="365.22326117115938" u="1"/>
        <n v="936.62483700819701" u="1"/>
        <n v="955.22537603225692" u="1"/>
        <n v="15034.869219223412" u="1"/>
        <n v="5838.6158402179863" u="1"/>
        <n v="23137.465310152435" u="1"/>
        <n v="9324.0138978240648" u="1"/>
        <n v="9608.0006065266298" u="1"/>
        <n v="15305.905046461294" u="1"/>
        <n v="14407.011508367112" u="1"/>
        <n v="22113.674822389392" u="1"/>
        <n v="12323.632062647535" u="1"/>
        <n v="20625.22881275924" u="1"/>
        <n v="22966.115863436793" u="1"/>
        <n v="19891.933355168567" u="1"/>
        <n v="5681.5182348912003" u="1"/>
        <n v="5074.9729496935988" u="1"/>
        <n v="14665.094753935864" u="1"/>
        <n v="24496.30869028953" u="1"/>
        <n v="18908.874844805225" u="1"/>
        <n v="16992.142505663327" u="1"/>
        <n v="9388.7331473506692" u="1"/>
        <n v="10005.349046427653" u="1"/>
        <n v="5680.5041237274245" u="1"/>
        <n v="8674.4334048486726" u="1"/>
        <n v="3503.5307975518508" u="1"/>
        <n v="21036.986605835609" u="1"/>
        <n v="13391.204997992943" u="1"/>
        <n v="5075.3025464481188" u="1"/>
        <n v="3873.0029300757315" u="1"/>
        <n v="13461.920686041469" u="1"/>
        <n v="12138.50330990588" u="1"/>
        <n v="8541.8480097375523" u="1"/>
        <n v="18228.296408573398" u="1"/>
        <n v="9200.1112640829142" u="1"/>
        <n v="6463.3383742820433" u="1"/>
        <n v="7116.8864762360254" u="1"/>
        <n v="7120.7325813263797" u="1"/>
        <n v="8133.1809452541802" u="1"/>
        <n v="8128.610370952726" u="1"/>
        <n v="20138.355870754436" u="1"/>
        <n v="15300.009345046066" u="1"/>
        <n v="7544.0767811678816" u="1"/>
        <n v="14069.401508674" u="1"/>
        <n v="5866.2600697036005" u="1"/>
        <n v="21836.951022273191" u="1"/>
        <n v="9192.2999181557971" u="1"/>
        <n v="36717.317512314097" u="1"/>
        <n v="15534.302785076277" u="1"/>
        <n v="17022.666577682961" u="1"/>
        <n v="13556.760876996083" u="1"/>
        <n v="3025.3582868978665" u="1"/>
        <n v="6584.5601501176243" u="1"/>
        <n v="604.6729351745729" u="1"/>
        <n v="18583.118366122144" u="1"/>
        <n v="9753.7599741997328" u="1"/>
        <n v="7455.9030306861168" u="1"/>
        <n v="9105.5284719203282" u="1"/>
        <n v="8769.3411789254551" u="1"/>
        <n v="12307.08415602748" u="1"/>
        <n v="8678.3248082401897" u="1"/>
        <n v="11862.235285994106" u="1"/>
        <n v="12884.104603581223" u="1"/>
        <n v="10302.849404229444" u="1"/>
        <n v="31409.364712602455" u="1"/>
        <n v="10726.899613920801" u="1"/>
        <n v="19648.730055046341" u="1"/>
        <n v="10606.850007530484" u="1"/>
        <n v="7357.3914913583421" u="1"/>
        <n v="14527.465884832158" u="1"/>
        <n v="15837.439927461945" u="1"/>
        <n v="15010.328166255642" u="1"/>
        <n v="7738.204108234464" u="1"/>
        <n v="14321.313133952932" u="1"/>
        <n v="2124107.3436000003" u="1"/>
        <n v="21519.755779471223" u="1"/>
        <n v="7052.9567444146869" u="1"/>
        <n v="8843.1667988192912" u="1"/>
        <n v="15239.069678597079" u="1"/>
        <n v="2538.9084502791179" u="1"/>
        <n v="2426.093959087018" u="1"/>
        <n v="12038.782349989815" u="1"/>
        <n v="10234.601148566699" u="1"/>
        <n v="5707.7347014060215" u="1"/>
        <n v="5176.7119354698743" u="1"/>
        <n v="15849.382163026843" u="1"/>
        <n v="7221.9921161177881" u="1"/>
        <n v="7211.7594079155488" u="1"/>
        <n v="24128.967991591751" u="1"/>
        <n v="6956.0718981490281" u="1"/>
        <n v="13676.335612283634" u="1"/>
        <n v="16108.219781428692" u="1"/>
        <n v="9041.8629092267965" u="1"/>
        <n v="18126.868579053844" u="1"/>
        <n v="8159.2284239149503" u="1"/>
        <n v="9964.446648073621" u="1"/>
        <n v="10719.309376316021" u="1"/>
        <n v="24076.290347753664" u="1"/>
        <n v="14440.231448331449" u="1"/>
        <n v="5428.7767355668884" u="1"/>
        <n v="9518.1902767043412" u="1"/>
        <n v="14361.308830922702" u="1"/>
        <n v="6403.5869440573779" u="1"/>
        <n v="11709.42881981993" u="1"/>
        <n v="14383.793757253912" u="1"/>
        <n v="12933.281312366953" u="1"/>
        <n v="8110.5713389521306" u="1"/>
        <n v="12010.95463507137" u="1"/>
        <n v="3304.4047017914586" u="1"/>
        <n v="9213.0210512770718" u="1"/>
        <n v="28898.623172469786" u="1"/>
        <n v="11306.88410980938" u="1"/>
        <n v="15361.700870446739" u="1"/>
        <n v="16694.006402761028" u="1"/>
        <n v="17584.813774836079" u="1"/>
        <n v="15723.049696427852" u="1"/>
        <n v="12255.658831432558" u="1"/>
        <n v="10461.398801643661" u="1"/>
        <n v="19519.982333039883" u="1"/>
        <n v="22117.113923334105" u="1"/>
        <n v="16890.980255250121" u="1"/>
        <n v="18219.754232756062" u="1"/>
        <n v="10342.841069963248" u="1"/>
        <n v="14969.009540938399" u="1"/>
        <n v="10629.290500633917" u="1"/>
        <n v="8629.7937872873736" u="1"/>
        <n v="8268.3486615821021" u="1"/>
        <n v="3931.8690689403479" u="1"/>
        <n v="8405.2638081022014" u="1"/>
        <n v="13409.900605406468" u="1"/>
        <n v="15684.163855747644" u="1"/>
        <n v="15237.811366237758" u="1"/>
        <n v="4252.2100102276263" u="1"/>
        <n v="11414.690167960944" u="1"/>
        <n v="8916.9221582501268" u="1"/>
        <n v="4351.2907444186012" u="1"/>
        <n v="4673.1839210443432" u="1"/>
        <n v="7057.6669570020395" u="1"/>
        <n v="5147.3695124466349" u="1"/>
        <n v="4337.0947366364589" u="1"/>
        <n v="7676.8636508585123" u="1"/>
        <n v="2630.1194209111495" u="1"/>
        <n v="2135.3586156816637" u="1"/>
        <n v="5824.4069922288581" u="1"/>
        <n v="3477.6043858862354" u="1"/>
        <n v="1931.1542942191893" u="1"/>
        <n v="11146.017206340486" u="1"/>
        <n v="12522.350112999458" u="1"/>
        <n v="6069.4281121319818" u="1"/>
        <n v="6141.0027761144756" u="1"/>
        <n v="16841.043370560219" u="1"/>
        <n v="5174.9033043858981" u="1"/>
        <n v="10815.449549102779" u="1"/>
        <n v="13664.55956632897" u="1"/>
        <n v="16392.028384342979" u="1"/>
        <n v="10314.42944339297" u="1"/>
        <n v="16616.320247177126" u="1"/>
        <n v="11169.550050410455" u="1"/>
        <n v="4238.0436005378888" u="1"/>
        <n v="12756.764039224112" u="1"/>
        <n v="10004.646123518862" u="1"/>
        <n v="8725.1568436961752" u="1"/>
        <n v="5309.1928761540994" u="1"/>
        <n v="2062.0547330840873" u="1"/>
        <n v="13437.630446878247" u="1"/>
        <n v="6496.282540479262" u="1"/>
        <n v="4815.1280195275467" u="1"/>
        <n v="16368.951738274429" u="1"/>
        <n v="3091.4942436795186" u="1"/>
        <n v="14175.205528554367" u="1"/>
        <n v="4597.2247445469138" u="1"/>
        <n v="20311.123546077091" u="1"/>
        <n v="6031.7915046415019" u="1"/>
        <n v="112.35665894019824" u="1"/>
        <n v="14646.670758675722" u="1"/>
        <n v="12156.098293399551" u="1"/>
        <n v="4041.1949800596644" u="1"/>
        <n v="12827.223357502542" u="1"/>
        <n v="24774.868701827003" u="1"/>
        <n v="895.55638297996722" u="1"/>
        <n v="840.85166324080274" u="1"/>
        <n v="654.11741912285754" u="1"/>
        <n v="639.55872878473701" u="1"/>
        <n v="4001.4608423130508" u="1"/>
        <n v="129.97303196860136" u="1"/>
        <n v="827.18836059469334" u="1"/>
        <n v="6895.3991982134776" u="1"/>
        <n v="21126.273533247691" u="1"/>
        <n v="22087.870100091353" u="1"/>
        <n v="7183.2968774684796" u="1"/>
        <n v="12815.012419330775" u="1"/>
        <n v="3831.996389061374" u="1"/>
        <n v="19586.778327496973" u="1"/>
        <n v="651.87970649028341" u="1"/>
        <n v="527.53582011383742" u="1"/>
        <n v="2308.9664992352791" u="1"/>
        <n v="871.65268510145427" u="1"/>
        <n v="2034.4278493939771" u="1"/>
        <n v="551.73192777671602" u="1"/>
        <n v="364.05768698081982" u="1"/>
        <n v="933.635690773242" u="1"/>
        <n v="952.17686800270189" u="1"/>
        <n v="14986.886909824876" u="1"/>
        <n v="5819.982470840464" u="1"/>
        <n v="23063.624360622245" u="1"/>
        <n v="9294.2572226472948" u="1"/>
        <n v="9577.3376156431277" u="1"/>
        <n v="15257.057752823055" u="1"/>
        <n v="14361.032945226776" u="1"/>
        <n v="22043.10119971299" u="1"/>
        <n v="12284.302400518673" u="1"/>
        <n v="20559.405419427418" u="1"/>
        <n v="22892.821758847371" u="1"/>
        <n v="19828.450202314642" u="1"/>
        <n v="5663.3862271015068" u="1"/>
        <n v="5058.7766716474916" u="1"/>
        <n v="14618.292543448892" u="1"/>
        <n v="24418.131125485928" u="1"/>
        <n v="18848.529026697168" u="1"/>
        <n v="16937.913750682983" u="1"/>
        <n v="9358.7699270414105" u="1"/>
        <n v="9973.4179569990702" u="1"/>
        <n v="5662.3753523739724" u="1"/>
        <n v="8646.7498020570838" u="1"/>
        <n v="3492.3496228928457" u="1"/>
        <n v="20969.849127922367" u="1"/>
        <n v="13348.468281626207" u="1"/>
        <n v="5059.10521652632" u="1"/>
        <n v="3860.6426213705031" u="1"/>
        <n v="13418.958287497268" u="1"/>
        <n v="12099.764468020487" u="1"/>
        <n v="8514.587540220833" u="1"/>
        <n v="18170.122589743893" u="1"/>
        <n v="9170.7500120003369" u="1"/>
        <n v="6442.7112642553257" u="1"/>
        <n v="7094.1736315895023" u="1"/>
        <n v="7098.0074622129659" u="1"/>
        <n v="8107.2246965619397" u="1"/>
        <n v="8102.6687087997543" u="1"/>
        <n v="20074.08628462908" u="1"/>
        <n v="15251.180866960214" u="1"/>
        <n v="7520.0006005930954" u="1"/>
        <n v="14024.500394710316" u="1"/>
        <n v="5847.5384764810333" u="1"/>
        <n v="21767.260536443642" u="1"/>
        <n v="9162.9635952170411" u="1"/>
        <n v="36600.137797381321" u="1"/>
        <n v="15484.726582473126" u="1"/>
        <n v="16968.340408122789" u="1"/>
        <n v="13513.495805291281" u="1"/>
        <n v="3015.7031528726397" u="1"/>
        <n v="6563.5461726915837" u="1"/>
        <n v="602.74318085230902" u="1"/>
        <n v="18523.812167841894" u="1"/>
        <n v="9722.6318066009935" u="1"/>
        <n v="7432.1082479814922" u="1"/>
        <n v="9076.4690715353718" u="1"/>
        <n v="8741.3546872883653" u="1"/>
        <n v="12267.807304918373" u="1"/>
        <n v="8650.6287864166297" u="1"/>
        <n v="11824.378126390544" u="1"/>
        <n v="12842.986248349924" u="1"/>
        <n v="10269.968871609433" u="1"/>
        <n v="31309.124808039494" u="1"/>
        <n v="10692.665766678278" u="1"/>
        <n v="19586.023061653665" u="1"/>
        <n v="10572.999286823549" u="1"/>
        <n v="7333.9110985622983" u="1"/>
        <n v="14481.102903372268" u="1"/>
        <n v="15786.896292422631" u="1"/>
        <n v="14962.424177218878" u="1"/>
        <n v="7713.5083893494875" u="1"/>
        <n v="14275.608068763002" u="1"/>
        <n v="2117328.4634999996" u="1"/>
      </sharedItems>
    </cacheField>
    <cacheField name="Resultado - Gastos Dis" numFmtId="164">
      <sharedItems containsString="0" containsBlank="1" containsNumber="1" minValue="-1013100.0598999993" maxValue="61012.045946590559" count="1835">
        <n v="3.1539874893148276"/>
        <n v="-987.61652735937969"/>
        <n v="-7753.2107016482732"/>
        <n v="-4743.6533523754824"/>
        <n v="-1346.3152917841926"/>
        <n v="-2996.7736166483719"/>
        <n v="46.739364395757079"/>
        <n v="-17.822966513848769"/>
        <n v="-237.69909937733291"/>
        <n v="-225.10006434364823"/>
        <n v="-2153.0212305994883"/>
        <n v="-1017.2948785865456"/>
        <n v="-1856.4939368659407"/>
        <n v="-1301.6224246108213"/>
        <n v="-1207.4396957111167"/>
        <n v="-1774.4304964523499"/>
        <n v="-2582.6312871643895"/>
        <n v="-735.42705532657965"/>
        <n v="-2726.133744635019"/>
        <n v="-2223.5074441303677"/>
        <n v="-123.64053131196761"/>
        <n v="-505.96415582273039"/>
        <n v="-334.44039319893545"/>
        <n v="1217.9674436879523"/>
        <n v="-3310.5044506299328"/>
        <n v="-1273.6954487050243"/>
        <n v="-7289.8116827830017"/>
        <n v="810.7426160603377"/>
        <n v="-968.25839257393363"/>
        <n v="-4954.4188036525611"/>
        <n v="7875.4101208726106"/>
        <n v="-1935.3450661398574"/>
        <n v="-3188.3602854850469"/>
        <n v="761.776277588222"/>
        <n v="2177.66367226277"/>
        <n v="-2802.5324078083904"/>
        <n v="-644.22653546880611"/>
        <n v="-868.49688094246721"/>
        <n v="-3180.8655184362142"/>
        <n v="-3416.8609230453949"/>
        <n v="-2978.3547941363959"/>
        <n v="-5252.176638794117"/>
        <n v="-383.44206179421963"/>
        <n v="-1180.9355402595647"/>
        <n v="-8341.4933812834606"/>
        <n v="-268.54162327836275"/>
        <n v="-3311.4995019319667"/>
        <n v="-1027.2301232747195"/>
        <n v="-7213.0679288941865"/>
        <n v="-3727.0474765625277"/>
        <n v="-4818.7294857669622"/>
        <n v="-2427.5710898248308"/>
        <n v="-5810.7401120572213"/>
        <n v="-741.39299994189241"/>
        <n v="-1644.2569300254299"/>
        <n v="-3077.2516479329861"/>
        <n v="1679.9513361945017"/>
        <n v="778.87047685441348"/>
        <n v="-3087.851601344566"/>
        <n v="-6723.4907604140317"/>
        <n v="766.9504013419446"/>
        <n v="601.57678723935533"/>
        <n v="2614.3589125591461"/>
        <n v="757.75937139583721"/>
        <n v="-9195.5907692914552"/>
        <n v="-245.80963620320472"/>
        <n v="-273.69720193028206"/>
        <n v="2577.59"/>
        <n v="-1751.401428971591"/>
        <n v="-3026.7799317555937"/>
        <n v="-534.1068015789715"/>
        <n v="-516.22671021942278"/>
        <n v="-1486.1668728914028"/>
        <n v="1325.3738404268693"/>
        <n v="-311.78996712327989"/>
        <n v="-644.61678177449721"/>
        <n v="241.63826600508855"/>
        <n v="1032.2389923792687"/>
        <n v="-1600.6260408544931"/>
        <n v="-4920.5785747751743"/>
        <n v="-3969.0252543411643"/>
        <n v="1829.8648565781277"/>
        <n v="-4442.6926894515673"/>
        <n v="-1107.2825772924734"/>
        <n v="-1300.387582239694"/>
        <n v="-4584.2784437068767"/>
        <n v="-6215.2201690474631"/>
        <n v="-447.38078517137001"/>
        <n v="1623.4308170226832"/>
        <n v="140.34753920498133"/>
        <n v="947.86964964682966"/>
        <n v="-2682.3039087254147"/>
        <n v="152.73297936975541"/>
        <n v="4070.976462493677"/>
        <n v="-12393.671329288609"/>
        <n v="6890.9094202275628"/>
        <n v="824.25896244385513"/>
        <n v="-299.22838943113766"/>
        <n v="801.55102676666547"/>
        <n v="-2837.314664886535"/>
        <n v="1201.6348067752551"/>
        <n v="-3053.3299630232523"/>
        <n v="287.45392661059032"/>
        <n v="-4154.1881057186329"/>
        <n v="745.08311139572561"/>
        <n v="51.96108815342204"/>
        <n v="1164.1541619820307"/>
        <n v="2321.1069551726105"/>
        <n v="-4247.6001750166415"/>
        <n v="510.81715888750887"/>
        <n v="-615.78844290347479"/>
        <n v="-8041.0611132084159"/>
        <n v="242.33171873095688"/>
        <n v="4304.4675750736988"/>
        <n v="765.39534868140845"/>
        <n v="-237.33707029793129"/>
        <n v="274.52366839573369"/>
        <n v="606.09148422888711"/>
        <n v="-177.85034754832958"/>
        <n v="369.98973209411997"/>
        <n v="1819.3999999999999"/>
        <n v="648.5718420939711"/>
        <n v="-8742.0989199939795"/>
        <n v="-8727.3577979690526"/>
        <n v="-1445.3416376579235"/>
        <n v="-3760.9472854943779"/>
        <n v="1492.3496134564534"/>
        <n v="-8332.4892831526086"/>
        <n v="-167.55549407146384"/>
        <n v="71.219486738927003"/>
        <n v="34.897823525428635"/>
        <n v="-49.686670530102674"/>
        <n v="-450.3935359437055"/>
        <n v="-318.3283968690655"/>
        <n v="35.124250894951274"/>
        <n v="129.96728235201033"/>
        <n v="-52.540567170349505"/>
        <n v="176.63298149984973"/>
        <n v="2182.6036994846691"/>
        <n v="85.686805015994651"/>
        <n v="-4574.3746610710987"/>
        <n v="-3780.7124210488128"/>
        <n v="1268.5972825412655"/>
        <n v="-3461.7974103132728"/>
        <n v="-4868.8848343980462"/>
        <n v="-7069.0767930401344"/>
        <n v="-3743.4940293863892"/>
        <n v="-5530.0525955472513"/>
        <n v="-3695.7344336530623"/>
        <n v="-1467.6725974533347"/>
        <n v="-2792.1461125493497"/>
        <n v="-1631.5456627747926"/>
        <n v="-7529.6859389478541"/>
        <n v="-10973.222053020512"/>
        <n v="-1442.8568764571828"/>
        <n v="-4238.2685105089004"/>
        <n v="808.4863340956299"/>
        <n v="-3008.0708102759563"/>
        <n v="785.18192276920854"/>
        <n v="867.09758401753243"/>
        <n v="-170.73271282574296"/>
        <n v="-3825.1225367636798"/>
        <n v="-3244.6136383624544"/>
        <n v="117.91603864976074"/>
        <n v="-1612.5344009206055"/>
        <n v="1249.3911378680164"/>
        <n v="-2984.6393331980507"/>
        <n v="-5056.3898660821378"/>
        <n v="136.71426998914831"/>
        <n v="-5650.7685212942924"/>
        <n v="-2817.9747055649932"/>
        <n v="565.41381997617327"/>
        <n v="-1595.80917218592"/>
        <n v="-2933.1952206550141"/>
        <n v="524.99"/>
        <n v="-2209.515966334734"/>
        <n v="-2299.1955854743755"/>
        <n v="-8138.4421046588868"/>
        <n v="-5418.3429442852739"/>
        <n v="-1445.8538877750198"/>
        <n v="-1610.7807140735786"/>
        <n v="-1838.8529431548759"/>
        <n v="-6759.054168166931"/>
        <n v="-2761.7070117194962"/>
        <n v="-7866.8466041227148"/>
        <n v="-905.9264454678123"/>
        <n v="-3193.6690756692678"/>
        <n v="-4765.7850857006033"/>
        <n v="1564.5562450136067"/>
        <n v="-602.54174785214309"/>
        <n v="391.0117810094838"/>
        <n v="-4906.0739801147665"/>
        <n v="-308.63971560349182"/>
        <n v="1260.1499528881013"/>
        <n v="-3189.2850873759835"/>
        <n v="-1865.9509793234756"/>
        <n v="-3027.5853547128991"/>
        <n v="16.910914832889581"/>
        <n v="-1324.611823072165"/>
        <n v="-4219.9016572857909"/>
        <n v="-3345.5135613928651"/>
        <n v="1852.4446652522947"/>
        <n v="-9170.2406779124176"/>
        <n v="-126.67568411943739"/>
        <n v="-4947.7560768221192"/>
        <n v="-1431.5828091069034"/>
        <n v="-2844.1323290418413"/>
        <n v="-3187.3212709288073"/>
        <n v="-3298.9837699600084"/>
        <n v="-3546.270814872998"/>
        <n v="-2115.851583279331"/>
        <n v="-7632.8991377865113"/>
        <m/>
        <n v="-386581.89669998729"/>
        <n v="-2322.4786320346557" u="1"/>
        <n v="-21216.976575300949" u="1"/>
        <n v="-6705.6112528029698" u="1"/>
        <n v="-4712.3972859330388" u="1"/>
        <n v="-6269.8237754364782" u="1"/>
        <n v="-190.16302737368142" u="1"/>
        <n v="441.10485336929651" u="1"/>
        <n v="-5735.377918576196" u="1"/>
        <n v="-6837.1732278401723" u="1"/>
        <n v="-526.62118398139683" u="1"/>
        <n v="-2274.8942279555322" u="1"/>
        <n v="-14640.155297501711" u="1"/>
        <n v="-1407.0615585823398" u="1"/>
        <n v="-4896.5223471104709" u="1"/>
        <n v="-10725.504908060648" u="1"/>
        <n v="-547.32894280933215" u="1"/>
        <n v="-4753.8984405343581" u="1"/>
        <n v="-11177.560850171372" u="1"/>
        <n v="-3172.2166655205529" u="1"/>
        <n v="-8856.8461616940767" u="1"/>
        <n v="-848.69780327215449" u="1"/>
        <n v="-1173.4096936916212" u="1"/>
        <n v="-11186.177299969149" u="1"/>
        <n v="-17587.389557915441" u="1"/>
        <n v="-17085.330145581975" u="1"/>
        <n v="1073.3725203667027" u="1"/>
        <n v="16921.546212446054" u="1"/>
        <n v="-9002.7951916132661" u="1"/>
        <n v="3090.7532252078654" u="1"/>
        <n v="-1779.0875907209193" u="1"/>
        <n v="-3115.8813743797091" u="1"/>
        <n v="-3376.299718572518" u="1"/>
        <n v="-497.25119539452498" u="1"/>
        <n v="-3933.9325714319421" u="1"/>
        <n v="-4920.0441326770233" u="1"/>
        <n v="3924.6228466545854" u="1"/>
        <n v="1388.4007023232598" u="1"/>
        <n v="-23669.304640669332" u="1"/>
        <n v="-8846.8125948034649" u="1"/>
        <n v="-7310.7447424058446" u="1"/>
        <n v="-3714.346834267435" u="1"/>
        <n v="-17667.255719015237" u="1"/>
        <n v="-17385.714679109304" u="1"/>
        <n v="-5464.980876886264" u="1"/>
        <n v="-5732.3456825358699" u="1"/>
        <n v="-16277.425595612272" u="1"/>
        <n v="-11550.55017105252" u="1"/>
        <n v="-7275.9733467523547" u="1"/>
        <n v="-18423.221754492166" u="1"/>
        <n v="-6589.3105086763244" u="1"/>
        <n v="-8912.9725554596662" u="1"/>
        <n v="-6592.3305347803544" u="1"/>
        <n v="-2044.1851611616657" u="1"/>
        <n v="-4141.5996189750713" u="1"/>
        <n v="73.52000000000001" u="1"/>
        <n v="16211.659581388967" u="1"/>
        <n v="-6259.9737200922937" u="1"/>
        <n v="-13875.001664073236" u="1"/>
        <n v="-5407.3134105478057" u="1"/>
        <n v="-2511.8817248717733" u="1"/>
        <n v="-1879.2944245830513" u="1"/>
        <n v="-1231.7625597142305" u="1"/>
        <n v="-14983.722593646278" u="1"/>
        <n v="9894.6586270204243" u="1"/>
        <n v="3590.427268039366" u="1"/>
        <n v="-10668.855719212852" u="1"/>
        <n v="-3135.1391650945443" u="1"/>
        <n v="-638.99782284730372" u="1"/>
        <n v="-188.51352183970266" u="1"/>
        <n v="-4055.0093947101359" u="1"/>
        <n v="-783.53790721416226" u="1"/>
        <n v="-3337.7775649927735" u="1"/>
        <n v="-4504.1905641688154" u="1"/>
        <n v="-2616.2016526853167" u="1"/>
        <n v="-45.486852337317032" u="1"/>
        <n v="426.65834444693974" u="1"/>
        <n v="31.83" u="1"/>
        <n v="-8764.8633022926479" u="1"/>
        <n v="-5738.6518976148436" u="1"/>
        <n v="2430.2162110263516" u="1"/>
        <n v="-3369.1385811423897" u="1"/>
        <n v="-2180.165769688334" u="1"/>
        <n v="-5104.8596395165077" u="1"/>
        <n v="-9240.8786061769861" u="1"/>
        <n v="-13645.191873745549" u="1"/>
        <n v="-2743.5860402439866" u="1"/>
        <n v="19265.413428821725" u="1"/>
        <n v="-5520.0246015970042" u="1"/>
        <n v="1032.1423953523226" u="1"/>
        <n v="-8656.2192730309907" u="1"/>
        <n v="-3354.6532049224443" u="1"/>
        <n v="-2145.0345125435488" u="1"/>
        <n v="-46.239518751200194" u="1"/>
        <n v="2913.0492599836653" u="1"/>
        <n v="-9244.0208554308992" u="1"/>
        <n v="-4816.7191200866109" u="1"/>
        <n v="-4855.5863016537878" u="1"/>
        <n v="-10646.833387385526" u="1"/>
        <n v="563.28024835139604" u="1"/>
        <n v="-8729.8481715569105" u="1"/>
        <n v="355.26933059674411" u="1"/>
        <n v="-3954.6819521289362" u="1"/>
        <n v="-1868.8172543480741" u="1"/>
        <n v="23.893374631409898" u="1"/>
        <n v="9271.8426158537768" u="1"/>
        <n v="-3910.5703376665551" u="1"/>
        <n v="1878.9160698233054" u="1"/>
        <n v="-6145.9614395524986" u="1"/>
        <n v="-18377.301248739415" u="1"/>
        <n v="1143.4763281695627" u="1"/>
        <n v="13.810499999999999" u="1"/>
        <n v="236.16005567716581" u="1"/>
        <n v="471.16969278598577" u="1"/>
        <n v="549.64664314624702" u="1"/>
        <n v="-409.16587743927721" u="1"/>
        <n v="417.96401126543446" u="1"/>
        <n v="256.43095943417404" u="1"/>
        <n v="203.69586977489701" u="1"/>
        <n v="3094.6549571535543" u="1"/>
        <n v="-17725.802619471848" u="1"/>
        <n v="-20674.279751905786" u="1"/>
        <n v="-1092.7498047499339" u="1"/>
        <n v="-9286.4035334348082" u="1"/>
        <n v="-134.17597324550479" u="1"/>
        <n v="-17166.610718344935" u="1"/>
        <n v="38.83452769796645" u="1"/>
        <n v="283.6169865016962" u="1"/>
        <n v="-181.05604054982814" u="1"/>
        <n v="71.690663007574813" u="1"/>
        <n v="-402.44971132928276" u="1"/>
        <n v="393.90049999999997" u="1"/>
        <n v="364.03043502843076" u="1"/>
        <n v="103.55822552857228" u="1"/>
        <n v="282.14026110894196" u="1"/>
        <n v="-180.72594541949888" u="1"/>
        <n v="-1120.8063057561485" u="1"/>
        <n v="-1353.6275586627253" u="1"/>
        <n v="-16174.191739016635" u="1"/>
        <n v="-8420.4087766627708" u="1"/>
        <n v="-417.92688032876686" u="1"/>
        <n v="-12929.681726818591" u="1"/>
        <n v="-10090.380241651706" u="1"/>
        <n v="-14454.817088302836" u="1"/>
        <n v="-5570.8001619040515" u="1"/>
        <n v="-13927.07915497986" u="1"/>
        <n v="-10834.723004008636" u="1"/>
        <n v="-7921.4992700654548" u="1"/>
        <n v="-4698.7172861304789" u="1"/>
        <n v="-2747.2710181794537" u="1"/>
        <n v="-1546.3275097620244" u="1"/>
        <n v="-8067.0706516051287" u="1"/>
        <n v="-12865.434752119407" u="1"/>
        <n v="-12427.446261158497" u="1"/>
        <n v="-8514.569436312755" u="1"/>
        <n v="-12027.410297409064" u="1"/>
        <n v="-1832.7704928277035" u="1"/>
        <n v="-630.02572523074559" u="1"/>
        <n v="146.35776309721587" u="1"/>
        <n v="-14912.567229675537" u="1"/>
        <n v="-7451.1945875775527" u="1"/>
        <n v="-4286.1765328978545" u="1"/>
        <n v="3394.9491132069461" u="1"/>
        <n v="-7681.4123045204578" u="1"/>
        <n v="-6905.4196517637174" u="1"/>
        <n v="-8301.6918242696884" u="1"/>
        <n v="-9618.5181791283212" u="1"/>
        <n v="-1294.2228311352155" u="1"/>
        <n v="-1499.2935090326264" u="1"/>
        <n v="-2268.9078660530649" u="1"/>
        <n v="-2659.5985812590334" u="1"/>
        <n v="-5729.0801474604377" u="1"/>
        <n v="-6541.1972395720913" u="1"/>
        <n v="-20661.062630542394" u="1"/>
        <n v="9083.7069181358092" u="1"/>
        <n v="-1084.4849947696221" u="1"/>
        <n v="-4595.4236466581424" u="1"/>
        <n v="-781.06227612274233" u="1"/>
        <n v="-17533.250670195761" u="1"/>
        <n v="-2675.4002547992659" u="1"/>
        <n v="-31941.172942368459" u="1"/>
        <n v="6553.8006812904641" u="1"/>
        <n v="-14004.363787276281" u="1"/>
        <n v="-8715.8086531365916" u="1"/>
        <n v="-1152.5216395332336" u="1"/>
        <n v="437.3957862059051" u="1"/>
        <n v="396.373606758199" u="1"/>
        <n v="-13123.677136108541" u="1"/>
        <n v="-1639.7026318785047" u="1"/>
        <n v="7121.2623824479833" u="1"/>
        <n v="-4686.3633770615634" u="1"/>
        <n v="-7642.5125502295814" u="1"/>
        <n v="-7078.7178863933223" u="1"/>
        <n v="8974.109439183454" u="1"/>
        <n v="-8398.5910052956424" u="1"/>
        <n v="-6371.2131165784122" u="1"/>
        <n v="-1387.1387865531578" u="1"/>
        <n v="-46496.097657415477" u="1"/>
        <n v="-4631.0789818985904" u="1"/>
        <n v="-18166.141752225078" u="1"/>
        <n v="-2231.8081238930718" u="1"/>
        <n v="-97.133181997463907" u="1"/>
        <n v="-6594.6446583282959" u="1"/>
        <n v="-10402.436167819847" u="1"/>
        <n v="-14228.152740836165" u="1"/>
        <n v="17281.730007462727" u="1"/>
        <n v="-15664.965557185227" u="1"/>
        <n v="-1013100.0598999993" u="1"/>
        <n v="-1059.2977019538885" u="1"/>
        <n v="-14814.10461832898" u="1"/>
        <n v="-3833.0499388748649" u="1"/>
        <n v="-2165.4865254416982" u="1"/>
        <n v="-2074.1568263936788" u="1"/>
        <n v="236.83470996764026" u="1"/>
        <n v="970.93859016557553" u="1"/>
        <n v="-3513.2151587939516" u="1"/>
        <n v="-4254.5730451763447" u="1"/>
        <n v="562.88840168280331" u="1"/>
        <n v="-855.42283795317962" u="1"/>
        <n v="-9733.2435762400128" u="1"/>
        <n v="457.65509178582761" u="1"/>
        <n v="-2833.5225384678051" u="1"/>
        <n v="-5917.7308618687166" u="1"/>
        <n v="799.63803882404136" u="1"/>
        <n v="-1742.2017679550227" u="1"/>
        <n v="-6304.1947143843936" u="1"/>
        <n v="-1460.2926561841014" u="1"/>
        <n v="-5566.2004713023307" u="1"/>
        <n v="570.62855203139225" u="1"/>
        <n v="825.8831291507995" u="1"/>
        <n v="-7284.2131179546486" u="1"/>
        <n v="-10438.522888777341" u="1"/>
        <n v="-11466.969899259871" u="1"/>
        <n v="2065.1578323359845" u="1"/>
        <n v="19012.919712233117" u="1"/>
        <n v="-5465.6972244202516" u="1"/>
        <n v="5189.190355595907" u="1"/>
        <n v="-298.80331024787665" u="1"/>
        <n v="-1317.8171325639487" u="1"/>
        <n v="-1389.3950934799577" u="1"/>
        <n v="2641.838222597773" u="1"/>
        <n v="-1107.4408015474728" u="1"/>
        <n v="-1900.3014790790585" u="1"/>
        <n v="4537.5020547454633" u="1"/>
        <n v="2331.1207088034807" u="1"/>
        <n v="-15742.152583821444" u="1"/>
        <n v="-5618.5329046637307" u="1"/>
        <n v="-3784.3851365772534" u="1"/>
        <n v="81.333706138109847" u="1"/>
        <n v="-11156.952332636945" u="1"/>
        <n v="-12067.165046997136" u="1"/>
        <n v="-2088.7386629046596" u="1"/>
        <n v="-3363.4394993981041" u="1"/>
        <n v="-8941.1069166384768" u="1"/>
        <n v="-6907.5298538119168" u="1"/>
        <n v="-4102.631872249025" u="1"/>
        <n v="-12877.777467303415" u="1"/>
        <n v="-4124.1317364482893" u="1"/>
        <n v="-5060.8393032413805" u="1"/>
        <n v="-4267.0894010387019" u="1"/>
        <n v="-244.34802949847472" u="1"/>
        <n v="-1999.4286566924748" u="1"/>
        <n v="17662.616780503722" u="1"/>
        <n v="-3628.089636389217" u="1"/>
        <n v="-9331.2775697513425" u="1"/>
        <n v="-1425.6382499265601" u="1"/>
        <n v="-864.06451089579787" u="1"/>
        <n v="5012.9885619787165" u="1"/>
        <n v="-162.91935095494046" u="1"/>
        <n v="-9599.0648823320298" u="1"/>
        <n v="12125.722975043293" u="1"/>
        <n v="4933.8666567280507" u="1"/>
        <n v="-8490.9423538619194" u="1"/>
        <n v="-1436.212622522271" u="1"/>
        <n v="415.07342577218878" u="1"/>
        <n v="1196.881772689283" u="1"/>
        <n v="-2037.2524750348784" u="1"/>
        <n v="-101.7748561060489" u="1"/>
        <n v="-1987.6848152564289" u="1"/>
        <n v="-3083.9277564222284" u="1"/>
        <n v="-1594.1497126692557" u="1"/>
        <n v="563.01038039235664" u="1"/>
        <n v="3485.7218879497632" u="1"/>
        <n v="-5025.422913539689" u="1"/>
        <n v="-3895.0115069242056" u="1"/>
        <n v="3487.6390109735012" u="1"/>
        <n v="-544.35713127161944" u="1"/>
        <n v="-765.91413006806033" u="1"/>
        <n v="-2910.2675497138916" u="1"/>
        <n v="-5546.0726762007907" u="1"/>
        <n v="-8677.3049833421319" u="1"/>
        <n v="163.36129329688993" u="1"/>
        <n v="23671.525701667131" u="1"/>
        <n v="-2829.1075760181411" u="1"/>
        <n v="2602.0271691785874" u="1"/>
        <n v="-5358.3090033567423" u="1"/>
        <n v="-1510.880591643172" u="1"/>
        <n v="550.80257285023981" u="1"/>
        <n v="994.57742461368434" u="1"/>
        <n v="3369.8143801451542" u="1"/>
        <n v="-4766.6009890033311" u="1"/>
        <n v="-2760.9101284267272" u="1"/>
        <n v="-3305.933920688396" u="1"/>
        <n v="-6460.9931979231333" u="1"/>
        <n v="1705.5292900969816" u="1"/>
        <n v="-5363.6657364023558" u="1"/>
        <n v="1571.6428035510544" u="1"/>
        <n v="615.29336627240991" u="1"/>
        <n v="-156.96594366448517" u="1"/>
        <n v="34.902144042000756" u="1"/>
        <n v="14488.805405079591" u="1"/>
        <n v="-1488.916551879207" u="1"/>
        <n v="2785.144285658741" u="1"/>
        <n v="-2937.419135518634" u="1"/>
        <n v="-11287.500446183047" u="1"/>
        <n v="1216.8573669023767" u="1"/>
        <n v="314.0949615537869" u="1"/>
        <n v="484.47313530342296" u="1"/>
        <n v="608.32055585151909" u="1"/>
        <n v="-35.636049251311306" u="1"/>
        <n v="433.24584504277794" u="1"/>
        <n v="370.1802176444063" u="1"/>
        <n v="162.60831074541142" u="1"/>
        <n v="4680.1395307116254" u="1"/>
        <n v="-11431.572820202622" u="1"/>
        <n v="-13529.788079960512" u="1"/>
        <n v="271.00729417227558" u="1"/>
        <n v="-6007.0235718130534" u="1"/>
        <n v="781.92629416694399" u="1"/>
        <n v="-12286.057045153022" u="1"/>
        <n v="170.15391091109223" u="1"/>
        <n v="351.83410825584156" u="1"/>
        <n v="211.83159684961356" u="1"/>
        <n v="182.65551124281797" u="1"/>
        <n v="-198.87927721147366" u="1"/>
        <n v="393.90050000000002" u="1"/>
        <n v="416.86644929617302" u="1"/>
        <n v="212.12926393273506" u="1"/>
        <n v="332.86833676121364" u="1"/>
        <n v="-17.483852078934888" u="1"/>
        <n v="-2989.220395138309" u="1"/>
        <n v="558.851359427641" u="1"/>
        <n v="-9904.161284236834" u="1"/>
        <n v="-5587.5570591695614" u="1"/>
        <n v="1844.490433757197" u="1"/>
        <n v="-9061.7336248078464" u="1"/>
        <n v="-6699.8386893531424" u="1"/>
        <n v="-9685.1983281327848" u="1"/>
        <n v="-3118.8132540238657" u="1"/>
        <n v="-8936.4320423773024" u="1"/>
        <n v="-4998.5150559244503" u="1"/>
        <n v="-2431.5581964560988" u="1"/>
        <n v="-2365.6967599571108" u="1"/>
        <n v="-1217.0756314973387" u="1"/>
        <n v="2191.1827144475756" u="1"/>
        <n v="-60.452673946056166" u="1"/>
        <n v="-6881.066731959123" u="1"/>
        <n v="-7521.3135323114475" u="1"/>
        <n v="-5834.9992345207975" u="1"/>
        <n v="-4096.6043868957531" u="1"/>
        <n v="-33.220489417342833" u="1"/>
        <n v="1246.3290592432768" u="1"/>
        <n v="1063.2937121016375" u="1"/>
        <n v="-9378.6683217498285" u="1"/>
        <n v="-4610.9510721883635" u="1"/>
        <n v="-2958.6190279290968" u="1"/>
        <n v="4325.4237882540219" u="1"/>
        <n v="-5211.6181589618282" u="1"/>
        <n v="-3698.7152086742863" u="1"/>
        <n v="-4487.3399297884898" u="1"/>
        <n v="-5681.909285686459" u="1"/>
        <n v="337.02938802625067" u="1"/>
        <n v="-150.63418462943082" u="1"/>
        <n v="-735.55037805741085" u="1"/>
        <n v="-882.23966032827593" u="1"/>
        <n v="-3579.7465064898861" u="1"/>
        <n v="-3710.8021998870972" u="1"/>
        <n v="-14151.590422204266" u="1"/>
        <n v="12490.027833099062" u="1"/>
        <n v="357.91012090838922" u="1"/>
        <n v="-2635.6318076780371" u="1"/>
        <n v="646.02152986662441" u="1"/>
        <n v="-12375.976367758456" u="1"/>
        <n v="-530.26690702119595" u="1"/>
        <n v="-22197.170125680423" u="1"/>
        <n v="12350.157793526239" u="1"/>
        <n v="-9747.702378405178" u="1"/>
        <n v="-4254.4284824687857" u="1"/>
        <n v="97.474517178901806" u="1"/>
        <n v="1630.80347914304" u="1"/>
        <n v="720.89119899030038" u="1"/>
        <n v="-8249.6978642990944" u="1"/>
        <n v="201.46691516135797" u="1"/>
        <n v="9061.2600591409064" u="1"/>
        <n v="-2379.0853052666826" u="1"/>
        <n v="-4239.4182806066128" u="1"/>
        <n v="-3956.0484365746888" u="1"/>
        <n v="11038.204981389888" u="1"/>
        <n v="-5498.2005954850465" u="1"/>
        <n v="-2981.4492029622888" u="1"/>
        <n v="1170.1953346667178" u="1"/>
        <n v="-33156.984557248317" u="1"/>
        <n v="-2220.0570960922341" u="1"/>
        <n v="-12598.622086386938" u="1"/>
        <n v="291.66025414039905" u="1"/>
        <n v="1873.5201193579214" u="1"/>
        <n v="-3040.3076262246359" u="1"/>
        <n v="-5818.913718953816" u="1"/>
        <n v="-9068.7650042745736" u="1"/>
        <n v="19199.036276686609" u="1"/>
        <n v="-12132.266092169757" u="1"/>
        <n v="-443595.96989998984" u="1"/>
        <n v="-4143.1188375872607" u="1"/>
        <n v="-19772.978918640227" u="1"/>
        <n v="-7233.4199203431144" u="1"/>
        <n v="-2362.0086904253894" u="1"/>
        <n v="-5846.3827836150613" u="1"/>
        <n v="-116.7249064811167" u="1"/>
        <n v="-1058.1046909188462" u="1"/>
        <n v="11.2766" u="1"/>
        <n v="-3827.2690999928691" u="1"/>
        <n v="-2118.5815884516433" u="1"/>
        <n v="126.50197743055196" u="1"/>
        <n v="-822.68413658507779" u="1"/>
        <n v="-7812.8021355732344" u="1"/>
        <n v="-2848.7110977739812" u="1"/>
        <n v="-1860.6660182577552" u="1"/>
        <n v="-3206.7716155531816" u="1"/>
        <n v="-2666.0202896680748" u="1"/>
        <n v="-3143.2781581000199" u="1"/>
        <n v="-4994.6892476242592" u="1"/>
        <n v="-2849.8727620122118" u="1"/>
        <n v="-7245.2485510982133" u="1"/>
        <n v="-2733.5404767675436" u="1"/>
        <n v="-3212.7835892161511" u="1"/>
        <n v="-6358.4142197514411" u="1"/>
        <n v="-8569.9519492241561" u="1"/>
        <n v="-13444.644544234463" u="1"/>
        <n v="-512.39998487352477" u="1"/>
        <n v="-3588.5532197150042" u="1"/>
        <n v="-8433.3685488991905" u="1"/>
        <n v="-1054.6294074604957" u="1"/>
        <n v="-4142.0224743529943" u="1"/>
        <n v="-4117.1208637405853" u="1"/>
        <n v="-1590.6141069274036" u="1"/>
        <n v="-4266.8525450291763" u="1"/>
        <n v="-2058.1356440439758" u="1"/>
        <n v="508.14681527485163" u="1"/>
        <n v="-5804.1320004781483" u="1"/>
        <n v="-16612.119570265371" u="1"/>
        <n v="-6232.982020222551" u="1"/>
        <n v="-6962.0988025421939" u="1"/>
        <n v="-5289.4248923899759" u="1"/>
        <n v="-11166.876635213728" u="1"/>
        <n v="-14560.971200674005" u="1"/>
        <n v="-5507.8280120274103" u="1"/>
        <n v="-4377.4901014681764" u="1"/>
        <n v="-18132.911350601993" u="1"/>
        <n v="-9425.6373311050083" u="1"/>
        <n v="-5972.4937478300544" u="1"/>
        <n v="-13128.726500967809" u="1"/>
        <n v="-7333.8147477529001" u="1"/>
        <n v="-6970.9469098518784" u="1"/>
        <n v="-7353.0252034251316" u="1"/>
        <n v="-2508.3027974222186" u="1"/>
        <n v="-4269.1891607306934" u="1"/>
        <n v="79.4696" u="1"/>
        <n v="-889.78958824163055" u="1"/>
        <n v="-4864.187220138032" u="1"/>
        <n v="-9896.8092008804815" u="1"/>
        <n v="-6792.0172395676746" u="1"/>
        <n v="-1098.0553046697298" u="1"/>
        <n v="-10812.274894616523" u="1"/>
        <n v="-1180.5445175215773" u="1"/>
        <n v="-12238.821633545835" u="1"/>
        <n v="-2986.9070825978233" u="1"/>
        <n v="-949.8994850717927" u="1"/>
        <n v="-4206.2971212546445" u="1"/>
        <n v="-2121.2766687334142" u="1"/>
        <n v="-427.82786955675328" u="1"/>
        <n v="-2796.528925239465" u="1"/>
        <n v="-3541.7043307429121" u="1"/>
        <n v="-1093.428411735028" u="1"/>
        <n v="-4045.7989652294373" u="1"/>
        <n v="-3235.0828949125425" u="1"/>
        <n v="-2067.2853503700971" u="1"/>
        <n v="539.07230860954269" u="1"/>
        <n v="-3256.6743320663118" u="1"/>
        <n v="-7499.8257189470769" u="1"/>
        <n v="-3946.5228828211602" u="1"/>
        <n v="84.354635282881645" u="1"/>
        <n v="-5701.9970637620409" u="1"/>
        <n v="-2811.0787124177095" u="1"/>
        <n v="-5299.2802373015584" u="1"/>
        <n v="-6136.1873929946833" u="1"/>
        <n v="-7744.1109608671177" u="1"/>
        <n v="-2331.469545078151" u="1"/>
        <n v="-6297.3228963149159" u="1"/>
        <n v="-2452.0680844208036" u="1"/>
        <n v="-1053.6272562346385" u="1"/>
        <n v="-549.08906716886486" u="1"/>
        <n v="389.64591083837786" u="1"/>
        <n v="-1813.9838309857732" u="1"/>
        <n v="728.74042497846767" u="1"/>
        <n v="704.8701536279741" u="1"/>
        <n v="-1885.8783598039499" u="1"/>
        <n v="-3930.5912741621905" u="1"/>
        <n v="-1774.9466975822916" u="1"/>
        <n v="-7633.4718409495326" u="1"/>
        <n v="-1347.764961318001" u="1"/>
        <n v="-5796.7789584286584" u="1"/>
        <n v="-873.48241584874177" u="1"/>
        <n v="-9873.0152803543206" u="1"/>
        <n v="-2850.1522959658596" u="1"/>
        <n v="-13.735633267595674" u="1"/>
        <n v="-4847.9679465587069" u="1"/>
        <n v="-5106.6016571745386" u="1"/>
        <n v="-2293.4751421762521" u="1"/>
        <n v="-4776.4381365465215" u="1"/>
        <n v="-15696.894346342931" u="1"/>
        <n v="735.84438900452471" u="1"/>
        <n v="4.0796000000000001" u="1"/>
        <n v="842.69566875614441" u="1"/>
        <n v="335.48843124981488" u="1"/>
        <n v="1153.713024128095" u="1"/>
        <n v="-1267.9939347750501" u="1"/>
        <n v="-162.08883082973904" u="1"/>
        <n v="1066.0538237778519" u="1"/>
        <n v="-4049.191115294956" u="1"/>
        <n v="-15943.588572986668" u="1"/>
        <n v="-11734.429538818407" u="1"/>
        <n v="-2288.8917910154423" u="1"/>
        <n v="-6993.4413768516388" u="1"/>
        <n v="281.04575147684545" u="1"/>
        <n v="-11588.924184202453" u="1"/>
        <n v="1093.3842962323079" u="1"/>
        <n v="77.444585496665013" u="1"/>
        <n v="-91.717312007845749" u="1"/>
        <n v="-13.993029145088258" u="1"/>
        <n v="-787.41937346012776" u="1"/>
        <n v="253.9771026982873" u="1"/>
        <n v="-114.55906111441766" u="1"/>
        <n v="132.08075241166705" u="1"/>
        <n v="232.60890257492605" u="1"/>
        <n v="-7369.172977610795" u="1"/>
        <n v="-2245.5759888744597" u="1"/>
        <n v="-9166.3698830024368" u="1"/>
        <n v="-3128.5975091580458" u="1"/>
        <n v="2908.084706460244" u="1"/>
        <n v="-8582.010462099739" u="1"/>
        <n v="-7473.4918740288249" u="1"/>
        <n v="-12377.676732258904" u="1"/>
        <n v="-5787.1618876328375" u="1"/>
        <n v="-11823.201969900678" u="1"/>
        <n v="-14269.794824473305" u="1"/>
        <n v="-5902.4255096420784" u="1"/>
        <n v="-4666.807754343261" u="1"/>
        <n v="-3465.0508938746398" u="1"/>
        <n v="-11480.67318708403" u="1"/>
        <n v="-17793.114108968552" u="1"/>
        <n v="-806.48935693149906" u="1"/>
        <n v="-7786.6859806287903" u="1"/>
        <n v="-1308.1749419343123" u="1"/>
        <n v="-6331.798523220039" u="1"/>
        <n v="-1601.6382549778364" u="1"/>
        <n v="-826.46380509236769" u="1"/>
        <n v="-3300.6537025133339" u="1"/>
        <n v="-8392.2817920875859" u="1"/>
        <n v="-7372.6140970071338" u="1"/>
        <n v="177.32" u="1"/>
        <n v="-4571.304557906722" u="1"/>
        <n v="2870.0957424647022" u="1"/>
        <n v="-4414.2454888709944" u="1"/>
        <n v="-5008.7547880767725" u="1"/>
        <n v="-3918.9185894979346" u="1"/>
        <n v="-8646.0423455998534" u="1"/>
        <n v="86.25" u="1"/>
        <n v="-4216.5847666987502" u="1"/>
        <n v="-1035.5706512551669" u="1"/>
        <n v="-3048.5336695024716" u="1"/>
        <n v="-2857.0568384221906" u="1"/>
        <n v="-5831.6709709990882" u="1"/>
        <n v="-5518.799981906368" u="1"/>
        <n v="-15624.390375844509" u="1"/>
        <n v="-9454.6264215718911" u="1"/>
        <n v="-290.82726948862091" u="1"/>
        <n v="-7082.2433111442551" u="1"/>
        <n v="-1451.160539235826" u="1"/>
        <n v="-13588.969158773143" u="1"/>
        <n v="-4883.774259949676" u="1"/>
        <n v="-15707.371426335092" u="1"/>
        <n v="-7539.2080778107738" u="1"/>
        <n v="-9933.2229204926953" u="1"/>
        <n v="-6522.1959969870168" u="1"/>
        <n v="968.79265730156294" u="1"/>
        <n v="-1789.1108795415266" u="1"/>
        <n v="162.43762480549867" u="1"/>
        <n v="-9727.3840678828783" u="1"/>
        <n v="-605.93797230874407" u="1"/>
        <n v="-4098.5919726793272" u="1"/>
        <n v="-3122.6584901199058" u="1"/>
        <n v="-45.989306808200126" u="1"/>
        <n v="-2072.6625209864105" u="1"/>
        <n v="-4711.0201753685415" u="1"/>
        <n v="-6463.4934967022928" u="1"/>
        <n v="-3785.3933015998446" u="1"/>
        <n v="-3796.9120320904167" u="1"/>
        <n v="-12702.832802782403" u="1"/>
        <n v="-3965.3449414028873" u="1"/>
        <n v="-13162.60862483547" u="1"/>
        <n v="-1671.8720662846481" u="1"/>
        <n v="-2103.7442032337276" u="1"/>
        <n v="-8088.6532723098171" u="1"/>
        <n v="-10101.985242845905" u="1"/>
        <n v="-7147.1953674922515" u="1"/>
        <n v="-3737.6098068230185" u="1"/>
        <n v="-12578.50555617467" u="1"/>
        <n v="-958803.4196000013" u="1"/>
        <n v="-4177.53193023517" u="1"/>
        <n v="-22527.497890194656" u="1"/>
        <n v="-7192.6124915742803" u="1"/>
        <n v="-2281.0538214347271" u="1"/>
        <n v="-5689.8464227771929" u="1"/>
        <n v="-90.495787599277264" u="1"/>
        <n v="-1037.0439841111497" u="1"/>
        <n v="-3692.4777129510621" u="1"/>
        <n v="-2013.8557683937961" u="1"/>
        <n v="189.62284263678339" u="1"/>
        <n v="-772.13379844652172" u="1"/>
        <n v="-7682.475224928392" u="1"/>
        <n v="-2785.6309965317014" u="1"/>
        <n v="-1789.1498140485337" u="1"/>
        <n v="-2936.0926465211523" u="1"/>
        <n v="-2593.4104157239217" u="1"/>
        <n v="-3007.9864861604892" u="1"/>
        <n v="-4829.4256319887991" u="1"/>
        <n v="-2764.3003864321927" u="1"/>
        <n v="-7048.2019896457168" u="1"/>
        <n v="-2649.9528448969213" u="1"/>
        <n v="-3120.9866757847212" u="1"/>
        <n v="-6262.2165230261216" u="1"/>
        <n v="-8329.1342431669218" u="1"/>
        <n v="-13344.497297702786" u="1"/>
        <n v="-457.85130070571449" u="1"/>
        <n v="-3495.287481980853" u="1"/>
        <n v="-8298.4938829269486" u="1"/>
        <n v="-989.05264010230439" u="1"/>
        <n v="-4020.9512421069485" u="1"/>
        <n v="-3954.3626686782245" u="1"/>
        <n v="-1462.0643419151838" u="1"/>
        <n v="-4200.3507235519264" u="1"/>
        <n v="-1931.9752645169883" u="1"/>
        <n v="545.70962262063949" u="1"/>
        <n v="-5715.0030269571362" u="1"/>
        <n v="-16328.827866478408" u="1"/>
        <n v="-6126.5707774810853" u="1"/>
        <n v="-6811.4718935838428" u="1"/>
        <n v="-5121.5989508436305" u="1"/>
        <n v="-11020.740570121121" u="1"/>
        <n v="-14443.733847432428" u="1"/>
        <n v="-5383.0733480686631" u="1"/>
        <n v="-4273.8003306176652" u="1"/>
        <n v="-18001.576906367627" u="1"/>
        <n v="-9185.4348060336779" u="1"/>
        <n v="-5782.3587355614509" u="1"/>
        <n v="-12966.073395861094" u="1"/>
        <n v="-7234.6764738044676" u="1"/>
        <n v="-6823.0633285388867" u="1"/>
        <n v="-7252.2302656405573" u="1"/>
        <n v="-2418.3179566792787" u="1"/>
        <n v="-4200.4405268900482" u="1"/>
        <n v="-854.36772770914376" u="1"/>
        <n v="-4791.1941137827343" u="1"/>
        <n v="-9788.1163357173536" u="1"/>
        <n v="-6642.1750403961087" u="1"/>
        <n v="-1106.1384502347146" u="1"/>
        <n v="-10693.00511039175" u="1"/>
        <n v="-1142.9471304887184" u="1"/>
        <n v="-12186.738743242957" u="1"/>
        <n v="-4408.0574299222553" u="1"/>
        <n v="-914.10044699486843" u="1"/>
        <n v="-4160.7622070360949" u="1"/>
        <n v="-2048.8936987078787" u="1"/>
        <n v="-374.32229582681066" u="1"/>
        <n v="-2767.3530178633036" u="1"/>
        <n v="-3460.6240056926099" u="1"/>
        <n v="-1071.9264770520031" u="1"/>
        <n v="-4044.806229351293" u="1"/>
        <n v="-3184.3527021959353" u="1"/>
        <n v="-2038.7138294713723" u="1"/>
        <n v="554.22913049241333" u="1"/>
        <n v="-3142.7003603411649" u="1"/>
        <n v="-7385.1518892882141" u="1"/>
        <n v="-3894.044720656424" u="1"/>
        <n v="142.32634080961634" u="1"/>
        <n v="-5520.6276986747453" u="1"/>
        <n v="-2768.3527967690352" u="1"/>
        <n v="-5187.8365782433902" u="1"/>
        <n v="-6003.5118366657061" u="1"/>
        <n v="-7605.0012880134891" u="1"/>
        <n v="-2238.8614667851907" u="1"/>
        <n v="-6130.0688943546375" u="1"/>
        <n v="-2335.667194204656" u="1"/>
        <n v="-1020.0931982516131" u="1"/>
        <n v="-420.91255993520645" u="1"/>
        <n v="500.47497983511585" u="1"/>
        <n v="-1737.3488569098063" u="1"/>
        <n v="782.61161170259766" u="1"/>
        <n v="724.09826950159459" u="1"/>
        <n v="61012.045946590559" u="1"/>
        <n v="-3878.5496124440106" u="1"/>
        <n v="-1725.2324899628102" u="1"/>
        <n v="-7467.101815637956" u="1"/>
        <n v="-1326.2212805174904" u="1"/>
        <n v="-5650.5853806810283" u="1"/>
        <n v="-847.0849408856302" u="1"/>
        <n v="-9699.0219923999284" u="1"/>
        <n v="-2791.3383815242869" u="1"/>
        <n v="-12.660277167052229" u="1"/>
        <n v="-4713.5201008166041" u="1"/>
        <n v="-4979.5716131996614" u="1"/>
        <n v="-2262.3489721771302" u="1"/>
        <n v="-4648.4868508369855" u="1"/>
        <n v="-15468.745660463177" u="1"/>
        <n v="748.24343667126436" u="1"/>
        <n v="843.10421601062433" u="1"/>
        <n v="342.50011299943606" u="1"/>
        <n v="1160.7881702588702" u="1"/>
        <n v="-1225.2719157816618" u="1"/>
        <n v="-161.76857457048993" u="1"/>
        <n v="1067.9515225997443" u="1"/>
        <n v="-3988.5050350567199" u="1"/>
        <n v="-15762.617236927923" u="1"/>
        <n v="-11517.282355302574" u="1"/>
        <n v="-2215.3340405089984" u="1"/>
        <n v="-6872.7466195650759" u="1"/>
        <n v="324.13996597588994" u="1"/>
        <n v="-11392.909240627901" u="1"/>
        <n v="1100.3842164722043" u="1"/>
        <n v="83.378956091928046" u="1"/>
        <n v="-65.954511768465863" u="1"/>
        <n v="-3.430812442533977" u="1"/>
        <n v="-761.97259332057092" u="1"/>
        <n v="261.30068697419637" u="1"/>
        <n v="-112.34035259018265" u="1"/>
        <n v="144.42344466869099" u="1"/>
        <n v="245.3759501165124" u="1"/>
        <n v="-7218.1709111491327" u="1"/>
        <n v="-2196.1615556580255" u="1"/>
        <n v="-8940.1044425501568" u="1"/>
        <n v="-3039.2629631686159" u="1"/>
        <n v="3004.1601700499305" u="1"/>
        <n v="-8425.4365411942435" u="1"/>
        <n v="-7337.2769523630723" u="1"/>
        <n v="-12176.908130867534" u="1"/>
        <n v="-5667.2478097398016" u="1"/>
        <n v="-11615.723026991109" u="1"/>
        <n v="-16251.165276968713" u="1"/>
        <n v="-5710.5257543464322" u="1"/>
        <n v="-4633.3328735071045" u="1"/>
        <n v="-3423.3400730389012" u="1"/>
        <n v="-11349.792826999317" u="1"/>
        <n v="-17570.209242769768" u="1"/>
        <n v="-618.15399800679006" u="1"/>
        <n v="-7634.4072669506386" u="1"/>
        <n v="-1229.1070388710523" u="1"/>
        <n v="-6241.3402501515411" u="1"/>
        <n v="-1551.9232231041779" u="1"/>
        <n v="-736.58791048953299" u="1"/>
        <n v="-3284.267888195106" u="1"/>
        <n v="-8175.1836317877533" u="1"/>
        <n v="-7242.2712316459347" u="1"/>
        <n v="-4535.4320230741278" u="1"/>
        <n v="2914.5304319433603" u="1"/>
        <n v="-4277.7791690310023" u="1"/>
        <n v="-4894.0723023400969" u="1"/>
        <n v="-3836.6454746502095" u="1"/>
        <n v="-8470.6653436367633" u="1"/>
        <n v="-4126.5868893400966" u="1"/>
        <n v="-966.25879920452553" u="1"/>
        <n v="-2982.0168292271374" u="1"/>
        <n v="-2788.7770876835575" u="1"/>
        <n v="-5762.531664252856" u="1"/>
        <n v="-5451.32440119079" u="1"/>
        <n v="-15470.662541633814" u="1"/>
        <n v="-9304.8475669830914" u="1"/>
        <n v="-207.4533831874287" u="1"/>
        <n v="-6930.3911787372017" u="1"/>
        <n v="-1394.8205733126842" u="1"/>
        <n v="-13371.718386533099" u="1"/>
        <n v="-4797.9881816043981" u="1"/>
        <n v="-15339.508061625289" u="1"/>
        <n v="-7405.8950240102131" u="1"/>
        <n v="-9762.5089246333191" u="1"/>
        <n v="-6418.3827881019206" u="1"/>
        <n v="1000.1856344668731" u="1"/>
        <n v="-1729.3446774829081" u="1"/>
        <n v="165.33648154817297" u="1"/>
        <n v="-9547.5255749526659" u="1"/>
        <n v="-496.0993983115477" u="1"/>
        <n v="-4030.9825946302335" u="1"/>
        <n v="-3026.9208851282829" u="1"/>
        <n v="-3.317646827936187" u="1"/>
        <n v="-1951.2970764837537" u="1"/>
        <n v="-4627.6690961682161" u="1"/>
        <n v="-6351.9133849613027" u="1"/>
        <n v="-3660.1549733177399" u="1"/>
        <n v="-3690.5804921156268" u="1"/>
        <n v="-12388.46958936131" u="1"/>
        <n v="-3856.0936484032172" u="1"/>
        <n v="-12978.103644024319" u="1"/>
        <n v="-1562.4364170939498" u="1"/>
        <n v="-2032.3778426076715" u="1"/>
        <n v="-7961.928101357269" u="1"/>
        <n v="-9961.6625299266052" u="1"/>
        <n v="-7003.4263350346446" u="1"/>
        <n v="-3665.3020766105692" u="1"/>
        <n v="-12454.951915658885" u="1"/>
        <n v="-882643.62450000038" u="1"/>
        <n v="-4177.531054949709" u="1"/>
        <n v="-22527.494701186359" u="1"/>
        <n v="-7192.6108548327247" u="1"/>
        <n v="-2281.0525268168949" u="1"/>
        <n v="-5689.8446249534045" u="1"/>
        <n v="-90.495491876769847" u="1"/>
        <n v="-1037.0435997158261" u="1"/>
        <n v="-3692.476575809691" u="1"/>
        <n v="-2013.8546764136627" u="1"/>
        <n v="189.62340168847732" u="1"/>
        <n v="-772.13312097881953" u="1"/>
        <n v="-7682.472612820482" u="1"/>
        <n v="-2785.6298621524002" u="1"/>
        <n v="-1789.1488980953609" u="1"/>
        <n v="-2936.0903805896851" u="1"/>
        <n v="-2593.4096245207675" u="1"/>
        <n v="-3007.9847407019242" u="1"/>
        <n v="-4829.4237266367491" u="1"/>
        <n v="-2764.2994265595771" u="1"/>
        <n v="-7048.2002542748323" u="1"/>
        <n v="-2649.951876636309" u="1"/>
        <n v="-3120.9854140898733" u="1"/>
        <n v="-6262.2149046774084" u="1"/>
        <n v="-8329.1312376504357" u="1"/>
        <n v="-13344.494489481196" u="1"/>
        <n v="-457.85062934774942" u="1"/>
        <n v="-3495.2862445585615" u="1"/>
        <n v="-8298.491867121902" u="1"/>
        <n v="-989.05187957379439" u="1"/>
        <n v="-4020.9498808420649" u="1"/>
        <n v="-3954.3613535212589" u="1"/>
        <n v="-1462.0627068067079" u="1"/>
        <n v="-4200.3493392225137" u="1"/>
        <n v="-1931.9739183728816" u="1"/>
        <n v="545.70992030401931" u="1"/>
        <n v="-5715.001800103435" u="1"/>
        <n v="-16328.82411263683" u="1"/>
        <n v="-6126.569196088758" u="1"/>
        <n v="-6811.4698990480683" u="1"/>
        <n v="-5121.5968884240483" u="1"/>
        <n v="-11020.737618271971" u="1"/>
        <n v="-14443.730866549718" u="1"/>
        <n v="-5383.0718733968515" u="1"/>
        <n v="-4273.799000647321" u="1"/>
        <n v="-18001.572844224193" u="1"/>
        <n v="-9185.4325279430122" u="1"/>
        <n v="-5782.3571659082299" u="1"/>
        <n v="-12966.070623339252" u="1"/>
        <n v="-7234.6750730095664" u="1"/>
        <n v="-6823.0614130832619" u="1"/>
        <n v="-7252.2287983679289" u="1"/>
        <n v="-2418.3169727485683" u="1"/>
        <n v="-4200.4393474331737" u="1"/>
        <n v="-854.36713760411749" u="1"/>
        <n v="-4791.1927827784675" u="1"/>
        <n v="-9788.1140147075785" u="1"/>
        <n v="-6642.1729036428369" u="1"/>
        <n v="-1106.1382446426201" u="1"/>
        <n v="-10693.002365244698" u="1"/>
        <n v="-1142.9464741549582" u="1"/>
        <n v="-12186.735739098021" u="1"/>
        <n v="-4408.0560538549435" u="1"/>
        <n v="-914.09970734060516" u="1"/>
        <n v="-4160.761593023487" u="1"/>
        <n v="-2048.8928632663137" u="1"/>
        <n v="-374.32170466526532" u="1"/>
        <n v="-2767.3521151491523" u="1"/>
        <n v="-3460.6231566229235" u="1"/>
        <n v="-1071.9260264822751" u="1"/>
        <n v="-4044.8054448038538" u="1"/>
        <n v="-3184.3517836694691" u="1"/>
        <n v="-2038.7132373822715" u="1"/>
        <n v="554.22947723239122" u="1"/>
        <n v="-3142.6990322427082" u="1"/>
        <n v="-7385.1500570019962" u="1"/>
        <n v="-3894.0437536989521" u="1"/>
        <n v="142.32719529002588" u="1"/>
        <n v="-5520.6259249942923" u="1"/>
        <n v="-2768.351921022685" u="1"/>
        <n v="-5187.83531116616" u="1"/>
        <n v="-6003.5100290966093" u="1"/>
        <n v="-7604.9986097541114" u="1"/>
        <n v="-2238.8599106486963" u="1"/>
        <n v="-6130.0668468336953" u="1"/>
        <n v="-2335.6659189679613" u="1"/>
        <n v="-1020.092443886203" u="1"/>
        <n v="-420.91098224146845" u="1"/>
        <n v="500.47595500599436" u="1"/>
        <n v="-1737.3474972419117" u="1"/>
        <n v="782.61225488635591" u="1"/>
        <n v="724.09856248724282" u="1"/>
        <n v="61012.038619973355" u="1"/>
        <n v="-3878.5484725045226" u="1"/>
        <n v="-1725.2319283647075" u="1"/>
        <n v="-7467.0998394875569" u="1"/>
        <n v="-1326.2206560251379" u="1"/>
        <n v="-5650.5837233037364" u="1"/>
        <n v="-847.08422274390159" u="1"/>
        <n v="-9699.0190966150949" u="1"/>
        <n v="-2791.3375900146248" u="1"/>
        <n v="-12.660261963249425" u="1"/>
        <n v="-4713.517965924173" u="1"/>
        <n v="-4979.570234134464" u="1"/>
        <n v="-2262.3482313035338" u="1"/>
        <n v="-4648.485240668284" u="1"/>
        <n v="-15468.742067887841" u="1"/>
        <n v="748.24346099357024" u="1"/>
        <n v="843.10427323629779" u="1"/>
        <n v="342.50018268975646" u="1"/>
        <n v="1160.788232708891" u="1"/>
        <n v="-1225.2714848396313" u="1"/>
        <n v="-161.76853353275129" u="1"/>
        <n v="1067.9515609475052" u="1"/>
        <n v="-3988.5039636246402" u="1"/>
        <n v="-15762.61382802984" u="1"/>
        <n v="-11517.27950190744" u="1"/>
        <n v="-2215.3331873095131" u="1"/>
        <n v="-6872.7448294933165" u="1"/>
        <n v="324.14032308548576" u="1"/>
        <n v="-11392.906798132499" u="1"/>
        <n v="1100.3842856149129" u="1"/>
        <n v="83.379005236883529" u="1"/>
        <n v="-65.954291408895415" u="1"/>
        <n v="-3.4307505339814384" u="1"/>
        <n v="-761.97246906536679" u="1"/>
        <n v="261.30070995940844" u="1"/>
        <n v="-112.34027099297714" u="1"/>
        <n v="144.4234848383058" u="1"/>
        <n v="245.37598662385676" u="1"/>
        <n v="-7218.169068263127" u="1"/>
        <n v="-2196.1606053591813" u="1"/>
        <n v="-8940.1014853612396" u="1"/>
        <n v="-3039.2618806079281" u="1"/>
        <n v="3004.1613584790011" u="1"/>
        <n v="-8425.4347375030629" u="1"/>
        <n v="-7337.2751553797298" u="1"/>
        <n v="-12176.904877886751" u="1"/>
        <n v="-5667.2462010801573" u="1"/>
        <n v="-11615.72050726286" u="1"/>
        <n v="-16251.162155942242" u="1"/>
        <n v="-5710.5231155662768" u="1"/>
        <n v="-4633.3315771853977" u="1"/>
        <n v="-3423.339215528109" u="1"/>
        <n v="-11349.790612046112" u="1"/>
        <n v="-17570.205652065542" u="1"/>
        <n v="-618.15164027574065" u="1"/>
        <n v="-7634.4047167041645" u="1"/>
        <n v="-1229.1055646093519" u="1"/>
        <n v="-6241.3387687240174" u="1"/>
        <n v="-1551.9223403089645" u="1"/>
        <n v="-736.5869173173196" u="1"/>
        <n v="-3284.266980616444" u="1"/>
        <n v="-8175.1812011196707" u="1"/>
        <n v="-7242.2694845387214" u="1"/>
        <n v="-4535.4310168775537" u="1"/>
        <n v="2914.5307657884387" u="1"/>
        <n v="-4277.7777418394253" u="1"/>
        <n v="-4894.0706306856209" u="1"/>
        <n v="-3836.644338130398" u="1"/>
        <n v="-8470.6629135911317" u="1"/>
        <n v="-4126.5857005802736" u="1"/>
        <n v="-966.25811875987347" u="1"/>
        <n v="-2982.015830746157" u="1"/>
        <n v="-2788.7761324998892" u="1"/>
        <n v="-5762.5303482759518" u="1"/>
        <n v="-5451.3230445555182" u="1"/>
        <n v="-15470.658838920648" u="1"/>
        <n v="-9304.8455926971801" u="1"/>
        <n v="-207.45265200217727" u="1"/>
        <n v="-6930.3897224397806" u="1"/>
        <n v="-1394.8197886810931" u="1"/>
        <n v="-13371.715657375553" u="1"/>
        <n v="-4797.9868885307478" u="1"/>
        <n v="-15339.503538004923" u="1"/>
        <n v="-7405.8925424663939" u="1"/>
        <n v="-9762.5068317582682" u="1"/>
        <n v="-6418.3807825027052" u="1"/>
        <n v="1000.1859797696225" u="1"/>
        <n v="-1729.3437084978023" u="1"/>
        <n v="165.33663634520167" u="1"/>
        <n v="-9547.5231246828553" u="1"/>
        <n v="-496.09850486509549" u="1"/>
        <n v="-4030.9814957432809" u="1"/>
        <n v="-3026.919878085354" u="1"/>
        <n v="-3.3158721726122167" u="1"/>
        <n v="-1951.2955109451632" u="1"/>
        <n v="-4627.6679355357392" u="1"/>
        <n v="-6351.9117387001334" u="1"/>
        <n v="-3660.1532881711046" u="1"/>
        <n v="-3690.579301911459" u="1"/>
        <n v="-12388.465711607929" u="1"/>
        <n v="-3856.0923721263098" u="1"/>
        <n v="-12978.100909123175" u="1"/>
        <n v="-1562.4351908327499" u="1"/>
        <n v="-2032.3768765097448" u="1"/>
        <n v="-7961.9258327905263" u="1"/>
        <n v="-9961.6601120451669" u="1"/>
        <n v="-7003.4243175098309" u="1"/>
        <n v="-3665.3009905776889" u="1"/>
        <n v="-12454.94980382275" u="1"/>
        <n v="-882643.34450000082" u="1"/>
        <n v="0" u="1"/>
        <n v="-6591.7728679346874" u="1"/>
        <n v="1617.1107553140373" u="1"/>
        <n v="-1039.5873801301223" u="1"/>
        <n v="-3901.6512561866493" u="1"/>
        <n v="-9.5576262769204732" u="1"/>
        <n v="195.95125357562574" u="1"/>
        <n v="-4134.5758067972911" u="1"/>
        <n v="-3723.9810327756586" u="1"/>
        <n v="519.65623936385509" u="1"/>
        <n v="-164.97700351228195" u="1"/>
        <n v="560.94025108970527" u="1"/>
        <n v="-26.626138568748502" u="1"/>
        <n v="1722.0259406569403" u="1"/>
        <n v="-3881.0101972589582" u="1"/>
        <n v="-2192.380032598614" u="1"/>
        <n v="-2310.5678166179023" u="1"/>
        <n v="-2113.8835985629594" u="1"/>
        <n v="-1806.4445960412268" u="1"/>
        <n v="-7678.0387200750301" u="1"/>
        <n v="-1737.5821128320067" u="1"/>
        <n v="-3463.4199663687941" u="1"/>
        <n v="-2498.0394496934114" u="1"/>
        <n v="-509.77982076667467" u="1"/>
        <n v="-3741.4843905081616" u="1"/>
        <n v="140.37678118554322" u="1"/>
        <n v="-1840.4989183515736" u="1"/>
        <n v="-1570.7434466294271" u="1"/>
        <n v="-344.84140898296755" u="1"/>
        <n v="-4329.2769127149295" u="1"/>
        <n v="-3463.7641047145535" u="1"/>
        <n v="3284.0962431152639" u="1"/>
        <n v="2297.097867851342" u="1"/>
        <n v="-1334.9797297953992" u="1"/>
        <n v="1245.9768983817039" u="1"/>
        <n v="-2317.2009302132556" u="1"/>
        <n v="-9782.3448207521433" u="1"/>
        <n v="-3063.7951959859838" u="1"/>
        <n v="-4019.1214242178648" u="1"/>
        <n v="276.35639831480876" u="1"/>
        <n v="-32.156853656026215" u="1"/>
        <n v="-3199.2600858663973" u="1"/>
        <n v="-931.12442850378466" u="1"/>
        <n v="-2385.5486704285249" u="1"/>
        <n v="27530.752466768874" u="1"/>
        <n v="-6913.4719568252585" u="1"/>
        <n v="-1566.8755933201501" u="1"/>
        <n v="-6311.3709288804712" u="1"/>
        <n v="339.96850499835273" u="1"/>
        <n v="-3985.2256451619269" u="1"/>
        <n v="-2502.2107402268302" u="1"/>
        <n v="-2439.4585393316956" u="1"/>
        <n v="-2152.412062921605" u="1"/>
        <n v="152.03" u="1"/>
        <n v="585.14683023796033" u="1"/>
        <n v="-1604.2700592773544" u="1"/>
        <n v="-2384.0881912595978" u="1"/>
        <n v="-1865.1655373053145" u="1"/>
        <n v="3852.0193074065555" u="1"/>
        <n v="426.16158517254325" u="1"/>
        <n v="1028.1368427376437" u="1"/>
        <n v="-487.57623633539151" u="1"/>
        <n v="464.76609122965056" u="1"/>
        <n v="-3032.3833282282549" u="1"/>
        <n v="-1235.2148582148438" u="1"/>
        <n v="-290.36065259057614" u="1"/>
        <n v="1.2037358655652497" u="1"/>
        <n v="-2497.8668267254734" u="1"/>
        <n v="-271.9831443089106" u="1"/>
        <n v="-864.38397043461509" u="1"/>
        <n v="-113.14410908600803" u="1"/>
        <n v="-551.37296086282731" u="1"/>
        <n v="1260.0603232514381" u="1"/>
        <n v="-851.40869790601209" u="1"/>
        <n v="110.75" u="1"/>
        <n v="-3477.4497854774036" u="1"/>
        <n v="-1791.0011737222385" u="1"/>
        <n v="-906.03602632791444" u="1"/>
        <n v="-4314.9011778051499" u="1"/>
        <n v="3437.9156812068395" u="1"/>
        <n v="-3322.7374698194017" u="1"/>
        <n v="-4455.0455482730831" u="1"/>
        <n v="-5098.0777589083991" u="1"/>
        <n v="2311.6182454849477" u="1"/>
        <n v="-582.49151402765347" u="1"/>
        <n v="-1137.2739195144095" u="1"/>
        <n v="1552.9021849194978" u="1"/>
        <n v="-5758.2926777834164" u="1"/>
        <n v="-1229.1202495424423" u="1"/>
        <n v="1614.072627106033" u="1"/>
        <n v="1890.7481521194741" u="1"/>
        <n v="906.55593234140497" u="1"/>
        <n v="1202.0869697455655" u="1"/>
        <n v="330.56485879911179" u="1"/>
        <n v="-1159.7048847087117" u="1"/>
        <n v="-4253.7816604661712" u="1"/>
        <n v="3643.0654836758763" u="1"/>
        <n v="-3279.7366635455819" u="1"/>
        <n v="1771.7488654162835" u="1"/>
        <n v="-4085.8859438842483" u="1"/>
        <n v="-1494.2483854140946" u="1"/>
        <n v="-43.535094085156999" u="1"/>
        <n v="821.03561023186921" u="1"/>
        <n v="-3734.1907627102446" u="1"/>
        <n v="4423.8464498155045" u="1"/>
        <n v="-2515.9355247260137" u="1"/>
        <n v="-6257.6759060356308" u="1"/>
        <n v="-42.364892440126596" u="1"/>
        <n v="6.1539000000000001" u="1"/>
        <n v="478.62590313591966" u="1"/>
        <n v="325.78292900657073" u="1"/>
        <n v="301.30049240480923" u="1"/>
        <n v="-1410.5593328727691" u="1"/>
        <n v="-22.511384388628898" u="1"/>
        <n v="1085.8201791257786" u="1"/>
        <n v="-907.68901410097442" u="1"/>
        <n v="-6281.7329292381837" u="1"/>
        <n v="-6670.2536161779935" u="1"/>
        <n v="136.59007920414751" u="1"/>
        <n v="-3229.7865863866336" u="1"/>
        <n v="-4.3830471331839362" u="1"/>
        <n v="-8711.8467611227534" u="1"/>
        <n v="-108.19239441749471" u="1"/>
        <n v="69.346379705014215" u="1"/>
        <n v="-389.84384385354588" u="1"/>
        <n v="-154.40083906321308" u="1"/>
        <n v="-1316.6454725413846" u="1"/>
        <n v="53.61389941875882" u="1"/>
        <n v="233.53101777586528" u="1"/>
        <n v="-116.96812761535728" u="1"/>
        <n v="-107.44993214938575" u="1"/>
        <n v="-3369.5084368177431" u="1"/>
        <n v="7187.7050460052651" u="1"/>
        <n v="-4809.7962356583012" u="1"/>
        <n v="-2845.5008632362242" u="1"/>
        <n v="-1515.0330363437206" u="1"/>
        <n v="-6491.064429236978" u="1"/>
        <n v="-5567.7483637992282" u="1"/>
        <n v="-1768.7810606037165" u="1"/>
        <n v="-3472.9070796541728" u="1"/>
        <n v="-5568.2840734677229" u="1"/>
        <n v="-71.690776287268818" u="1"/>
        <n v="-1989.9742229228432" u="1"/>
        <n v="984.40063093220306" u="1"/>
        <n v="-884.79016108798805" u="1"/>
        <n v="-6012.5879735732942" u="1"/>
        <n v="-9535.9894115079005" u="1"/>
        <n v="-6824.8088457901686" u="1"/>
        <n v="-6029.9797839041021" u="1"/>
        <n v="-1372.7056797844143" u="1"/>
        <n v="-1654.7987748657179" u="1"/>
        <n v="51.938208827653398" u="1"/>
        <n v="-170.40846002615945" u="1"/>
        <n v="551.35158177606354" u="1"/>
        <n v="-2333.2807748628147" u="1"/>
        <n v="-4281.9678599670424" u="1"/>
        <n v="-951.00228329124911" u="1"/>
        <n v="2974.267970069991" u="1"/>
        <n v="8686.6541398006502" u="1"/>
        <n v="-2753.4714111281864" u="1"/>
        <n v="5755.2896771018386" u="1"/>
        <n v="-5467.2338836626077" u="1"/>
        <n v="171.35" u="1"/>
        <n v="-1819.6997015889283" u="1"/>
        <n v="-1197.3031186127037" u="1"/>
        <n v="-1051.3293561600103" u="1"/>
        <n v="-1148.0762399393216" u="1"/>
        <n v="-1756.130321603393" u="1"/>
        <n v="1230.1985138536857" u="1"/>
        <n v="-5878.7661404671417" u="1"/>
        <n v="-6137.1532364951545" u="1"/>
        <n v="-699.21976230851942" u="1"/>
        <n v="-5604.205419926695" u="1"/>
        <n v="-594.40216370297185" u="1"/>
        <n v="-5918.8307109544658" u="1"/>
        <n v="-1777.3547183408737" u="1"/>
        <n v="-16671.041185106988" u="1"/>
        <n v="7382.8950879424756" u="1"/>
        <n v="-7273.3010117097801" u="1"/>
        <n v="1522.2777772828613" u="1"/>
        <n v="2143.4848868159306" u="1"/>
        <n v="473.13566953248937" u="1"/>
        <n v="815.47722198282781" u="1"/>
        <n v="-3263.8962481811614" u="1"/>
        <n v="-1809.3588466387646" u="1"/>
        <n v="-1220.0134331784266" u="1"/>
        <n v="-1485.5998674646762" u="1"/>
        <n v="6227.477374672002" u="1"/>
        <n v="-188.56345186269027" u="1"/>
        <n v="-3043.6577030839417" u="1"/>
        <n v="-3018.9813646212624" u="1"/>
        <n v="-2220.1341678099361" u="1"/>
        <n v="-1683.8630763732363" u="1"/>
        <n v="-7949.3089281766443" u="1"/>
        <n v="-2226.2849863175034" u="1"/>
        <n v="-8070.5570819311615" u="1"/>
        <n v="-616.75709498803735" u="1"/>
        <n v="761.44034769827795" u="1"/>
        <n v="5023.7308004337701" u="1"/>
        <n v="-3706.1548940234698" u="1"/>
        <n v="-3120.7123951082431" u="1"/>
        <n v="-1413.0439947969144" u="1"/>
        <n v="-7454.3836051072776" u="1"/>
        <n v="-290042.82409997634" u="1"/>
        <n v="-6564.3310507550668" u="1"/>
        <n v="1626.1046282714915" u="1"/>
        <n v="-1028.3106459018672" u="1"/>
        <n v="-3882.2185187340019" u="1"/>
        <n v="-6.3200309137419026" u="1"/>
        <n v="199.04498881909694" u="1"/>
        <n v="-4119.2240496630966" u="1"/>
        <n v="-3710.929952805076" u="1"/>
        <n v="526.93469613589605" u="1"/>
        <n v="-158.37570264341957" u="1"/>
        <n v="581.15125404832725" u="1"/>
        <n v="-17.41671308297191" u="1"/>
        <n v="1731.2223174766168" u="1"/>
        <n v="-3850.2411339320497" u="1"/>
        <n v="-2183.5097064074871" u="1"/>
        <n v="-2293.1278649100204" u="1"/>
        <n v="-2093.3425279829298" u="1"/>
        <n v="-1794.9144861523928" u="1"/>
        <n v="-7654.9234850006651" u="1"/>
        <n v="-1727.1775312451919" u="1"/>
        <n v="-3450.7133852154257" u="1"/>
        <n v="-2484.3702737412732" u="1"/>
        <n v="-479.07793154185492" u="1"/>
        <n v="-3723.0703250560564" u="1"/>
        <n v="147.29951303311009" u="1"/>
        <n v="-1828.3613996858949" u="1"/>
        <n v="-1552.4300226558062" u="1"/>
        <n v="-336.67560710243379" u="1"/>
        <n v="-4314.3451445181072" u="1"/>
        <n v="-3445.4220081461317" u="1"/>
        <n v="3300.5886580359365" u="1"/>
        <n v="2307.4404023199768" u="1"/>
        <n v="-1319.6634583364648" u="1"/>
        <n v="1250.1906483258617" u="1"/>
        <n v="-2305.452560856651" u="1"/>
        <n v="-9745.4935320122349" u="1"/>
        <n v="-3049.3767495225475" u="1"/>
        <n v="-3999.5323084688407" u="1"/>
        <n v="297.64445922008235" u="1"/>
        <n v="-9.7328424501465634" u="1"/>
        <n v="-3179.210181039547" u="1"/>
        <n v="-915.49611224803994" u="1"/>
        <n v="-2372.2083799391839" u="1"/>
        <n v="27555.644189148163" u="1"/>
        <n v="-6885.2683934091729" u="1"/>
        <n v="-1545.3363529635608" u="1"/>
        <n v="-6288.13724677754" u="1"/>
        <n v="353.15761163452407" u="1"/>
        <n v="-3966.1372861957771" u="1"/>
        <n v="-2488.6563556112906" u="1"/>
        <n v="-2428.4538966287109" u="1"/>
        <n v="-2141.8683320970686" u="1"/>
        <n v="590.16071762914498" u="1"/>
        <n v="-1593.5517353738633" u="1"/>
        <n v="-2366.9879953009859" u="1"/>
        <n v="-1845.1652193855716" u="1"/>
        <n v="3871.4504402695366" u="1"/>
        <n v="431.5839687212133" u="1"/>
        <n v="1042.6927626077941" u="1"/>
        <n v="-476.20544987391077" u="1"/>
        <n v="470.31482172303276" u="1"/>
        <n v="-3026.4241221795328" u="1"/>
        <n v="-1226.2149788326878" u="1"/>
        <n v="-283.79676894040676" u="1"/>
        <n v="6.7343637255244175" u="1"/>
        <n v="-2488.0773527658894" u="1"/>
        <n v="-268.62923745936996" u="1"/>
        <n v="-861.66097853150268" u="1"/>
        <n v="-105.71687275961267" u="1"/>
        <n v="-546.93834809312466" u="1"/>
        <n v="1262.5229154681285" u="1"/>
        <n v="-837.19538760678188" u="1"/>
        <n v="-3461.4813866729928" u="1"/>
        <n v="-1783.2614884607146" u="1"/>
        <n v="-898.20506963822754" u="1"/>
        <n v="-4293.4256165569204" u="1"/>
        <n v="3444.5146757240836" u="1"/>
        <n v="-3308.9456967024871" u="1"/>
        <n v="-4437.6206132830248" u="1"/>
        <n v="-5077.1747779110301" u="1"/>
        <n v="2324.7711218464756" u="1"/>
        <n v="-561.30251787482484" u="1"/>
        <n v="-1123.0306003242185" u="1"/>
        <n v="1558.3065035779919" u="1"/>
        <n v="-5742.0253562508042" u="1"/>
        <n v="-1216.3624063456209" u="1"/>
        <n v="1625.1988760013219" u="1"/>
        <n v="1897.5183916041506" u="1"/>
        <n v="909.18544773087069" u="1"/>
        <n v="1219.2225265720172" u="1"/>
        <n v="338.84886534871475" u="1"/>
        <n v="-1153.5646727024778" u="1"/>
        <n v="-4232.9081066197905" u="1"/>
        <n v="3647.007731939113" u="1"/>
        <n v="-3261.6605569863623" u="1"/>
        <n v="1777.6112089422177" u="1"/>
        <n v="-4059.9853646780539" u="1"/>
        <n v="-1486.5566940476965" u="1"/>
        <n v="-43.391817789405948" u="1"/>
        <n v="839.71292541000366" u="1"/>
        <n v="-3718.6894052411608" u="1"/>
        <n v="4428.9997487175197" u="1"/>
        <n v="-2499.578354044992" u="1"/>
        <n v="-6226.0831953872512" u="1"/>
        <n v="-41.222886239516129" u="1"/>
        <n v="479.69815032377323" u="1"/>
        <n v="326.61705420824694" u="1"/>
        <n v="302.11605248322257" u="1"/>
        <n v="-1405.4567026193663" u="1"/>
        <n v="-22.345643837569042" u="1"/>
        <n v="1086.8750029814564" u="1"/>
        <n v="-898.89605724231114" u="1"/>
        <n v="-6254.79287741199" u="1"/>
        <n v="-6642.0873442469638" u="1"/>
        <n v="145.75016083697301" u="1"/>
        <n v="-3213.4449869944456" u="1"/>
        <n v="0.50348343060159095" u="1"/>
        <n v="-8686.8698610357314" u="1"/>
        <n v="-107.36112272872981" u="1"/>
        <n v="70.019089083299718" u="1"/>
        <n v="-386.89946859226484" u="1"/>
        <n v="-153.28931466331733" u="1"/>
        <n v="-1314.051186728836" u="1"/>
        <n v="54.317463476332932" u="1"/>
        <n v="233.99526117115943" u="1"/>
        <n v="-115.77756299180294" u="1"/>
        <n v="-106.23572396774284" u="1"/>
        <n v="-3350.3972807764949" u="1"/>
        <n v="7195.1266402180463" u="1"/>
        <n v="-4780.3856898468366" u="1"/>
        <n v="-2833.6489021759808" u="1"/>
        <n v="-1502.8200934734905" u="1"/>
        <n v="-6471.6087535386851" u="1"/>
        <n v="-5549.4352916327989" u="1"/>
        <n v="-1740.6718776095768" u="1"/>
        <n v="-3457.2422373525806" u="1"/>
        <n v="-5542.0668872401802" u="1"/>
        <n v="-42.498036561515619" u="1"/>
        <n v="-1964.6891448307324" u="1"/>
        <n v="991.62253489125942" u="1"/>
        <n v="-878.33925030635601" u="1"/>
        <n v="-5993.9468460639291" u="1"/>
        <n v="-9504.8516097093889" u="1"/>
        <n v="-6800.7733551946476" u="1"/>
        <n v="-6008.3806943366508" u="1"/>
        <n v="-1360.7714526493201" u="1"/>
        <n v="-1642.0807535723252" u="1"/>
        <n v="59.158823727496383" u="1"/>
        <n v="-159.38219515133642" u="1"/>
        <n v="555.80499755182063" u="1"/>
        <n v="-2306.5401941634009" u="1"/>
        <n v="-4264.9460020070292" u="1"/>
        <n v="-944.55095355186586" u="1"/>
        <n v="2979.1910300757445" u="1"/>
        <n v="8703.7658860416432" u="1"/>
        <n v="-2738.0418900940949" u="1"/>
        <n v="5766.1474097375176" u="1"/>
        <n v="-5444.0634914263392" u="1"/>
        <n v="-1808.0052359170932" u="1"/>
        <n v="-1189.0874257179257" u="1"/>
        <n v="-1042.282923763958" u="1"/>
        <n v="-1139.0249186737037" u="1"/>
        <n v="-1745.792054745858" u="1"/>
        <n v="1240.5309709527583" u="1"/>
        <n v="-5853.1678292448487" u="1"/>
        <n v="-6117.7050549538144" u="1"/>
        <n v="-689.630318832169" u="1"/>
        <n v="-5586.3214913258744" u="1"/>
        <n v="-586.94543029638498" u="1"/>
        <n v="-5891.0732777259691" u="1"/>
        <n v="-1765.6701818442598" u="1"/>
        <n v="-16624.368987686292" u="1"/>
        <n v="7402.6410850767934" u="1"/>
        <n v="-7251.663122316746" u="1"/>
        <n v="1539.5100769960463" u="1"/>
        <n v="2147.330486897883" u="1"/>
        <n v="481.50545011767736" u="1"/>
        <n v="816.24583517457188" u="1"/>
        <n v="-3240.2748338775455" u="1"/>
        <n v="-1796.9606258004023" u="1"/>
        <n v="-1210.5360693137864" u="1"/>
        <n v="-1474.025628079713" u="1"/>
        <n v="6238.6242789254247" u="1"/>
        <n v="-172.91964397256925" u="1"/>
        <n v="-3032.6264917598764" u="1"/>
        <n v="-3003.903014005562" u="1"/>
        <n v="-2203.7568964189759" u="1"/>
        <n v="-1670.7668957704827" u="1"/>
        <n v="-7909.3837873971315" u="1"/>
        <n v="-2212.6497860792224" u="1"/>
        <n v="-8045.5811449529901" u="1"/>
        <n v="-603.27449246956166" u="1"/>
        <n v="770.7924913583056" u="1"/>
        <n v="5042.1969848322333" u="1"/>
        <n v="-3686.0235725377697" u="1"/>
        <n v="-3101.6324337442366" u="1"/>
        <n v="-1403.2077917654697" u="1"/>
        <n v="-7436.1794660470841" u="1"/>
        <n v="-287342.82409997639" u="1"/>
        <n v="-6633.229120527958" u="1"/>
        <n v="1603.5237444147415" u="1"/>
        <n v="-1056.6231011807304" u="1"/>
        <n v="-3931.0082214030044" u="1"/>
        <n v="-14.448649720893172" u="1"/>
        <n v="191.27755908700738" u="1"/>
        <n v="-4157.7676500101552" u="1"/>
        <n v="-3743.6972514332665" u="1"/>
        <n v="508.66070140600368" u="1"/>
        <n v="-174.94956453010491" u="1"/>
        <n v="530.40756302711452" u="1"/>
        <n v="-40.538783882224379" u="1"/>
        <n v="1708.1330079154986" u="1"/>
        <n v="-3927.4929084070391" u="1"/>
        <n v="-2205.7804018510251" u="1"/>
        <n v="-2336.9142877165214" u="1"/>
        <n v="-2144.9149185709612" u="1"/>
        <n v="-1823.8630907732277" u="1"/>
        <n v="-7712.9588209460235" u="1"/>
        <n v="-1753.3002760850814" u="1"/>
        <n v="-3482.6157519263961" u="1"/>
        <n v="-2518.6894236840053" u="1"/>
        <n v="-556.1610522450319" u="1"/>
        <n v="-3769.3024516684291" u="1"/>
        <n v="129.91863556677072" u="1"/>
        <n v="-1858.8350232955836" u="1"/>
        <n v="-1598.4094690771672" u="1"/>
        <n v="-357.17745594262033" u="1"/>
        <n v="-4351.8342801800591" u="1"/>
        <n v="-3491.4734427461262" u="1"/>
        <n v="3259.1812123667823" u="1"/>
        <n v="2281.4734389521955" u="1"/>
        <n v="-1358.1179649287569" u="1"/>
        <n v="1239.6112017914788" u="1"/>
        <n v="-2334.9491487229297" u="1"/>
        <n v="-9838.0159275301557" u="1"/>
        <n v="-3085.577090190669" u="1"/>
        <n v="-4048.7146295531693" u="1"/>
        <n v="244.19660276142531" u="1"/>
        <n v="-66.032725163393479" u="1"/>
        <n v="-3229.549403572013" u="1"/>
        <n v="-954.73406856752081" u="1"/>
        <n v="-2405.7017983563801" u="1"/>
        <n v="27493.148633040117" u="1"/>
        <n v="-6956.078976664885" u="1"/>
        <n v="-1599.4148447496482" u="1"/>
        <n v="-6346.4699672432107" u="1"/>
        <n v="320.04376996314022" u="1"/>
        <n v="-4014.0623590614505" u="1"/>
        <n v="-2522.6872993661273" u="1"/>
        <n v="-2456.0832127127433" u="1"/>
        <n v="-2168.3404384178903" u="1"/>
        <n v="577.5723689403485" u="1"/>
        <n v="-1620.4621918978446" u="1"/>
        <n v="-2409.9213945935644" u="1"/>
        <n v="-1895.3799442521813" u="1"/>
        <n v="3822.6647662379237" u="1"/>
        <n v="417.97001022763607" u="1"/>
        <n v="1006.1472679615053" u="1"/>
        <n v="-504.75404174987489" u="1"/>
        <n v="456.38364441863814" u="1"/>
        <n v="-3041.3858789556398" u="1"/>
        <n v="-1248.8109429979149" u="1"/>
        <n v="-300.27668755331706" u="1"/>
        <n v="-7.151363363510427" u="1"/>
        <n v="-2512.6557491414833" u="1"/>
        <n v="-277.0498790888555" u="1"/>
        <n v="-868.49758431834562" u="1"/>
        <n v="-124.36440777109783" u="1"/>
        <n v="-558.0723141137737" u="1"/>
        <n v="1256.3400942191877" u="1"/>
        <n v="-872.88069365959745" u="1"/>
        <n v="-3501.573187000442" u="1"/>
        <n v="-1802.6934878679822" u="1"/>
        <n v="-917.86622388552041" u="1"/>
        <n v="-4347.3442294391352" u="1"/>
        <n v="3427.9466043859475" u="1"/>
        <n v="-3343.5726508972984" u="1"/>
        <n v="-4481.3693336711458" u="1"/>
        <n v="-5129.6558156568681" u="1"/>
        <n v="2291.7482433927908" u="1"/>
        <n v="-614.50165282276066" u="1"/>
        <n v="-1158.7912495895362" u="1"/>
        <n v="1544.7379005379444" u="1"/>
        <n v="-5782.8676607758971" u="1"/>
        <n v="-1248.3934764811311" u="1"/>
        <n v="1597.2642436961605" u="1"/>
        <n v="1880.5203761541816" u="1"/>
        <n v="902.58353308409369" u="1"/>
        <n v="1176.2003468782059" u="1"/>
        <n v="318.05024047931329" u="1"/>
        <n v="-1168.9808804724235" u="1"/>
        <n v="-4285.3152617255455" u="1"/>
        <n v="3637.1099436795125" u="1"/>
        <n v="-3307.0441714455501" u="1"/>
        <n v="1762.8926445469097" u="1"/>
        <n v="-4125.013853922268" u="1"/>
        <n v="-1505.8681953584492" u="1"/>
        <n v="-43.751541059801767" u="1"/>
        <n v="792.81985867574076" u="1"/>
        <n v="-3757.6086066004864" u="1"/>
        <n v="4416.0613800596548" u="1"/>
        <n v="-2540.6462424975525" u="1"/>
        <n v="-6305.4028981722186" u="1"/>
        <n v="-44.09011702003329" u="1"/>
        <n v="477.00606324080172" u="1"/>
        <n v="324.52281912285707" u="1"/>
        <n v="300.06842878473674" u="1"/>
        <n v="-1418.2678576869425" u="1"/>
        <n v="-22.761768031399782" u="1"/>
        <n v="1084.2266605946929" u="1"/>
        <n v="-920.97250178652121" u="1"/>
        <n v="-6322.431166751845" u="1"/>
        <n v="-6712.8042999078825" u="1"/>
        <n v="122.75197746839876" u="1"/>
        <n v="-3254.4737806692228" u="1"/>
        <n v="-11.765110938618818" u="1"/>
        <n v="-8749.5792725022584" u="1"/>
        <n v="-109.44819350971625" u="1"/>
        <n v="68.330120113838916" u="1"/>
        <n v="-394.29190076472196" u="1"/>
        <n v="-156.08001489854666" u="1"/>
        <n v="-1320.5646506060223" u="1"/>
        <n v="52.551027776716182" u="1"/>
        <n v="232.82968698081987" u="1"/>
        <n v="-118.76670922675794" u="1"/>
        <n v="-109.28423199729787" u="1"/>
        <n v="-3398.3795901750309" u="1"/>
        <n v="7176.493270840524" u="1"/>
        <n v="-4854.226639377026" u="1"/>
        <n v="-2863.4055773527507" u="1"/>
        <n v="-1533.4830843569925" u="1"/>
        <n v="-6520.4560471769237" u="1"/>
        <n v="-5595.4138547731345" u="1"/>
        <n v="-1811.2455002859788" u="1"/>
        <n v="-3496.5718994814433" u="1"/>
        <n v="-5607.8902805720027" u="1"/>
        <n v="-115.79214115093782" u="1"/>
        <n v="-2028.1722976846577" u="1"/>
        <n v="973.49052710156593" u="1"/>
        <n v="-894.53552835246319" u="1"/>
        <n v="-6040.7490565509015" u="1"/>
        <n v="-9583.0291745129907" u="1"/>
        <n v="-6861.1191733027044" u="1"/>
        <n v="-6062.6094493169949" u="1"/>
        <n v="-1390.7346729585788" u="1"/>
        <n v="-1674.0118430009079" u="1"/>
        <n v="41.030052374044317" u="1"/>
        <n v="-187.0657979429252" u="1"/>
        <n v="544.6238228928155" u="1"/>
        <n v="-2373.6776720766429" u="1"/>
        <n v="-4307.682718373766" u="1"/>
        <n v="-960.74828347366474" u="1"/>
        <n v="2966.8307213705161" u="1"/>
        <n v="8660.8034874974419" u="1"/>
        <n v="-2776.7807319794883" u="1"/>
        <n v="5738.8869402207984" u="1"/>
        <n v="-5502.2373102558449" u="1"/>
        <n v="-1837.3664879996704" u="1"/>
        <n v="-1209.7145357446434" u="1"/>
        <n v="-1064.9957684104811" u="1"/>
        <n v="-1161.7500377871174" u="1"/>
        <n v="-1771.7483034380984" u="1"/>
        <n v="1214.5893087997865" u="1"/>
        <n v="-5917.4374153702047" u="1"/>
        <n v="-6166.5335330396665" u="1"/>
        <n v="-713.70649940695512" u="1"/>
        <n v="-5631.2226052895585" u="1"/>
        <n v="-605.66702351895219" u="1"/>
        <n v="-5960.7637635555184" u="1"/>
        <n v="-1795.0065047830158" u="1"/>
        <n v="-16741.548702619068" u="1"/>
        <n v="7353.0648824736418" u="1"/>
        <n v="-7305.9892918769183" u="1"/>
        <n v="1496.2450052912445" u="1"/>
        <n v="2137.6753528726563" u="1"/>
        <n v="460.49147269163677" u="1"/>
        <n v="814.316080852308" u="1"/>
        <n v="-3299.5810321577956" u="1"/>
        <n v="-1828.0887933991417" u="1"/>
        <n v="-1234.330852018411" u="1"/>
        <n v="-1503.0850284646694" u="1"/>
        <n v="6210.6377872883349" u="1"/>
        <n v="-212.1964950816764" u="1"/>
        <n v="-3060.3225135834364" u="1"/>
        <n v="-3041.7601736091237" u="1"/>
        <n v="-2244.8752516502755" u="1"/>
        <n v="-1703.6474283904936" u="1"/>
        <n v="-8009.6236919600924" u="1"/>
        <n v="-2246.8836333217459" u="1"/>
        <n v="-8108.2881383456661" u="1"/>
        <n v="-637.12521317649589" u="1"/>
        <n v="747.31209856226178" u="1"/>
        <n v="4995.8340033723434" u="1"/>
        <n v="-3736.5672075770835" u="1"/>
        <n v="-3149.5364227810005" u="1"/>
        <n v="-1427.9035106504462" u="1"/>
        <n v="-7481.884531237014" u="1"/>
        <n v="-294121.70419997768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 Valentina" refreshedDate="46128.553398263888" createdVersion="8" refreshedVersion="8" minRefreshableVersion="3" recordCount="217" xr:uid="{750552DB-FF46-4C5D-B01F-7B3A6149EDD1}">
  <cacheSource type="worksheet">
    <worksheetSource ref="AB97:AB108" sheet="RSM JULIO"/>
  </cacheSource>
  <cacheFields count="11">
    <cacheField name="Centro de Costo" numFmtId="0">
      <sharedItems containsBlank="1" count="219">
        <s v="[ ACB ] - AV LIBERTADOR CIUDAD BOLIVAR (100.0%)"/>
        <s v="[ ACG ] - ACHAGUAS (100.0%)"/>
        <s v="[ ACO ] - ANACO (100.0%)"/>
        <s v="[ ADO ] - ALTAGRACIA DEL ORITUCO (100.0%)"/>
        <s v="[ ADS - VAR ] - AEDOS LA GUAIRA (100.0%)"/>
        <s v="[ ANT ] - ANTIMANO (100.0%)"/>
        <s v="[ APU ] - APURE (100.0%)"/>
        <s v="[ ARO - INT ] - AEROPUERTO INTERNACIONAL (100.0%)"/>
        <s v="[ ARO - NAC ] - AEROPUERTO NACIONAL (100.0%)"/>
        <s v="[ AVM ] - AVENIDA MARIÃ‘O (100.0%)"/>
        <s v="[ BAC ] - BUENOS AIRES CANGURO (100.0%)"/>
        <s v="[ BCC ] - BISCUCUY (100.0%)"/>
        <s v="[ BCD ] - BARINAS CC DORADO (100.0%)"/>
        <s v="[ BCN ] - BARCELONA (100.0%)"/>
        <s v="[ BCO ] - BOCONÃ“ (100.0%)"/>
        <s v="[ BJM ] - BEJUMA (100.0%)"/>
        <s v="[ BNS ] - BARINAS SHOP (100.0%)"/>
        <s v="[ BRC ] - BARRANCAS (100.0%)"/>
        <s v="[ BTA ] - BARUTA (100.0%)"/>
        <s v="[ BVC ] - BAZAR VALENCIA CANGURO (100.0%)"/>
        <s v="[ BZC ] - BAZAR 4 (100.0%)"/>
        <s v="[ BZD ] - BAZAR 2 (100.0%)"/>
        <s v="[ BZT ] - BAZAR 3 (100.0%)"/>
        <s v="[ BZU ] - BAZAR 1 (100.0%)"/>
        <s v="[ CAG ] - CAGUA (100.0%)"/>
        <s v="[ CAT ] - CATIA (100.0%)"/>
        <s v="[ CBM ] - CABIMAS (100.0%)"/>
        <s v="[ CBQ ] - CHABASQUEN (100.0%)"/>
        <s v="[ CBR ] - CABUDARE (100.0%)"/>
        <s v="[ CBV ] - CIUDAD BOLIVAR (100.0%)"/>
        <s v="[ CCA ] - CENTRO COMERCIAL AVIADORES (100.0%)"/>
        <s v="[ CCB ] - CALLE CAMEJO BARINAS (100.0%)"/>
        <s v="[ CCM ] - CENTRO COMERCIAL METROCENTER (100.0%)"/>
        <s v="[ CCO ] - CAICARA DEL ORINOCO (100.0%)"/>
        <s v="[ CCT ] - CC CIUDAD TAMANACO (100.0%)"/>
        <s v="[ CDL ] - LA CANDELARIA (100.0%)"/>
        <s v="[ CDO ] - CEDENO (100.0%)"/>
        <s v="[ CHA ] - CHACAO (100.0%)"/>
        <s v="[ CHC ] - CHICHIRIVICHE (100.0%)"/>
        <s v="[ CHI ] - CHIVACOA (100.0%)"/>
        <s v="[ CHV ] - CHARALLAVE (100.0%)"/>
        <s v="[ CJP ] - CINCO DE JULIO (100.0%)"/>
        <s v="[ CLB ] - CALABOZO (100.0%)"/>
        <s v="[ CLL ] - CALLAO (100.0%)"/>
        <s v="[ CLP ] - CATIA LIFE PHONE (100.0%)"/>
        <s v="[ CMC ] - CUA (100.0%)"/>
        <s v="[ CMO ] - COMERCIO (100.0%)"/>
        <s v="[ CNA ] - CUMANACOA (100.0%)"/>
        <s v="[ COD ] - COSMOS SHOP (100.0%)"/>
        <s v="[ COE ] - SAN CARLOS (100.0%)"/>
        <s v="[ COR ] - CORO (100.0%)"/>
        <s v="[ CPN ] - CARUPANO (100.0%)"/>
        <s v="[ CRN ] - CLARINES (100.0%)"/>
        <s v="[ CRP ] - CARIPE (100.0%)"/>
        <s v="[ CRR ] - CARORA (100.0%)"/>
        <s v="[ CRT ] - CARIPITO (100.0%)"/>
        <s v="[ CSZ ] - CAJA SECA ZULIA (100.0%)"/>
        <s v="[ CTA ] - CANTAURA (100.0%)"/>
        <s v="[ CTC ] - CITY 4 (100.0%)"/>
        <s v="[ CTD ] - CITY 2 (100.0%)"/>
        <s v="[ CTL ] - CARTANAL (100.0%)"/>
        <s v="[ CTM ] - CATIA LA MAR (100.0%)"/>
        <s v="[ CTO ] - CEMENTERIO (100.0%)"/>
        <s v="[ CTS ] - CIUDAD TAMANACO SEGUNDO (100.0%)"/>
        <s v="[ CTT ] - CITY 3 (100.0%)"/>
        <s v="[ CTU ] - CITY 1 (100.0%)"/>
        <s v="[ CUA ] - CUMANA SHOP (100.0%)"/>
        <s v="[ CUG ] - CAUCAGUA (100.0%)"/>
        <s v="[ DCA ] - DUACA (100.0%)"/>
        <s v="[ ECJ ] - EL CUJI (100.0%)"/>
        <s v="[ ECM ] ECOMMERCE (100.0%)"/>
        <s v="[ EJD ] - EJIDO (100.0%)"/>
        <s v="[ ELZ ] - ELORZA (100.0%)"/>
        <s v="[ EMT ] - EL MANTECO (100.0%)"/>
        <s v="[ FAM ] - FLOR AMARILLO (100.0%)"/>
        <s v="[ FMD ] - FREEMARKET 2 (100.0%)"/>
        <s v="[ FOR - CHV ] - FORUM CHARALLAVE (100.0%)"/>
        <s v="[ FOR - GTE ] FORUM GUATIRE (100.0%)"/>
        <s v="[ FOR - ISF ] - FORUM IPSFA (100.0%)"/>
        <s v="[ FOR - PRS ] - FORUM PARAISO (100.0%)"/>
        <s v="[ FOR - PZV ] - FORUM PLAZA VENEZUELA (100.0%)"/>
        <s v="[ FRM ] - FREEMARKET (100.0%)"/>
        <s v="[ GBZ ] - GRAN BAZAR 5 ZULIA (100.0%)"/>
        <s v="[ GCA ] - GUACARA (100.0%)"/>
        <s v="[ GIA ] - GÃœIRIA (100.0%)"/>
        <s v="[ GNO ] - GUANARITO (100.0%)"/>
        <s v="[ GNR ] - GUANARE (100.0%)"/>
        <s v="[ GNT ] - GUANTA (100.0%)"/>
        <s v="[ GPT ] - GUASIPATI (100.0%)"/>
        <s v="[ GRA ] - GUARENAS (100.0%)"/>
        <s v="[ GTE ] - GUATIRE (100.0%)"/>
        <s v="[ GTN ] - GATO NEGRO (100.0%)"/>
        <s v="[ HGT ] - HIGUEROTE (100.0%)"/>
        <s v="[ IGD ] - CALLE IGUALDAD (100.0%)"/>
        <s v="[ JQT ] - EL JUNQUITO (100.0%)"/>
        <s v="[ LBD ] - LA BANDERA (100.0%)"/>
        <s v="[ LCH ] - LECHERIA (100.0%)"/>
        <s v="[ LLN ] - LLANERO (100.0%)"/>
        <s v="[ LMU ] - LA MARRON 1 (100.0%)"/>
        <s v="[ LPG ] - LA PARAGUA (100.0%)"/>
        <s v="[ MCQ ] - MACHIQUES (100.0%)"/>
        <s v="[ MCY ] - MARACAY (100.0%)"/>
        <s v="[ MDB ] - MINAS DE BARUTA (100.0%)"/>
        <s v="[ MEC ] - MARACAY ESTACION CENTRAL (100.0%)"/>
        <s v="[ MGT ] - MARGARITA SHOP (100.0%)"/>
        <s v="[ MGZ ] - MENE GRANDE ZULIA (100.0%)"/>
        <s v="[ MID ] - MÃ‰RIDA SHOP (100.0%)"/>
        <s v="[ MJN ] - MOJAN (100.0%)"/>
        <s v="[ MKD ] - MACROCENTRO 2 SHOP (100.0%)"/>
        <s v="[ MKU ] - MACROCENTRO 1 (100.0%)"/>
        <s v="[ MNT ] - MONAY TRUJILLO (100.0%)"/>
        <s v="[ MOC ] - CANGURO MOVIL (100.0%)"/>
        <s v="[ MPC ] - MARKET PLACE CANGURO (100.0%)"/>
        <s v="[ MRN ] - MORON (100.0%)"/>
        <s v="[ MTC ] - MANTECAL (100.0%)"/>
        <s v="[ MTP ] - METROPOLIS (100.0%)"/>
        <s v="[ MUN ] - MATURIN SHOP (100.0%)"/>
        <s v="[ MVT - BVT ] MOVISTAR BELLA VISTA  (100.0%)"/>
        <s v="[ MVT - CCT ] - MOVISTAR CIUDAD TAMANACO (100.0%)"/>
        <s v="[ MVT - GRZ ] MOVISTAR LAS GARZAS (100.0%)"/>
        <s v="[ MVT - LNS ] MOVISTAR LOS LEONES (100.0%)"/>
        <s v="[ MVT - LVÃ‘ ] MOVISTAR LA VIÃ‘A (100.0%)"/>
        <s v="[ MVT - PCC ] - MOVISTAR PARQUE CENTRAL CANAIMA (100.0%)"/>
        <s v="[ MVT - SCB ] MOVISTAR SAN CRISTÃ“BAL (100.0%)"/>
        <s v="[ MVT- LDC ] MOVISTAR LAS DELICIAS  (100.0%)"/>
        <s v="[ NGA ] - NIRGUA (100.0%)"/>
        <s v="[ NGT ] - NAIGUATA (100.0%)"/>
        <s v="[ OCT ] - OCUMARE DEL TUY (100.0%)"/>
        <s v="[ ODA ] - CIUDAD OJEDA (100.0%)"/>
        <s v="[ OPO ] - OSPINO (100.0%)"/>
        <s v="[ ORK ] - ORINOKIA (100.0%)"/>
        <s v="[ PDB ] - PEDRAZA (100.0%)"/>
        <s v="[ PDM ] - PUNTA DE MATA (100.0%)"/>
        <s v="[ PDV - GCA ] - PDVSA GUACARA (100.0%)"/>
        <s v="[ PDV - GUO ] - PDVSA GUARAGUO (100.0%)"/>
        <s v="[ PDV - LCP ] - PDVSA LA CAMPIÃ‘A (100.0%)"/>
        <s v="[ PDV - LGN ] - PDVSA LAGUNA (100.0%)"/>
        <s v="[ PDV - MUN ] - PDVSA MATURIN (100.0%)"/>
        <s v="[ PDV - ODA ] - PDVSA CIUDAD OJEDA (100.0%)"/>
        <s v="[ PDV - PCD ] - PDVSA PETROCEDEÃ‘O (100.0%)"/>
        <s v="[ PDV - PT ] - PDVSA PETROPIAR (100.0%)"/>
        <s v="[ PDV - STM ] - PDVSA SANTOME (100.0%)"/>
        <s v="[ PDV - ZUL ] - PDVSA ZULIA (100.0%)"/>
        <s v="[ PFO ] - PUNTO FIJO (100.0%)"/>
        <s v="[ PLN ] - PALO NEGRO (100.0%)"/>
        <s v="[ PLS ] - PUERTO LA CRUZ SHOP (100.0%)"/>
        <s v="[ PML ] - PLAZA MAYOR LECHERIA (100.0%)"/>
        <s v="[ PPT ] - PROPATRIA (100.0%)"/>
        <s v="[ PRG ] - PARIAGUAN (100.0%)"/>
        <s v="[ PRT ] - PUERTO PIRITU (100.0%)"/>
        <s v="[ PSA ] - ACARIGUA (100.0%)"/>
        <s v="[ PTA ] - PUERTO AYACUCHO (100.0%)"/>
        <s v="[ PTC ] - PUERTO CABELLO (100.0%)"/>
        <s v="[ PTT ] - PETARE 3 (100.0%)"/>
        <s v="[ PTU ] - PETARE 1 (100.0%)"/>
        <s v="[ QBR ] - QUIBOR (100.0%)"/>
        <s v="[ QTC ] - QUINTA CRESPO (100.0%)"/>
        <s v="[ RCO ] - RIO CHICO (100.0%)"/>
        <s v="[ SAM - CDL ] - SAMBIL CANDELARIA (100.0%)"/>
        <s v="[ SAM - CHA ] - SAMBIL CHACAO (100.0%)"/>
        <s v="[ SAM - LAR ] - SAMBIL LARA (100.0%)"/>
        <s v="[ SAM - MGT ] - SAMBIL MARGARITA (100.0%)"/>
        <s v="[ SAM - PFO ] - SAMBIL PUNTO FIJO (100.0%)"/>
        <s v="[ SAM - VLC ] - SAMBIL VALENCIA (100.0%)"/>
        <s v="[ SAM - ZUL ] - SAMBIL ZULIA (100.0%)"/>
        <s v="[ SBB ] - SANTA BARBARA (100.0%)"/>
        <s v="[ SBC ] - SABANA CITY (100.0%)"/>
        <s v="[ SBO ] - EL SOMBRERO (100.0%)"/>
        <s v="[ SCC ] - CANGURO SELLCENTER (100.0%)"/>
        <s v="[ SCM ] - SANÂ CASIMIRO (100.0%)"/>
        <s v="[ SCP ] - SOCOPO (100.0%)"/>
        <s v="[ SEU ] - SANTA ELENA DE UAIREN (100.0%)"/>
        <s v="[ SFX ] - SAN FELIX (100.0%)"/>
        <s v="[ SGO ] - SABANA GRANDE OUTLET (100.0%)"/>
        <s v="[ SJM ] - SAN JUAN DE LOS MORROS (100.0%)"/>
        <s v="[ SMT ] - SABANA MENDOZA (100.0%)"/>
        <s v="[ SMZ ] - SIERRA MAESTRA (100.0%)"/>
        <s v="[ SNR ] - SANARE (100.0%)"/>
        <s v="[ SNT ] - SABANETA (100.0%)"/>
        <s v="[ SRO ] - SAN RAFAEL DE ONOTO (100.0%)"/>
        <s v="[ STL ] - SANTA LUCIA (100.0%)"/>
        <s v="[ STR ] - SANTA RITA ARAGUA (100.0%)"/>
        <s v="[ STT ] - SANTA TERESA DEL TUY (100.0%)"/>
        <s v="[ TBD ] - TEMBLADOR (100.0%)"/>
        <s v="[ TCC ] - TUCACAS (100.0%)"/>
        <s v="[ TCD ] - TUCUPIDO (100.0%)"/>
        <s v="[ TCO ] - TOCUYO (100.0%)"/>
        <s v="[ TCP ] - TUCUPITA (100.0%)"/>
        <s v="[ TCY ] - TOCUYITO (100.0%)"/>
        <s v="[ TED ] - LOS TEQUES DOS (100.0%)"/>
        <s v="[ TEQ ] - LOS TEQUES SHOP (100.0%)"/>
        <s v="[ TGO ] - EL TIGRITO (100.0%)"/>
        <s v="[ TGR ] - TIGRE SHOP (100.0%)"/>
        <s v="[ THA ] - TACHIRA (100.0%)"/>
        <s v="[ TJL ] - TRUJILLO (100.0%)"/>
        <s v="[ TLG ] - TERMINAL LA GUAIRA (100.0%)"/>
        <s v="[ TMO ] - TURMERO (100.0%)"/>
        <s v="[ TMR ] - TUMEREMO (100.0%)"/>
        <s v="[ TPV ] - TERMINAL PLAZA VENEZUELA (100.0%)"/>
        <s v="[ TQO ] - TINAQUILLO (100.0%)"/>
        <s v="[ TQT ] - LOS TEQUES TRES (100.0%)"/>
        <s v="[ TRN ] - TUREN (100.0%)"/>
        <s v="[ TRU ] - VALERA SHOP (100.0%)"/>
        <s v="[ UNR ] - UNARE (100.0%)"/>
        <s v="[ UPT ] - UPATA (100.0%)"/>
        <s v="[ URD ] - URDANETA SHOP (100.0%)"/>
        <s v="[ URF ] - URDANETA FIX (100.0%)"/>
        <s v="[ VAR ] - LA GUAIRA (100.0%)"/>
        <s v="[ VDC ] - VILLA DE CURA (100.0%)"/>
        <s v="[ VDP ] - VALLE DE LA PASCUA (100.0%)"/>
        <s v="[ VGA ] - LA VEGA (100.0%)"/>
        <s v="[ VIG ] - VIGIA (100.0%)"/>
        <s v="[ VLL ] - EL VALLE (100.0%)"/>
        <s v="[ VTA ] - LA VICTORIA (100.0%)"/>
        <s v="[ YAR ] - SAN FELIPE (100.0%)"/>
        <s v="[ YTG ] - YARITAGUA (100.0%)"/>
        <s v="[ ZAR ] - ZARAZA (100.0%)"/>
        <s v="INGRESOS POR IDENTIFICAR" u="1"/>
        <m u="1"/>
      </sharedItems>
    </cacheField>
    <cacheField name="Total Gastos" numFmtId="164">
      <sharedItems containsString="0" containsBlank="1" containsNumber="1" minValue="7.8100000000000005" maxValue="22908.713799999998" count="424">
        <n v="3129.85"/>
        <n v="5136.4503000000004"/>
        <n v="8397.7807000000012"/>
        <n v="5776.6288000000013"/>
        <n v="9248.9254999999994"/>
        <n v="7044.2781000000004"/>
        <n v="10729.891300000001"/>
        <n v="2501.4814000000006"/>
        <n v="1757.6502"/>
        <n v="4688.3604000000005"/>
        <n v="4979.6652999999997"/>
        <n v="5521.8537000000015"/>
        <n v="3767.3276000000001"/>
        <n v="9793.9289000000008"/>
        <n v="5282.3155000000015"/>
        <n v="5190.8707000000013"/>
        <n v="10799.496099999998"/>
        <n v="5718.3603999999996"/>
        <n v="7607.6907000000019"/>
        <n v="13472.482900000005"/>
        <n v="4467.8798999999999"/>
        <n v="6228.5102999999999"/>
        <n v="5756.0658000000012"/>
        <n v="7741.1998999999996"/>
        <n v="5078.5407999999998"/>
        <n v="15516.076200000001"/>
        <n v="7614.8375000000024"/>
        <n v="5122.4126000000006"/>
        <n v="6521.6278000000011"/>
        <n v="7620.5881000000008"/>
        <n v="6356.3583000000017"/>
        <n v="5198.0814"/>
        <n v="2394.9900000000002"/>
        <n v="4398.3765999999996"/>
        <n v="4484.5975000000008"/>
        <n v="6498.6344000000017"/>
        <n v="9840.3553000000029"/>
        <n v="8416.4192000000021"/>
        <n v="4376.8643999999995"/>
        <n v="4029.7751000000007"/>
        <n v="11279.300600000002"/>
        <n v="9855.4959000000017"/>
        <n v="6631.2900999999983"/>
        <n v="10549.022699999998"/>
        <n v="11408.474699999999"/>
        <n v="8693.2276000000038"/>
        <n v="10118.732599999999"/>
        <n v="4963.9422999999988"/>
        <n v="15202.111999999997"/>
        <n v="8587.4422000000013"/>
        <n v="10622.451300000001"/>
        <n v="8115.6350000000002"/>
        <n v="294.01"/>
        <n v="4487.7980000000016"/>
        <n v="9322.5256000000027"/>
        <n v="4865.3630000000003"/>
        <n v="4053.9567999999999"/>
        <n v="3613.4896999999996"/>
        <n v="7.8100000000000005"/>
        <n v="3310.5032000000006"/>
        <n v="22908.713799999998"/>
        <n v="9113.0563999999977"/>
        <n v="8965.2411999999986"/>
        <n v="9590.7699999999968"/>
        <n v="14166.809000000001"/>
        <n v="3560.7188000000001"/>
        <n v="8313.2645000000011"/>
        <n v="5337.5659000000005"/>
        <n v="4133.0892000000003"/>
        <n v="4166.4250999999995"/>
        <n v="88.507899999999992"/>
        <n v="2665.2743"/>
        <n v="4169.0632000000005"/>
        <n v="7314.2404999999981"/>
        <n v="4219.0415000000003"/>
        <n v="3404.8309999999997"/>
        <n v="1654.6151999999997"/>
        <n v="2034.0350000000001"/>
        <n v="1945.1207000000002"/>
        <n v="2294.2761"/>
        <n v="2146.6700999999998"/>
        <n v="11290.052699999997"/>
        <n v="178.21880000000002"/>
        <n v="9706.9772000000012"/>
        <n v="3354.6335000000008"/>
        <n v="4754.8543"/>
        <n v="6320.4907999999987"/>
        <n v="2710.2240999999999"/>
        <n v="5509.8689999999988"/>
        <n v="5093.630000000001"/>
        <n v="6715.0942000000014"/>
        <n v="6232.8992999999991"/>
        <n v="11357.647599999998"/>
        <n v="5581.7771999999995"/>
        <m/>
        <n v="4186.0928000000004"/>
        <n v="6245.7012000000004"/>
        <n v="5305.7251999999999"/>
        <n v="7402.6991999999982"/>
        <n v="5754.2478999999994"/>
        <n v="3700.7409000000002"/>
        <n v="9326.2278999999999"/>
        <n v="4332.0007999999998"/>
        <n v="2567.6850000000004"/>
        <n v="7884.5117999999993"/>
        <n v="4696.2592999999997"/>
        <n v="9442.498999999998"/>
        <n v="4579.8424000000005"/>
        <n v="15220.608299999996"/>
        <n v="3471.0932000000007"/>
        <n v="6849.6787000000004"/>
        <n v="89.039999999999992"/>
        <n v="9953.4867000000031"/>
        <n v="4886.660899999998"/>
        <n v="3129.0450000000001"/>
        <n v="8274.6805000000004"/>
        <n v="13748.459900000002"/>
        <n v="548.67459999999994"/>
        <n v="608.32060000000001"/>
        <n v="923.77089999999998"/>
        <n v="384.44319999999999"/>
        <n v="319.64620000000002"/>
        <n v="1192.7165999999997"/>
        <n v="201.73"/>
        <n v="582.27629999999999"/>
        <n v="4937.4768000000004"/>
        <n v="4980.4322999999995"/>
        <n v="8994.9066999999995"/>
        <n v="9002.8785000000062"/>
        <n v="4299.8864000000003"/>
        <n v="4705.0572000000002"/>
        <n v="3957.5401000000006"/>
        <n v="7114.6004000000021"/>
        <n v="503.28610000000003"/>
        <n v="336.44"/>
        <n v="780.33139999999992"/>
        <n v="309"/>
        <n v="100.35"/>
        <n v="327.47000000000003"/>
        <n v="903.20470000000012"/>
        <n v="360.55509999999998"/>
        <n v="5148.6716999999999"/>
        <n v="4903.4994999999999"/>
        <n v="14315.960199999996"/>
        <n v="3346.4627"/>
        <n v="8860.7936000000027"/>
        <n v="5856.6905999999999"/>
        <n v="4866.8465999999999"/>
        <n v="12612.937"/>
        <n v="5043.5026000000007"/>
        <n v="7996.3783999999987"/>
        <n v="13202.590900000003"/>
        <n v="13065.2862"/>
        <n v="6001.6105000000007"/>
        <n v="6207.0879999999988"/>
        <n v="5525.9141000000009"/>
        <n v="10811.056399999999"/>
        <n v="11215.436699999998"/>
        <n v="7703.5600999999997"/>
        <n v="9506.607399999999"/>
        <n v="6021.2534999999998"/>
        <n v="5285.0582999999997"/>
        <n v="6381.6605"/>
        <n v="4093.2525000000001"/>
        <n v="10061.4033"/>
        <n v="6425.8486999999996"/>
        <n v="117.29"/>
        <n v="2026.1950999999997"/>
        <n v="6527.8704000000016"/>
        <n v="2980.0241999999998"/>
        <n v="8273.086699999998"/>
        <n v="8933.1424000000006"/>
        <n v="9422.8871999999974"/>
        <n v="9833.8477000000003"/>
        <n v="7177.0855000000001"/>
        <n v="3940.0544999999997"/>
        <n v="5200.2104999999992"/>
        <n v="2344.56"/>
        <n v="4400.8482999999997"/>
        <n v="6171.1518000000005"/>
        <n v="8336.0857999999989"/>
        <n v="5073.6706000000004"/>
        <n v="5318.9183000000021"/>
        <n v="2972.39"/>
        <n v="4035.7064000000009"/>
        <n v="7590.5024999999987"/>
        <n v="11741.595899999998"/>
        <n v="14526.952700000002"/>
        <n v="12665.839900000001"/>
        <n v="7284.7302000000009"/>
        <n v="8747.7469000000001"/>
        <n v="5895.162800000001"/>
        <n v="5150.3623999999991"/>
        <n v="1105.0600000000002"/>
        <n v="7487.7385999999997"/>
        <n v="4853.4379000000008"/>
        <n v="5329.0613999999987"/>
        <n v="5001.3552000000009"/>
        <n v="6823.5220000000018"/>
        <n v="8078.9712"/>
        <n v="7743.2272999999996"/>
        <n v="4673.7142000000013"/>
        <n v="5095.2796999999991"/>
        <n v="4427.8446999999996"/>
        <n v="11713.297699999997"/>
        <n v="15147.262199999999"/>
        <n v="8300.6509999999998"/>
        <n v="8130.1770999999999"/>
        <n v="7044.1851999999999"/>
        <n v="5286.9397000000008"/>
        <n v="7788.575499999999"/>
        <n v="7204.1584999999995"/>
        <n v="6619.6922999999997"/>
        <n v="4788.9506999999994"/>
        <n v="2815.3048999999996"/>
        <n v="2159.25" u="1"/>
        <n v="2619.3967000000002" u="1"/>
        <n v="4742.9238999999998" u="1"/>
        <n v="4235.1897000000008" u="1"/>
        <n v="8283.3755000000001" u="1"/>
        <n v="4986.1837999999998" u="1"/>
        <n v="6375.5529999999999" u="1"/>
        <n v="1929.2749000000001" u="1"/>
        <n v="939.53369999999995" u="1"/>
        <n v="3199.7732000000005" u="1"/>
        <n v="3722.9824999999996" u="1"/>
        <n v="3123.1498000000001" u="1"/>
        <n v="2705.0935999999997" u="1"/>
        <n v="9498.8553000000011" u="1"/>
        <n v="2969.8675000000007" u="1"/>
        <n v="3211.0864000000001" u="1"/>
        <n v="5984.2976999999992" u="1"/>
        <n v="4680.2372999999989" u="1"/>
        <n v="5310.0836000000008" u="1"/>
        <n v="12142.139500000003" u="1"/>
        <n v="2299.6952999999999" u="1"/>
        <n v="4566.3077000000003" u="1"/>
        <n v="4774.7458000000006" u="1"/>
        <n v="3770.9450999999995" u="1"/>
        <n v="3454.5956000000006" u="1"/>
        <n v="10468.996500000001" u="1"/>
        <n v="5498.1113000000005" u="1"/>
        <n v="3770.9417000000003" u="1"/>
        <n v="4874.5421999999999" u="1"/>
        <n v="3820.0754000000002" u="1"/>
        <n v="4617.6470000000008" u="1"/>
        <n v="4117.0920999999998" u="1"/>
        <n v="2177.3200000000002" u="1"/>
        <n v="3211.3409000000001" u="1"/>
        <n v="3839.1875000000005" u="1"/>
        <n v="5558.9044000000004" u="1"/>
        <n v="5965.7988999999998" u="1"/>
        <n v="5400.2844999999998" u="1"/>
        <n v="3266.6876999999999" u="1"/>
        <n v="2345.6050000000005" u="1"/>
        <n v="8747.1144000000004" u="1"/>
        <n v="5742.7924000000012" u="1"/>
        <n v="4923.2100999999984" u="1"/>
        <n v="7677.7066999999997" u="1"/>
        <n v="8113.5883000000003" u="1"/>
        <n v="5032.2155000000021" u="1"/>
        <n v="6835.7181" u="1"/>
        <n v="2726.0382" u="1"/>
        <n v="9514.5743000000002" u="1"/>
        <n v="5903.8859000000002" u="1"/>
        <n v="5874.6598000000013" u="1"/>
        <n v="5646.5681000000013" u="1"/>
        <n v="3110.8106000000002" u="1"/>
        <n v="6237.1216000000004" u="1"/>
        <n v="3777.5448000000006" u="1"/>
        <n v="2448.3341" u="1"/>
        <n v="2145.9241000000002" u="1"/>
        <n v="2544.0548000000003" u="1"/>
        <n v="4941.0870000000004" u="1"/>
        <n v="6994.975199999998" u="1"/>
        <n v="7751.0384999999987" u="1"/>
        <n v="8167.61" u="1"/>
        <n v="5022.6726999999983" u="1"/>
        <n v="1079.5219" u="1"/>
        <n v="5936.7856000000002" u="1"/>
        <n v="3949.9775" u="1"/>
        <n v="3040.6413000000002" u="1"/>
        <n v="2666.9047999999998" u="1"/>
        <n v="45.629599999999996" u="1"/>
        <n v="2559.0687000000003" u="1"/>
        <n v="2838.0041999999999" u="1"/>
        <n v="5882.4876999999997" u="1"/>
        <n v="2831.9106000000002" u="1"/>
        <n v="1667.5541000000001" u="1"/>
        <n v="1019.4965" u="1"/>
        <n v="1220.4928000000002" u="1"/>
        <n v="1106.5344" u="1"/>
        <n v="1195.5133999999998" u="1"/>
        <n v="1389.6315999999999" u="1"/>
        <n v="5833.1430999999993" u="1"/>
        <n v="91.879300000000001" u="1"/>
        <n v="7084.4485000000004" u="1"/>
        <n v="1963.9091000000001" u="1"/>
        <n v="3670.8041999999996" u="1"/>
        <n v="3213.6682999999998" u="1"/>
        <n v="1743.8840999999998" u="1"/>
        <n v="2700.1003999999994" u="1"/>
        <n v="3623.2200000000003" u="1"/>
        <n v="3504.1832999999997" u="1"/>
        <n v="5914.6758" u="1"/>
        <n v="8953.6885999999995" u="1"/>
        <n v="4544.1241999999993" u="1"/>
        <n v="2469.6534999999999" u="1"/>
        <n v="2932.2557999999999" u="1"/>
        <n v="2587.8409999999999" u="1"/>
        <n v="4920.2879999999996" u="1"/>
        <n v="3002.8558000000003" u="1"/>
        <n v="2854.8649" u="1"/>
        <n v="6696.5131000000001" u="1"/>
        <n v="3176.2808" u="1"/>
        <n v="1742.6876000000002" u="1"/>
        <n v="6072.9449999999997" u="1"/>
        <n v="3455.58" u="1"/>
        <n v="6395.4872999999989" u="1"/>
        <n v="2930.7531000000004" u="1"/>
        <n v="8388.2544999999973" u="1"/>
        <n v="1989.6509000000003" u="1"/>
        <n v="5578.239700000001" u="1"/>
        <n v="8258.5929000000015" u="1"/>
        <n v="2820.9285999999997" u="1"/>
        <n v="1725.3850000000002" u="1"/>
        <n v="7874.3351999999995" u="1"/>
        <n v="9012.4221999999991" u="1"/>
        <n v="328.81959999999998" u="1"/>
        <n v="388.84379999999999" u="1"/>
        <n v="539.88620000000003" u="1"/>
        <n v="268.74689999999998" u="1"/>
        <n v="209.94540000000001" u="1"/>
        <n v="821.92639999999994" u="1"/>
        <n v="42.16" u="1"/>
        <n v="423.0514" u="1"/>
        <n v="3803.1668000000004" u="1"/>
        <n v="3055.7166999999995" u="1"/>
        <n v="5814.3612000000003" u="1"/>
        <n v="5912.0616000000009" u="1"/>
        <n v="2299.1664000000001" u="1"/>
        <n v="3100.7162000000003" u="1"/>
        <n v="2490.6773000000003" u="1"/>
        <n v="5183.8813000000009" u="1"/>
        <n v="333.21339999999998" u="1"/>
        <n v="206.7" u="1"/>
        <n v="439.77619999999996" u="1"/>
        <n v="174.5" u="1"/>
        <n v="192.97" u="1"/>
        <n v="448.87" u="1"/>
        <n v="201.0788" u="1"/>
        <n v="3330.2768000000005" u="1"/>
        <n v="2794.6619999999998" u="1"/>
        <n v="9087.3594999999987" u="1"/>
        <n v="1878.8529000000001" u="1"/>
        <n v="6466.4666000000007" u="1"/>
        <n v="3136.5947999999994" u="1"/>
        <n v="3394.9941000000003" u="1"/>
        <n v="8346.1365999999998" u="1"/>
        <n v="3849.2774999999997" u="1"/>
        <n v="5365.869999999999" u="1"/>
        <n v="9454.3114000000005" u="1"/>
        <n v="9582.4251000000004" u="1"/>
        <n v="3968.1486999999997" u="1"/>
        <n v="3742.7692999999995" u="1"/>
        <n v="3739.0931000000005" u="1"/>
        <n v="8302.9953000000005" u="1"/>
        <n v="9696.4916999999987" u="1"/>
        <n v="6179.4312" u="1"/>
        <n v="7957.633600000001" u="1"/>
        <n v="2921.9867000000004" u="1"/>
        <n v="4414.5330999999996" u="1"/>
        <n v="5160.7003000000004" u="1"/>
        <n v="3080.6386000000002" u="1"/>
        <n v="5012.3047000000006" u="1"/>
        <n v="3197.6597000000006" u="1"/>
        <n v="1186.9993999999999" u="1"/>
        <n v="5233.4694" u="1"/>
        <n v="1299.8788999999999" u="1"/>
        <n v="4811.7759999999998" u="1"/>
        <n v="7289.5753000000004" u="1"/>
        <n v="4838.2169000000004" u="1"/>
        <n v="7230.612000000001" u="1"/>
        <n v="3188.3358000000007" u="1"/>
        <n v="2061.0649999999996" u="1"/>
        <n v="3492.2583999999997" u="1"/>
        <n v="1948.68" u="1"/>
        <n v="3029.6466" u="1"/>
        <n v="3390.9418000000005" u="1"/>
        <n v="5926.4657999999999" u="1"/>
        <n v="3580.7895000000008" u="1"/>
        <n v="3985.1987000000004" u="1"/>
        <n v="1828.07" u="1"/>
        <n v="2642.1730000000002" u="1"/>
        <n v="4060.2755000000002" u="1"/>
        <n v="10179.488599999999" u="1"/>
        <n v="10239.851600000004" u="1"/>
        <n v="7964.4591999999993" u="1"/>
        <n v="4684.6496000000006" u="1"/>
        <n v="7120.2623999999996" u="1"/>
        <n v="3607.7968000000001" u="1"/>
        <n v="2761.3626999999997" u="1"/>
        <n v="875.3900000000001" u="1"/>
        <n v="4923.3107" u="1"/>
        <n v="3711.2268999999997" u="1"/>
        <n v="2396.3538999999996" u="1"/>
        <n v="3309.7248" u="1"/>
        <n v="4555.71" u="1"/>
        <n v="4711.6701000000003" u="1"/>
        <n v="5659.431099999998" u="1"/>
        <n v="3654.3601000000008" u="1"/>
        <n v="3808.5080999999996" u="1"/>
        <n v="3174.5980999999992" u="1"/>
        <n v="7761.9952000000003" u="1"/>
        <n v="11695.373999999998" u="1"/>
        <n v="4804.3955000000005" u="1"/>
        <n v="5918.3738999999996" u="1"/>
        <n v="4401.5702999999985" u="1"/>
        <n v="3866.6564000000003" u="1"/>
        <n v="5379.8582999999999" u="1"/>
        <n v="4593.3027000000002" u="1"/>
        <n v="4683.2788999999993" u="1"/>
        <n v="2896.3462" u="1"/>
        <n v="1060.1328999999998" u="1"/>
      </sharedItems>
    </cacheField>
    <cacheField name="Total Costos" numFmtId="164">
      <sharedItems containsString="0" containsBlank="1" containsNumber="1" minValue="0" maxValue="257180.20309999966" count="425">
        <n v="6947.4527000000007"/>
        <n v="14687.741600000001"/>
        <n v="32697.558699999983"/>
        <n v="15998.934800000005"/>
        <n v="36.44"/>
        <n v="11997.411900000001"/>
        <n v="34119.282799999994"/>
        <n v="2333.7606999999998"/>
        <n v="2968.2676999999994"/>
        <n v="16132.548599999996"/>
        <n v="8740.6517999999978"/>
        <n v="13834.796600000003"/>
        <n v="9401.8043000000016"/>
        <n v="20768.793699999995"/>
        <n v="19545.710199999998"/>
        <n v="15114.514299999999"/>
        <n v="31036.039099999987"/>
        <n v="15663.179099999994"/>
        <n v="15910.026100000003"/>
        <n v="30460.891399999982"/>
        <n v="16093.052300000001"/>
        <n v="41079.543299999998"/>
        <n v="9301.5251999999982"/>
        <n v="17477.488600000004"/>
        <n v="15726.9341"/>
        <n v="34699.062299999991"/>
        <n v="26992.1423"/>
        <n v="11468.387700000001"/>
        <n v="9890.8362000000016"/>
        <n v="22945.701200000003"/>
        <n v="9630.4932000000008"/>
        <n v="13907.911000000002"/>
        <n v="6670.5461000000005"/>
        <n v="31562.3835"/>
        <n v="7095.0003000000015"/>
        <n v="14662.866700000002"/>
        <n v="16686.886400000003"/>
        <n v="16240.193999999998"/>
        <n v="8624.3359999999975"/>
        <n v="11659.214499999998"/>
        <n v="45016.028299999969"/>
        <n v="11886.474600000001"/>
        <n v="21969.584600000002"/>
        <n v="42411.354599999991"/>
        <n v="34498.453099999992"/>
        <n v="21224.9679"/>
        <n v="21282.434600000004"/>
        <n v="17009.853700000003"/>
        <n v="31622.049699999989"/>
        <n v="36412.642800000009"/>
        <n v="38269.506999999991"/>
        <n v="34257.674400000004"/>
        <n v="0"/>
        <n v="20436.174800000008"/>
        <n v="29636.054399999979"/>
        <n v="15106.1756"/>
        <n v="14932.618700000003"/>
        <n v="13286.649500000001"/>
        <m/>
        <n v="5976.4705000000004"/>
        <n v="16763.153599999998"/>
        <n v="28596.079899999997"/>
        <n v="24101.751199999992"/>
        <n v="7425.6234000000013"/>
        <n v="31597.04979999999"/>
        <n v="5077.1590000000015"/>
        <n v="25625.14439999999"/>
        <n v="13794.725000000002"/>
        <n v="9168.1681000000008"/>
        <n v="8755.1661999999997"/>
        <n v="257180.20309999966"/>
        <n v="14470.405300000004"/>
        <n v="13875.035400000001"/>
        <n v="19273.358299999996"/>
        <n v="10056.7559"/>
        <n v="11559.601200000003"/>
        <n v="3393.0682000000002"/>
        <n v="7693.9953000000005"/>
        <n v="5921.1911000000009"/>
        <n v="4790.1670999999988"/>
        <n v="2126.75"/>
        <n v="16796.456599999998"/>
        <n v="27927.477400000003"/>
        <n v="9522.8567999999996"/>
        <n v="12972.288300000002"/>
        <n v="26139.3632"/>
        <n v="5673.4320000000007"/>
        <n v="27023.394799999995"/>
        <n v="16866.494200000001"/>
        <n v="19506.6783"/>
        <n v="10438.922199999999"/>
        <n v="27567.433100000002"/>
        <n v="12100.084999999997"/>
        <n v="7416.3736000000017"/>
        <n v="11363.818000000001"/>
        <n v="9108.3726999999981"/>
        <n v="9468.4331999999995"/>
        <n v="20733.548399999989"/>
        <n v="11249.810100000002"/>
        <n v="17417.435499999992"/>
        <n v="8284.432899999998"/>
        <n v="6057.6498000000011"/>
        <n v="16751.032700000003"/>
        <n v="8875.8978999999999"/>
        <n v="26484.496999999996"/>
        <n v="15486.050300000001"/>
        <n v="28634.227399999989"/>
        <n v="8383.4925999999996"/>
        <n v="13288.919900000003"/>
        <n v="17266.154000000002"/>
        <n v="15606.434899999998"/>
        <n v="13402.159799999996"/>
        <n v="12821.6091"/>
        <n v="40195.568700000011"/>
        <n v="1246.8933999999999"/>
        <n v="2497.6070999999997"/>
        <n v="936.70209999999997"/>
        <n v="1652.3591000000001"/>
        <n v="1298.2914000000001"/>
        <n v="4571.3865000000005"/>
        <n v="1423.5313000000001"/>
        <n v="405.2312"/>
        <n v="15509.043699999997"/>
        <n v="6854.8878000000013"/>
        <n v="42796.881299999972"/>
        <n v="32194.092199999985"/>
        <n v="13712.532999999999"/>
        <n v="13254.677299999998"/>
        <n v="11241.690200000001"/>
        <n v="29881.941199999987"/>
        <n v="696.51090000000011"/>
        <n v="221.90369999999999"/>
        <n v="1525.7727000000002"/>
        <n v="128.82140000000001"/>
        <n v="1426.2823000000001"/>
        <n v="162.44649999999999"/>
        <n v="88.349700000000013"/>
        <n v="375.45300000000003"/>
        <n v="903.75509999999997"/>
        <n v="716.53899999999999"/>
        <n v="28121.859"/>
        <n v="11142.342200000001"/>
        <n v="25396.803699999993"/>
        <n v="9538.455899999999"/>
        <n v="9321.1772999999994"/>
        <n v="17837.170099999996"/>
        <n v="18666.5177"/>
        <n v="35488.581399999988"/>
        <n v="27797.565599999994"/>
        <n v="30904.996799999968"/>
        <n v="29169.396499999977"/>
        <n v="32566.43459999999"/>
        <n v="14740.664700000001"/>
        <n v="7043.3004000000019"/>
        <n v="25346.786299999996"/>
        <n v="30688.716799999995"/>
        <n v="12600.460799999997"/>
        <n v="16385.001199999995"/>
        <n v="9254.3249999999989"/>
        <n v="6697.9514000000008"/>
        <n v="6704.6248999999989"/>
        <n v="6896.2046"/>
        <n v="12560.100200000003"/>
        <n v="26034.163799999995"/>
        <n v="17094.964100000008"/>
        <n v="8705.8202000000001"/>
        <n v="10837.287700000001"/>
        <n v="42199.850899999983"/>
        <n v="22156.199399999998"/>
        <n v="18268.7706"/>
        <n v="29181.402900000005"/>
        <n v="15775.650399999999"/>
        <n v="7397.1689999999981"/>
        <n v="9568.6849999999995"/>
        <n v="20229.570699999993"/>
        <n v="10495.845499999999"/>
        <n v="11895.095899999997"/>
        <n v="9612.9945000000007"/>
        <n v="42560.749399999986"/>
        <n v="20569.892499999998"/>
        <n v="11283.174900000004"/>
        <n v="9093.0144999999975"/>
        <n v="8726.9066000000003"/>
        <n v="42499.916099999966"/>
        <n v="18959.229400000004"/>
        <n v="51932.715599999989"/>
        <n v="25295.65860000001"/>
        <n v="22747.49159999999"/>
        <n v="22177.551199999994"/>
        <n v="9203.7434000000012"/>
        <n v="8384.4547999999977"/>
        <n v="2134.2161000000001"/>
        <n v="25166.191099999993"/>
        <n v="29655.352099999986"/>
        <n v="8101.9835000000003"/>
        <n v="15726.394899999999"/>
        <n v="29698.252199999992"/>
        <n v="28085.552"/>
        <n v="16830.6626"/>
        <n v="10429.747000000001"/>
        <n v="28569.154299999991"/>
        <n v="12526.994099999998"/>
        <n v="8040.6542999999992"/>
        <n v="47110.347699999991"/>
        <n v="10943.292000000003"/>
        <n v="20626.725800000004"/>
        <n v="13481.776399999999"/>
        <n v="16528.559200000003"/>
        <n v="21546.244499999993"/>
        <n v="23760.069899999999"/>
        <n v="27337.3282"/>
        <n v="10478.711200000003"/>
        <n v="19185.102699999999"/>
        <n v="28118.398099999995" u="1"/>
        <n v="6701.4123000000009" u="1"/>
        <n v="2734.4619000000002" u="1"/>
        <n v="5183.096700000001" u="1"/>
        <n v="13961.530499999995" u="1"/>
        <n v="6805.6481000000003" u="1"/>
        <n v="5699.2232999999987" u="1"/>
        <n v="11868.3786" u="1"/>
        <n v="1413.5870000000004" u="1"/>
        <n v="1460.0899999999992" u="1"/>
        <n v="6891.0133000000014" u="1"/>
        <n v="4086.5310999999992" u="1"/>
        <n v="7321.9928000000018" u="1"/>
        <n v="3568.7147" u="1"/>
        <n v="9003.2711999999992" u="1"/>
        <n v="10212.011299999998" u="1"/>
        <n v="7268.2430999999997" u="1"/>
        <n v="12535.840899999992" u="1"/>
        <n v="3493.7024000000001" u="1"/>
        <n v="6834.1904999999997" u="1"/>
        <n v="13665.257499999994" u="1"/>
        <n v="7025.4323000000004" u="1"/>
        <n v="18613.40949999998" u="1"/>
        <n v="3889.5868000000005" u="1"/>
        <n v="7262.182899999998" u="1"/>
        <n v="6490.9121000000005" u="1"/>
        <n v="15173.589199999997" u="1"/>
        <n v="12723.279199999995" u="1"/>
        <n v="5226.3883000000005" u="1"/>
        <n v="4655.2261000000008" u="1"/>
        <n v="12135.330899999997" u="1"/>
        <n v="4785.5920000000006" u="1"/>
        <n v="5487.9900999999991" u="1"/>
        <n v="2537.9955" u="1"/>
        <n v="12303.315000000002" u="1"/>
        <n v="3179.5395000000008" u="1"/>
        <n v="7064.1209000000008" u="1"/>
        <n v="7498.6854999999996" u="1"/>
        <n v="10081.635499999999" u="1"/>
        <n v="3812.3137999999994" u="1"/>
        <n v="4235.9103999999998" u="1"/>
        <n v="17179.35509999999" u="1"/>
        <n v="4605.0574999999999" u="1"/>
        <n v="9661.0989000000009" u="1"/>
        <n v="19706.394699999997" u="1"/>
        <n v="15238.573599999992" u="1"/>
        <n v="8443.9426999999996" u="1"/>
        <n v="9244.9574000000048" u="1"/>
        <n v="5325.4461000000001" u="1"/>
        <n v="16343.859700000001" u="1"/>
        <n v="14371.884100000001" u="1"/>
        <n v="15286.602799999999" u="1"/>
        <n v="11810.005300000001" u="1"/>
        <n v="6816.0469000000021" u="1"/>
        <n v="13164.193999999998" u="1"/>
        <n v="6134.8919000000005" u="1"/>
        <n v="5176.8091000000013" u="1"/>
        <n v="6539.8850000000002" u="1"/>
        <n v="2669.5304999999998" u="1"/>
        <n v="7033.5911000000006" u="1"/>
        <n v="11680.544900000001" u="1"/>
        <n v="10373.899699999996" u="1"/>
        <n v="2582.3405999999995" u="1"/>
        <n v="13936.775099999997" u="1"/>
        <n v="3191.1233000000002" u="1"/>
        <n v="9334.5740999999962" u="1"/>
        <n v="3719.0366999999997" u="1"/>
        <n v="3783.0419999999999" u="1"/>
        <n v="3647.0425000000005" u="1"/>
        <n v="40506.971700000002" u="1"/>
        <n v="6013.8104000000012" u="1"/>
        <n v="4683.0019000000002" u="1"/>
        <n v="10387.436999999998" u="1"/>
        <n v="4137.5940000000001" u="1"/>
        <n v="3841.6188000000002" u="1"/>
        <n v="1063.1359" u="1"/>
        <n v="2320.6428000000001" u="1"/>
        <n v="2511.5980999999997" u="1"/>
        <n v="2662.8205999999996" u="1"/>
        <n v="920.92920000000015" u="1"/>
        <n v="8593.8622999999989" u="1"/>
        <n v="12401.909100000003" u="1"/>
        <n v="4035.0506000000009" u="1"/>
        <n v="7334.3557000000019" u="1"/>
        <n v="9830.258600000001" u="1"/>
        <n v="2320.9423000000006" u="1"/>
        <n v="14706.179999999998" u="1"/>
        <n v="7089.7734999999984" u="1"/>
        <n v="8845.2387999999992" u="1"/>
        <n v="4997.1304" u="1"/>
        <n v="7420.9354999999996" u="1"/>
        <n v="5892.9154000000008" u="1"/>
        <n v="3517.2361000000014" u="1"/>
        <n v="6748.7939999999999" u="1"/>
        <n v="6105.3067999999985" u="1"/>
        <n v="4274.1820000000007" u="1"/>
        <n v="10776.934899999993" u="1"/>
        <n v="5155.8958000000002" u="1"/>
        <n v="10624.237499999996" u="1"/>
        <n v="3389.278499999999" u="1"/>
        <n v="4995.4692000000005" u="1"/>
        <n v="6259.6776000000018" u="1"/>
        <n v="3813.7697000000003" u="1"/>
        <n v="11917.3362" u="1"/>
        <n v="7025.5902000000015" u="1"/>
        <n v="15931.225999999991" u="1"/>
        <n v="3406.2097999999992" u="1"/>
        <n v="6179.8659000000007" u="1"/>
        <n v="9995.4130000000023" u="1"/>
        <n v="6097.3167999999996" u="1"/>
        <n v="6170.4435999999987" u="1"/>
        <n v="5230.1841999999997" u="1"/>
        <n v="15364.365899999999" u="1"/>
        <n v="749.28679999999997" u="1"/>
        <n v="1417.2195999999997" u="1"/>
        <n v="529.12059999999997" u="1"/>
        <n v="508.54859999999996" u="1"/>
        <n v="850.29610000000002" u="1"/>
        <n v="2611.2429999999999" u="1"/>
        <n v="508.33710000000002" u="1"/>
        <n v="174.72480000000002" u="1"/>
        <n v="6898.3266999999996" u="1"/>
        <n v="3638.2017999999998" u="1"/>
        <n v="16661.355299999992" u="1"/>
        <n v="15271.303199999993" u="1"/>
        <n v="6243.0498999999991" u="1"/>
        <n v="5584.7904000000017" u="1"/>
        <n v="5681.3004999999994" u="1"/>
        <n v="10359.821400000004" u="1"/>
        <n v="262.00720000000007" u="1"/>
        <n v="181.65159999999997" u="1"/>
        <n v="404.69819999999999" u="1"/>
        <n v="76.504800000000003" u="1"/>
        <n v="387.5985" u="1"/>
        <n v="100.19080000000001" u="1"/>
        <n v="64.722600000000014" u="1"/>
        <n v="250.47129999999999" u="1"/>
        <n v="214.17780000000002" u="1"/>
        <n v="199.63699999999997" u="1"/>
        <n v="12914.152300000007" u="1"/>
        <n v="4108.0066999999999" u="1"/>
        <n v="11624.449799999995" u="1"/>
        <n v="4255.1423000000004" u="1"/>
        <n v="4346.1937999999991" u="1"/>
        <n v="6878.0236000000014" u="1"/>
        <n v="6616.390699999999" u="1"/>
        <n v="16347.091999999993" u="1"/>
        <n v="10863.375799999996" u="1"/>
        <n v="12650.723299999994" u="1"/>
        <n v="14387.637999999994" u="1"/>
        <n v="13626.892199999997" u="1"/>
        <n v="6017.1488000000008" u="1"/>
        <n v="4510.3173000000015" u="1"/>
        <n v="8864.3708999999999" u="1"/>
        <n v="14447.5911" u="1"/>
        <n v="5585.8574999999992" u="1"/>
        <n v="7027.1175999999996" u="1"/>
        <n v="3497.7686000000008" u="1"/>
        <n v="2016.7322999999999" u="1"/>
        <n v="2894.1513000000004" u="1"/>
        <n v="2863.3379000000004" u="1"/>
        <n v="5606.8502000000008" u="1"/>
        <n v="11340.194099999999" u="1"/>
        <n v="6222.2284" u="1"/>
        <n v="3716.9017000000008" u="1"/>
        <n v="5457.9657999999981" u="1"/>
        <n v="19186.942199999994" u="1"/>
        <n v="9157.085299999997" u="1"/>
        <n v="7392.1305999999995" u="1"/>
        <n v="11060.205300000001" u="1"/>
        <n v="6769.5036" u="1"/>
        <n v="3361.2993999999999" u="1"/>
        <n v="3791.8434000000002" u="1"/>
        <n v="7510.7602000000024" u="1"/>
        <n v="4256.8715999999986" u="1"/>
        <n v="4940.7601999999997" u="1"/>
        <n v="4222.2299000000003" u="1"/>
        <n v="18309.720599999993" u="1"/>
        <n v="8621.5604000000021" u="1"/>
        <n v="3469.8365999999996" u="1"/>
        <n v="3544.7816000000007" u="1"/>
        <n v="4347.7485000000006" u="1"/>
        <n v="16179.394299999994" u="1"/>
        <n v="7683.6277" u="1"/>
        <n v="23215.819300000003" u="1"/>
        <n v="10432.560000000001" u="1"/>
        <n v="8629.6058999999987" u="1"/>
        <n v="8982.190499999997" u="1"/>
        <n v="3785.3813999999998" u="1"/>
        <n v="3824.7979" u="1"/>
        <n v="563.77690000000007" u="1"/>
        <n v="10170.571499999995" u="1"/>
        <n v="14215.244399999994" u="1"/>
        <n v="3196.4530999999993" u="1"/>
        <n v="5370.5041999999994" u="1"/>
        <n v="11114.967999999997" u="1"/>
        <n v="11548.167799999996" u="1"/>
        <n v="6866.1906000000008" u="1"/>
        <n v="5370.5545999999986" u="1"/>
        <n v="12011.9748" u="1"/>
        <n v="5627.1476999999995" u="1"/>
        <n v="4199.3745999999992" u="1"/>
        <n v="22160.510200000001" u="1"/>
        <n v="4547.3464000000013" u="1"/>
        <n v="7239.1058999999996" u="1"/>
        <n v="5433.7282000000005" u="1"/>
        <n v="7144.2392000000009" u="1"/>
        <n v="10043.322499999998" u="1"/>
        <n v="11137.048599999998" u="1"/>
        <n v="10680.401599999997" u="1"/>
        <n v="4801.3175000000019" u="1"/>
        <n v="7233.9480000000003" u="1"/>
      </sharedItems>
    </cacheField>
    <cacheField name="Ingresos" numFmtId="164">
      <sharedItems containsString="0" containsBlank="1" containsNumber="1" minValue="-472224.23009999975" maxValue="0"/>
    </cacheField>
    <cacheField name="Otros Ingresos" numFmtId="164">
      <sharedItems containsString="0" containsBlank="1" containsNumber="1" minValue="-75207.184200000047" maxValue="0"/>
    </cacheField>
    <cacheField name="Total Ingresos" numFmtId="164">
      <sharedItems containsSemiMixedTypes="0" containsString="0" containsNumber="1" minValue="-547431.41429999983" maxValue="0" count="429">
        <n v="-16420.285100000001"/>
        <n v="-30098.349500000004"/>
        <n v="-79557.044899999979"/>
        <n v="-38738.390000000014"/>
        <n v="0"/>
        <n v="-31702.703400000017"/>
        <n v="-75182.00529999999"/>
        <n v="-5791.3038999999981"/>
        <n v="-8062.1670999999988"/>
        <n v="-35368.000100000005"/>
        <n v="-22183.713699999993"/>
        <n v="-25422.352699999996"/>
        <n v="-22309.494999999999"/>
        <n v="-56551.017800000009"/>
        <n v="-40307.834600000002"/>
        <n v="-32291.7304"/>
        <n v="-65768.033299999996"/>
        <n v="-27569.720200000003"/>
        <n v="-41365.876100000016"/>
        <n v="-65132.923799999997"/>
        <n v="-30724.552599999995"/>
        <n v="-70755.445900000021"/>
        <n v="-20665.978900000002"/>
        <n v="-31283.000799999987"/>
        <n v="-42926.093199999996"/>
        <n v="-84185.180599999992"/>
        <n v="-64801.331500000008"/>
        <n v="-19258.519899999996"/>
        <n v="-29421.965400000005"/>
        <n v="-52549.423100000015"/>
        <n v="-26154.751399999997"/>
        <n v="-30970.117299999994"/>
        <n v="-17357.021099999998"/>
        <n v="-56843.328700000035"/>
        <n v="-21216.427500000009"/>
        <n v="-35552.059399999991"/>
        <n v="-38397.216800000009"/>
        <n v="-38272.708999999995"/>
        <n v="-14140.095500000001"/>
        <n v="-29022.717500000002"/>
        <n v="-104753.17789999988"/>
        <n v="-32112.251100000001"/>
        <n v="-55750.942199999983"/>
        <n v="-73649.145200000028"/>
        <n v="-74383.693499999994"/>
        <n v="-57989.749799999976"/>
        <n v="-44818.538699999997"/>
        <n v="-39239.768400000001"/>
        <n v="-83637.398799999952"/>
        <n v="-82749.309099999984"/>
        <n v="-76756.398000000016"/>
        <n v="-76646.627199999988"/>
        <n v="-48156.325900000011"/>
        <n v="-67356.485100000005"/>
        <n v="-34912.526900000004"/>
        <n v="-31901.93810000001"/>
        <n v="-32921.081700000002"/>
        <n v="-12515.677299999999"/>
        <n v="-40548.624300000003"/>
        <n v="-70046.469400000002"/>
        <n v="-51010.104300000035"/>
        <n v="-22714.647199999999"/>
        <n v="-75094.302199999976"/>
        <n v="-9841.0005999999994"/>
        <n v="-70337.56819999998"/>
        <n v="-31265.090000000004"/>
        <n v="-20286.496200000001"/>
        <n v="-25156.368000000002"/>
        <n v="-547431.41429999983"/>
        <n v="-30973.905300000009"/>
        <n v="-27286.744900000005"/>
        <n v="-29214.654800000011"/>
        <n v="-24582.882000000001"/>
        <n v="-24635.005900000004"/>
        <n v="-7822.2114999999985"/>
        <n v="-20661.254500000006"/>
        <n v="-16035.903999999997"/>
        <n v="-11702.9467"/>
        <n v="-5978.489700000001"/>
        <n v="-38883.731300000014"/>
        <n v="-69413.491699999999"/>
        <n v="-23414.1999"/>
        <n v="-23268.951900000004"/>
        <n v="-56248.979300000006"/>
        <n v="-14263.466200000001"/>
        <n v="-46591.870700000007"/>
        <n v="-44267.767899999999"/>
        <n v="-50472.0628"/>
        <n v="-29656.507300000008"/>
        <n v="-59168.6201"/>
        <n v="-31155.9647"/>
        <n v="-20518.665700000001"/>
        <n v="-32911.512800000004"/>
        <n v="-24850.736700000001"/>
        <n v="-25549.104900000009"/>
        <n v="-32899.219300000012"/>
        <n v="-17346.034"/>
        <n v="-40480.253400000009"/>
        <n v="-21807.269300000004"/>
        <n v="-13190.9861"/>
        <n v="-44718.011200000001"/>
        <n v="-19966.899300000001"/>
        <n v="-54491.955500000011"/>
        <n v="-31068.24010000001"/>
        <n v="-67791.155499999993"/>
        <n v="-18371.479299999995"/>
        <n v="-29754.704000000009"/>
        <n v="-37839.124900000003"/>
        <n v="-34949.712200000016"/>
        <n v="-24656.467800000002"/>
        <n v="-39284.309899999993"/>
        <n v="-100391.52559999995"/>
        <n v="-2079.4348"/>
        <n v="-4027.2474999999999"/>
        <n v="-1608.0682999999999"/>
        <n v="-3514.9795999999997"/>
        <n v="-2814.2406000000001"/>
        <n v="-8331.891300000003"/>
        <n v="-2643.136"/>
        <n v="-798.37880000000007"/>
        <n v="-31745.626799999998"/>
        <n v="-16053.830899999999"/>
        <n v="-92498.367599999954"/>
        <n v="-76223.973899999983"/>
        <n v="-25637.911400000005"/>
        <n v="-38345.216199999995"/>
        <n v="-20861.6823"/>
        <n v="-74804.255700000009"/>
        <n v="-2231.0520999999999"/>
        <n v="-814.00029999999992"/>
        <n v="-4837.803100000001"/>
        <n v="-643.03110000000015"/>
        <n v="-3934.0037000000002"/>
        <n v="-736.18089999999995"/>
        <n v="-374.00060000000002"/>
        <n v="-1085.0011999999999"/>
        <n v="-2197.9107999999997"/>
        <n v="-1968.0009"/>
        <n v="-47563.000499999995"/>
        <n v="-29919.012600000005"/>
        <n v="-67630.385699999999"/>
        <n v="-26699.455600000001"/>
        <n v="-25551.926800000008"/>
        <n v="-43378.893700000001"/>
        <n v="-46867.981100000026"/>
        <n v="-82524.161499999958"/>
        <n v="-54310.328800000025"/>
        <n v="-71568.524599999975"/>
        <n v="-71203.044999999998"/>
        <n v="-71015.927499999991"/>
        <n v="-37111.649700000024"/>
        <n v="-18886.807099999995"/>
        <n v="-58694.535399999993"/>
        <n v="-84186.180300000007"/>
        <n v="-41373.429600000003"/>
        <n v="-53193.666400000016"/>
        <n v="-28367.999799999998"/>
        <n v="-30911.519999999997"/>
        <n v="-17469.626100000001"/>
        <n v="-20747.076400000002"/>
        <n v="-20584.982499999998"/>
        <n v="-65645.381700000013"/>
        <n v="-41536.5527"/>
        <n v="-20675.227100000004"/>
        <n v="-20445.248200000002"/>
        <n v="-67071.740600000005"/>
        <n v="-50763.334800000011"/>
        <n v="-41272.289700000008"/>
        <n v="-74714.968299999979"/>
        <n v="-37005.530500000008"/>
        <n v="-16947.290300000001"/>
        <n v="-20749.915300000004"/>
        <n v="-41064.798199999997"/>
        <n v="-23926.767599999999"/>
        <n v="-29264.055800000002"/>
        <n v="-27316.253499999995"/>
        <n v="-92246.548499999946"/>
        <n v="-50772.991900000008"/>
        <n v="-23534.190800000004"/>
        <n v="-23256.795599999998"/>
        <n v="-21303.079900000004"/>
        <n v="-95669.757099999901"/>
        <n v="-44429.067000000017"/>
        <n v="-119822.16239999988"/>
        <n v="-58530.337699999996"/>
        <n v="-54798.269499999995"/>
        <n v="-56719.567600000009"/>
        <n v="-17819.397300000001"/>
        <n v="-21598.923699999999"/>
        <n v="-5146.9983000000002"/>
        <n v="-61012.973499999993"/>
        <n v="-49369.202900000018"/>
        <n v="-20436.729600000006"/>
        <n v="-34926.467700000001"/>
        <n v="-71736.235099999991"/>
        <n v="-62778.250200000017"/>
        <n v="-43929.481200000009"/>
        <n v="-25576.880900000004"/>
        <n v="-55893.660700000015"/>
        <n v="-31938.685100000002"/>
        <n v="-25962.176800000008"/>
        <n v="-102599.39359999992"/>
        <n v="-26508.788300000004"/>
        <n v="-49129.255300000012"/>
        <n v="-35477.185400000002"/>
        <n v="-34962.066000000006"/>
        <n v="-56190.792000000016"/>
        <n v="-54402.334000000003"/>
        <n v="-66609.665700000012"/>
        <n v="-27700.970099999999"/>
        <n v="-45155.613900000011"/>
        <n v="-31706.427500000016" u="1"/>
        <n v="-29022.993400000003" u="1"/>
        <n v="-76789.398000000001" u="1"/>
        <n v="-59322.6201" u="1"/>
        <n v="-100398.52559999996" u="1"/>
        <n v="-71214.044999999998" u="1"/>
        <n v="-71741.234999999986" u="1"/>
        <n v="-5958.3154999999997" u="1"/>
        <n v="-12082.099300000002" u="1"/>
        <n v="-32329.193100000004" u="1"/>
        <n v="-16606.977400000003" u="1"/>
        <n v="-14151.085600000008" u="1"/>
        <n v="-28950.172600000016" u="1"/>
        <n v="-2518.4376999999995" u="1"/>
        <n v="-2685.5236" u="1"/>
        <n v="-16021.0002" u="1"/>
        <n v="-9118.2735999999986" u="1"/>
        <n v="-12436.790199999994" u="1"/>
        <n v="-8955.8270000000011" u="1"/>
        <n v="-24009.5602" u="1"/>
        <n v="-19431.737000000008" u="1"/>
        <n v="-14353.825799999999" u="1"/>
        <n v="-27421.577600000001" u="1"/>
        <n v="-7081.8606" u="1"/>
        <n v="-18980.646300000008" u="1"/>
        <n v="-27490.073" u="1"/>
        <n v="-13637.144099999998" u="1"/>
        <n v="-30934.081600000016" u="1"/>
        <n v="-8483.9704999999994" u="1"/>
        <n v="-12544.386099999996" u="1"/>
        <n v="-17460.0661" u="1"/>
        <n v="-33612.054200000013" u="1"/>
        <n v="-29566.916399999995" u="1"/>
        <n v="-8446.6219000000001" u="1"/>
        <n v="-13004.799299999999" u="1"/>
        <n v="-24554.852300000006" u="1"/>
        <n v="-12413.215199999999" u="1"/>
        <n v="-12495.030400000003" u="1"/>
        <n v="-6644.8125999999993" u="1"/>
        <n v="-23528.378400000016" u="1"/>
        <n v="-10465.875500000009" u="1"/>
        <n v="-15139.859200000001" u="1"/>
        <n v="-16414.352700000003" u="1"/>
        <n v="-18283.668299999994" u="1"/>
        <n v="-5691.2748000000001" u="1"/>
        <n v="-11313.582100000001" u="1"/>
        <n v="-40213.218299999979" u="1"/>
        <n v="-13422.623799999998" u="1"/>
        <n v="-24358.040099999998" u="1"/>
        <n v="-31036.380200000014" u="1"/>
        <n v="-30160.902799999993" u="1"/>
        <n v="-22184.946199999998" u="1"/>
        <n v="-18217.453200000004" u="1"/>
        <n v="-12636.934299999999" u="1"/>
        <n v="-37632.266599999988" u="1"/>
        <n v="-34278.575100000009" u="1"/>
        <n v="-31004.761599999998" u="1"/>
        <n v="-25950.871000000003" u="1"/>
        <n v="-18288.952400000002" u="1"/>
        <n v="-29257.569999999992" u="1"/>
        <n v="-13519.939100000003" u="1"/>
        <n v="-11052.096199999998" u="1"/>
        <n v="-12890.9444" u="1"/>
        <n v="-5156.3095000000003" u="1"/>
        <n v="-17438.209100000004" u="1"/>
        <n v="-28308.962400000004" u="1"/>
        <n v="-20528.960500000016" u="1"/>
        <n v="-9207.2536000000018" u="1"/>
        <n v="-32478.447" u="1"/>
        <n v="-3995.6550000000002" u="1"/>
        <n v="-25246.473399999995" u="1"/>
        <n v="-9335.4474000000009" u="1"/>
        <n v="-8580.9146000000001" u="1"/>
        <n v="-10701.878100000002" u="1"/>
        <n v="-102181.33839999992" u="1"/>
        <n v="-12112.068900000004" u="1"/>
        <n v="-9400.6656999999977" u="1"/>
        <n v="-15178.523900000002" u="1"/>
        <n v="-11126.585099999998" u="1"/>
        <n v="-9385.3765000000003" u="1"/>
        <n v="-2459.2601" u="1"/>
        <n v="-7576.2756000000027" u="1"/>
        <n v="-7361.4731999999995" u="1"/>
        <n v="-6151.4283000000005" u="1"/>
        <n v="-2278.4021000000002" u="1"/>
        <n v="-18625.276399999999" u="1"/>
        <n v="-30921.680099999998" u="1"/>
        <n v="-10504.280399999998" u="1"/>
        <n v="-13201.228800000003" u="1"/>
        <n v="-22321.472399999995" u="1"/>
        <n v="-5969.5910999999987" u="1"/>
        <n v="-23951.232900000006" u="1"/>
        <n v="-19096.310600000004" u="1"/>
        <n v="-23326.541100000002" u="1"/>
        <n v="-13556.354400000007" u="1"/>
        <n v="-23265.243000000002" u="1"/>
        <n v="-14782.999899999999" u="1"/>
        <n v="-8378.2903000000006" u="1"/>
        <n v="-16323.231700000002" u="1"/>
        <n v="-12522.287600000001" u="1"/>
        <n v="-9986.7534000000032" u="1"/>
        <n v="-16187.630299999997" u="1"/>
        <n v="-7830.5878999999986" u="1"/>
        <n v="-15977.596499999998" u="1"/>
        <n v="-8931.3395999999993" u="1"/>
        <n v="-7010.2751999999991" u="1"/>
        <n v="-16906.000199999999" u="1"/>
        <n v="-8952.8935000000019" u="1"/>
        <n v="-23729.51040000001" u="1"/>
        <n v="-13975.059800000001" u="1"/>
        <n v="-33666.844199999992" u="1"/>
        <n v="-6979.2407999999978" u="1"/>
        <n v="-12958.392000000005" u="1"/>
        <n v="-14785.824900000003" u="1"/>
        <n v="-14926.567200000003" u="1"/>
        <n v="-11081.121500000001" u="1"/>
        <n v="-16784.8433" u="1"/>
        <n v="-40008.777299999994" u="1"/>
        <n v="-1223.7596999999998" u="1"/>
        <n v="-2003.9948999999999" u="1"/>
        <n v="-954.86169999999993" u="1"/>
        <n v="-1295.8647999999998" u="1"/>
        <n v="-1786.7925" u="1"/>
        <n v="-4723.0188000000007" u="1"/>
        <n v="-1002.8661999999999" u="1"/>
        <n v="-296.41340000000002" u="1"/>
        <n v="-13912.593500000001" u="1"/>
        <n v="-7704.1368999999995" u="1"/>
        <n v="-33741.779900000009" u="1"/>
        <n v="-34550.025099999999" u="1"/>
        <n v="-11451.237000000001" u="1"/>
        <n v="-16163.000500000002" u="1"/>
        <n v="-10582.920500000002" u="1"/>
        <n v="-27866.785799999994" u="1"/>
        <n v="-909.65059999999994" u="1"/>
        <n v="-518.00019999999995" u="1"/>
        <n v="-963.00040000000013" u="1"/>
        <n v="-356.03060000000005" u="1"/>
        <n v="-1294.0008000000003" u="1"/>
        <n v="-364.18050000000005" u="1"/>
        <n v="-264.00029999999998" u="1"/>
        <n v="-622.00049999999999" u="1"/>
        <n v="-555.66039999999998" u="1"/>
        <n v="-448.00049999999999" u="1"/>
        <n v="-20244.000399999997" u="1"/>
        <n v="-11030.3873" u="1"/>
        <n v="-28149.485899999989" u="1"/>
        <n v="-11836.182500000003" u="1"/>
        <n v="-11428.406300000001" u="1"/>
        <n v="-17467.397100000002" u="1"/>
        <n v="-17684.617300000009" u="1"/>
        <n v="-37404.520899999989" u="1"/>
        <n v="-21391.584400000007" u="1"/>
        <n v="-28741.878999999994" u="1"/>
        <n v="-33386.78620000001" u="1"/>
        <n v="-28246.911500000013" u="1"/>
        <n v="-15808.22130000001" u="1"/>
        <n v="-8327.1292000000012" u="1"/>
        <n v="-20352.743300000009" u="1"/>
        <n v="-38844.414499999999" u="1"/>
        <n v="-18670.409599999999" u="1"/>
        <n v="-22894.391100000008" u="1"/>
        <n v="-10936.9998" u="1"/>
        <n v="-14423.089999999998" u="1"/>
        <n v="-7221.1841999999997" u="1"/>
        <n v="-8781.5609000000004" u="1"/>
        <n v="-9025.0078000000012" u="1"/>
        <n v="-28223.978599999999" u="1"/>
        <n v="-16210.616100000003" u="1"/>
        <n v="-8957.7892999999985" u="1"/>
        <n v="-9468.0083000000013" u="1"/>
        <n v="-29623.000099999997" u="1"/>
        <n v="-20505.889799999997" u="1"/>
        <n v="-16657.140600000002" u="1"/>
        <n v="-29658.983700000019" u="1"/>
        <n v="-15520.110500000003" u="1"/>
        <n v="-7877.2772000000004" u="1"/>
        <n v="-8531.5658000000003" u="1"/>
        <n v="-15976.811799999999" u="1"/>
        <n v="-10245.7505" u="1"/>
        <n v="-11910.686199999996" u="1"/>
        <n v="-11150.411199999999" u="1"/>
        <n v="-40168.750899999999" u="1"/>
        <n v="-21118.313699999999" u="1"/>
        <n v="-9137.0453999999991" u="1"/>
        <n v="-9312.4503999999997" u="1"/>
        <n v="-10227.123900000002" u="1"/>
        <n v="-37350.481500000002" u="1"/>
        <n v="-17004.295100000007" u="1"/>
        <n v="-51661.451199999959" u="1"/>
        <n v="-24847.516199999995" u="1"/>
        <n v="-22018.683299999997" u="1"/>
        <n v="-22685.600199999997" u="1"/>
        <n v="-7095.5656000000008" u="1"/>
        <n v="-9764.6975999999959" u="1"/>
        <n v="-1763.5858000000003" u="1"/>
        <n v="-24642.274200000003" u="1"/>
        <n v="-23253.727900000005" u="1"/>
        <n v="-9058.5242999999991" u="1"/>
        <n v="-13064.061899999997" u="1"/>
        <n v="-27373.644200000002" u="1"/>
        <n v="-26955.786000000011" u="1"/>
        <n v="-20042.272400000005" u="1"/>
        <n v="-12312.976299999998" u="1"/>
        <n v="-24304.072900000003" u="1"/>
        <n v="-14316.138500000003" u="1"/>
        <n v="-11534.911700000004" u="1"/>
        <n v="-46489.792999999991" u="1"/>
        <n v="-11521.636599999998" u="1"/>
        <n v="-17483.807800000002" u="1"/>
        <n v="-14808.5507" u="1"/>
        <n v="-14677.503100000002" u="1"/>
        <n v="-24465.451500000006" u="1"/>
        <n v="-22892.747500000009" u="1"/>
        <n v="-26619.300000000017" u="1"/>
        <n v="-13202.940900000001" u="1"/>
        <n v="-18221.115600000005" u="1"/>
        <n v="-7530.7759999999998" u="1"/>
      </sharedItems>
    </cacheField>
    <cacheField name="Total General CC" numFmtId="164">
      <sharedItems containsSemiMixedTypes="0" containsString="0" containsNumber="1" minValue="-290162.70330000011" maxValue="9285.3654999999999" count="439">
        <n v="-6342.982399999999"/>
        <n v="-10274.157600000002"/>
        <n v="-38461.705499999996"/>
        <n v="-16962.826400000009"/>
        <n v="9285.3654999999999"/>
        <n v="-12661.013400000014"/>
        <n v="-30332.831199999993"/>
        <n v="-956.06179999999767"/>
        <n v="-3336.2491999999993"/>
        <n v="-14547.091100000009"/>
        <n v="-8463.3965999999964"/>
        <n v="-6065.702399999991"/>
        <n v="-9140.3630999999968"/>
        <n v="-25988.295200000015"/>
        <n v="-15479.808900000004"/>
        <n v="-11986.3454"/>
        <n v="-23932.498100000012"/>
        <n v="-6188.1807000000099"/>
        <n v="-17848.15930000001"/>
        <n v="-21199.549500000008"/>
        <n v="-10163.620399999994"/>
        <n v="-23447.392300000021"/>
        <n v="-5608.3879000000024"/>
        <n v="-6064.3122999999832"/>
        <n v="-22120.618299999998"/>
        <n v="-33970.042099999999"/>
        <n v="-30194.351700000007"/>
        <n v="-2667.719599999994"/>
        <n v="-13009.501400000001"/>
        <n v="-21983.133800000011"/>
        <n v="-10167.899899999995"/>
        <n v="-11864.124899999992"/>
        <n v="-8291.4849999999988"/>
        <n v="-20882.568600000035"/>
        <n v="-9636.8297000000057"/>
        <n v="-14390.558299999986"/>
        <n v="-11869.975100000003"/>
        <n v="-13616.095799999997"/>
        <n v="-1138.8951000000043"/>
        <n v="-13333.727900000004"/>
        <n v="-48457.848999999907"/>
        <n v="-10370.280599999998"/>
        <n v="-27150.067499999983"/>
        <n v="-20688.767900000039"/>
        <n v="-28476.765700000004"/>
        <n v="-28071.554299999967"/>
        <n v="-13417.371499999994"/>
        <n v="-17265.972399999999"/>
        <n v="-36813.237099999969"/>
        <n v="-37749.224099999978"/>
        <n v="-27864.439700000024"/>
        <n v="-34273.317799999983"/>
        <n v="294.01"/>
        <n v="-23232.3531"/>
        <n v="-28397.905100000025"/>
        <n v="-14940.988300000001"/>
        <n v="-12915.362600000008"/>
        <n v="-16020.942500000003"/>
        <n v="7.8100000000000005"/>
        <n v="-3228.7035999999985"/>
        <n v="-876.75690000000759"/>
        <n v="-32337.333100000007"/>
        <n v="-17943.111900000047"/>
        <n v="-5698.2538000000022"/>
        <n v="-29330.443399999982"/>
        <n v="-1203.1227999999978"/>
        <n v="-36399.159299999985"/>
        <n v="-12132.7991"/>
        <n v="-6985.2389000000003"/>
        <n v="-12234.776700000002"/>
        <n v="-290162.70330000011"/>
        <n v="-13838.225700000006"/>
        <n v="-9242.646300000004"/>
        <n v="-2627.0560000000169"/>
        <n v="-10307.084600000002"/>
        <n v="-9670.5737000000008"/>
        <n v="-2774.5280999999982"/>
        <n v="-10933.224200000006"/>
        <n v="-8169.5921999999946"/>
        <n v="-4618.5035000000016"/>
        <n v="-1705.0696000000012"/>
        <n v="-10797.22200000002"/>
        <n v="178.21880000000002"/>
        <n v="-31779.037099999994"/>
        <n v="-10536.709599999998"/>
        <n v="-5541.8093000000017"/>
        <n v="-23789.125300000007"/>
        <n v="-5879.8101000000006"/>
        <n v="-14058.606900000013"/>
        <n v="-22307.643699999997"/>
        <n v="-24250.290300000001"/>
        <n v="-12984.685800000012"/>
        <n v="-20243.539400000001"/>
        <n v="-13474.102500000005"/>
        <n v="0"/>
        <n v="-8916.1992999999984"/>
        <n v="-15301.993600000005"/>
        <n v="-10436.638800000004"/>
        <n v="-8677.9725000000108"/>
        <n v="-6411.4230000000234"/>
        <n v="-2395.482999999997"/>
        <n v="-13736.590000000017"/>
        <n v="-9190.8356000000058"/>
        <n v="-4565.6512999999986"/>
        <n v="-20082.466699999997"/>
        <n v="-6394.7421000000013"/>
        <n v="-18564.959500000019"/>
        <n v="-11002.34740000001"/>
        <n v="-23936.319800000008"/>
        <n v="-6516.8934999999947"/>
        <n v="-9616.105400000004"/>
        <n v="89.039999999999992"/>
        <n v="-10619.484199999997"/>
        <n v="-14456.616400000017"/>
        <n v="-8125.2630000000063"/>
        <n v="-18188.020299999989"/>
        <n v="-46447.496999999938"/>
        <n v="-283.86680000000013"/>
        <n v="-921.31980000000021"/>
        <n v="252.40470000000005"/>
        <n v="-1478.1772999999996"/>
        <n v="-1196.3029999999999"/>
        <n v="-2567.7882000000027"/>
        <n v="-1017.8746999999998"/>
        <n v="189.12869999999992"/>
        <n v="-11299.106300000001"/>
        <n v="-4218.5107999999973"/>
        <n v="-40706.579599999983"/>
        <n v="-35027.003199999992"/>
        <n v="-7625.4920000000047"/>
        <n v="-20385.4817"/>
        <n v="-5662.4519999999993"/>
        <n v="-37807.714100000019"/>
        <n v="-1031.2550999999996"/>
        <n v="-255.65659999999997"/>
        <n v="-2531.6990000000005"/>
        <n v="-205.20970000000011"/>
        <n v="-2407.3714000000004"/>
        <n v="-264.73439999999994"/>
        <n v="41.819100000000049"/>
        <n v="-400.54819999999995"/>
        <n v="-390.95099999999968"/>
        <n v="-890.90679999999998"/>
        <n v="-14292.469799999995"/>
        <n v="-13873.170900000003"/>
        <n v="-27917.621800000015"/>
        <n v="-13814.537"/>
        <n v="-7369.9559000000063"/>
        <n v="-19685.033000000003"/>
        <n v="-23334.616800000025"/>
        <n v="-34422.643099999972"/>
        <n v="-21469.260600000031"/>
        <n v="-32667.149400000013"/>
        <n v="-28831.057600000022"/>
        <n v="-25384.206699999995"/>
        <n v="-16369.374500000022"/>
        <n v="-5636.4186999999938"/>
        <n v="-27821.834999999999"/>
        <n v="-42686.407100000011"/>
        <n v="-17557.532100000008"/>
        <n v="-29105.105100000019"/>
        <n v="-9607.0674000000017"/>
        <n v="-18192.315099999996"/>
        <n v="-5479.9429000000027"/>
        <n v="-7469.2113000000008"/>
        <n v="-3931.6297999999956"/>
        <n v="-29549.81460000002"/>
        <n v="-18015.739899999993"/>
        <n v="117.29"/>
        <n v="-9943.2118000000046"/>
        <n v="-3080.0900999999994"/>
        <n v="-21891.865500000022"/>
        <n v="-20334.048700000014"/>
        <n v="-14070.376700000008"/>
        <n v="-36110.67819999998"/>
        <n v="-11396.032400000009"/>
        <n v="-2373.0358000000024"/>
        <n v="-7241.1758000000045"/>
        <n v="-15635.017000000005"/>
        <n v="-11086.3621"/>
        <n v="-12968.111600000006"/>
        <n v="-11532.107199999995"/>
        <n v="-41349.713299999959"/>
        <n v="-25129.428800000009"/>
        <n v="-6932.0975999999982"/>
        <n v="-11191.391100000001"/>
        <n v="-8540.4669000000031"/>
        <n v="-45579.33849999994"/>
        <n v="-13728.241700000015"/>
        <n v="-53362.494099999887"/>
        <n v="-20568.839199999988"/>
        <n v="-24766.047700000003"/>
        <n v="-25794.269500000017"/>
        <n v="-2720.4910999999984"/>
        <n v="-8064.1065000000026"/>
        <n v="-1907.7221999999999"/>
        <n v="-28359.043799999996"/>
        <n v="-14860.412900000032"/>
        <n v="-7005.6847000000071"/>
        <n v="-14198.7176"/>
        <n v="-35214.460899999998"/>
        <n v="-26613.727000000014"/>
        <n v="-19355.591300000011"/>
        <n v="-10473.419700000002"/>
        <n v="-22229.226700000025"/>
        <n v="-14983.846300000007"/>
        <n v="-6208.2248000000127"/>
        <n v="-40341.783699999934"/>
        <n v="-7264.8453000000009"/>
        <n v="-20372.352400000007"/>
        <n v="-14951.223800000003"/>
        <n v="-13146.567100000002"/>
        <n v="-26855.972000000023"/>
        <n v="-23438.105600000003"/>
        <n v="-32652.64520000001"/>
        <n v="-12433.308199999994"/>
        <n v="-23155.206300000013"/>
        <n v="-12664.737500000014" u="1"/>
        <n v="-13334.003800000004" u="1"/>
        <n v="-27897.43970000001" u="1"/>
        <n v="-20397.539400000001" u="1"/>
        <n v="-46454.496999999952" u="1"/>
        <n v="-28842.057600000022" u="1"/>
        <n v="-35219.460799999993" u="1"/>
        <n v="-14295.930700000001" u="1"/>
        <n v="-18188.854199999998" u="1"/>
        <n v="-1064.6035999999995" u="1"/>
        <n v="-4279.6059000000005" u="1"/>
        <n v="-13624.738700000011" u="1"/>
        <n v="-5566.1396000000022" u="1"/>
        <n v="8319.8155000000006" u="1"/>
        <n v="-3465.6785000000082" u="1"/>
        <n v="-10706.241000000016" u="1"/>
        <n v="824.42420000000106" u="1"/>
        <n v="-285.8999000000008" u="1"/>
        <n v="-5930.2136999999993" u="1"/>
        <n v="-1308.7599999999998" u="1"/>
        <n v="-1991.6475999999921" u="1"/>
        <n v="-2682.018700000001" u="1"/>
        <n v="-5507.4336999999996" u="1"/>
        <n v="-6249.8582000000097" u="1"/>
        <n v="-3874.4962999999989" u="1"/>
        <n v="-8901.4390000000094" u="1"/>
        <n v="1092.079099999999" u="1"/>
        <n v="-6836.3722000000062" u="1"/>
        <n v="-1682.6760000000031" u="1"/>
        <n v="-4312.0164999999979" u="1"/>
        <n v="-7754.3644000000359" u="1"/>
        <n v="180.3621000000021" u="1"/>
        <n v="-1511.2580999999986" u="1"/>
        <n v="-7514.5583999999981" u="1"/>
        <n v="-7969.4685000000172" u="1"/>
        <n v="-11345.525899999997" u="1"/>
        <n v="550.70810000000074" u="1"/>
        <n v="-3475.030999999999" u="1"/>
        <n v="-8599.446000000009" u="1"/>
        <n v="-3009.9761999999973" u="1"/>
        <n v="-2889.9482000000044" u="1"/>
        <n v="-1929.4970999999991" u="1"/>
        <n v="-8013.7225000000135" u="1"/>
        <n v="-3447.148500000008" u="1"/>
        <n v="-2516.8338999999996" u="1"/>
        <n v="-2949.8683000000037" u="1"/>
        <n v="-2801.7482999999957" u="1"/>
        <n v="1387.7266999999993" u="1"/>
        <n v="-4732.0667000000012" u="1"/>
        <n v="-14286.748799999988" u="1"/>
        <n v="-3074.7738999999974" u="1"/>
        <n v="-9773.7310999999991" u="1"/>
        <n v="-3652.2788000000173" u="1"/>
        <n v="-6808.7408999999998" u="1"/>
        <n v="-8708.7879999999968" u="1"/>
        <n v="-2136.7776999999987" u="1"/>
        <n v="-4585.4499999999989" u="1"/>
        <n v="-11773.832599999987" u="1"/>
        <n v="-14002.805100000005" u="1"/>
        <n v="-9843.498999999998" u="1"/>
        <n v="-8494.2976000000017" u="1"/>
        <n v="-8362.0949000000001" u="1"/>
        <n v="-9856.2543999999943" u="1"/>
        <n v="-3607.5024000000021" u="1"/>
        <n v="-3426.9529999999968" u="1"/>
        <n v="-4205.1352999999999" u="1"/>
        <n v="57.27579999999989" u="1"/>
        <n v="-5463.5310000000018" u="1"/>
        <n v="-9633.4423000000061" u="1"/>
        <n v="-2404.0223000000206" u="1"/>
        <n v="1542.6969999999974" u="1"/>
        <n v="-13518.999200000002" u="1"/>
        <n v="274.99019999999996" u="1"/>
        <n v="-9975.1136999999981" u="1"/>
        <n v="-1666.4332000000013" u="1"/>
        <n v="-1757.2313000000004" u="1"/>
        <n v="-4387.9308000000019" u="1"/>
        <n v="-61628.737099999918" u="1"/>
        <n v="-3539.1898000000024" u="1"/>
        <n v="-1879.6595999999977" u="1"/>
        <n v="1091.4007999999958" u="1"/>
        <n v="-4157.0804999999982" u="1"/>
        <n v="-3876.2035999999998" u="1"/>
        <n v="-376.6277" u="1"/>
        <n v="-4035.1400000000031" u="1"/>
        <n v="-3743.3406999999993" u="1"/>
        <n v="-2293.0943000000011" u="1"/>
        <n v="32.158699999999726" u="1"/>
        <n v="-4198.2710000000006" u="1"/>
        <n v="91.879300000000001" u="1"/>
        <n v="-11435.322499999993" u="1"/>
        <n v="-4505.3206999999975" u="1"/>
        <n v="-2196.0689000000011" u="1"/>
        <n v="-9277.5454999999947" u="1"/>
        <n v="-1904.7646999999984" u="1"/>
        <n v="-6544.9525000000085" u="1"/>
        <n v="-8383.3171000000038" u="1"/>
        <n v="-10977.119000000002" u="1"/>
        <n v="-2644.5482000000075" u="1"/>
        <n v="-6890.6189000000031" u="1"/>
        <n v="-4345.9602999999979" u="1"/>
        <n v="-2391.4006999999988" u="1"/>
        <n v="-6642.1819000000023" u="1"/>
        <n v="-3829.1398000000031" u="1"/>
        <n v="-792.28340000000298" u="1"/>
        <n v="-2407.8396000000039" u="1"/>
        <n v="180.17280000000164" u="1"/>
        <n v="1343.1540999999979" u="1"/>
        <n v="-2365.7803000000008" u="1"/>
        <n v="-272.11839999999847" u="1"/>
        <n v="-4573.3775999999962" u="1"/>
        <n v="-1683.5438000000013" u="1"/>
        <n v="-5416.6869000000115" u="1"/>
        <n v="-4018.7164999999991" u="1"/>
        <n v="-9347.3637000000035" u="1"/>
        <n v="-1583.3800999999983" u="1"/>
        <n v="-1200.2864000000036" u="1"/>
        <n v="3468.1810000000005" u="1"/>
        <n v="-6008.3218000000052" u="1"/>
        <n v="-3185.2929000000022" u="1"/>
        <n v="-3680.3239000000012" u="1"/>
        <n v="-15631.989199999998" u="1"/>
        <n v="-145.65329999999989" u="1"/>
        <n v="-197.93150000000026" u="1"/>
        <n v="114.14510000000007" u="1"/>
        <n v="-518.56929999999988" u="1"/>
        <n v="-726.55099999999993" u="1"/>
        <n v="-1289.849400000001" u="1"/>
        <n v="-452.36909999999989" u="1"/>
        <n v="301.36279999999999" u="1"/>
        <n v="-3211.1000000000008" u="1"/>
        <n v="-1010.2184000000002" u="1"/>
        <n v="-11266.063400000017" u="1"/>
        <n v="-13366.660300000003" u="1"/>
        <n v="-2909.0207000000019" u="1"/>
        <n v="-7477.4938999999995" u="1"/>
        <n v="-2410.9427000000023" u="1"/>
        <n v="-12323.083099999989" u="1"/>
        <n v="-314.42999999999995" u="1"/>
        <n v="-129.64859999999999" u="1"/>
        <n v="-118.52600000000012" u="1"/>
        <n v="-105.02580000000006" u="1"/>
        <n v="-806.05230000000017" u="1"/>
        <n v="-89.489700000000028" u="1"/>
        <n v="-6.3076999999999828" u="1"/>
        <n v="-197.0292" u="1"/>
        <n v="107.38740000000007" u="1"/>
        <n v="-47.284700000000015" u="1"/>
        <n v="-3999.5712999999896" u="1"/>
        <n v="-4127.7186000000002" u="1"/>
        <n v="-7437.6765999999952" u="1"/>
        <n v="-5702.1873000000023" u="1"/>
        <n v="-615.7459000000008" u="1"/>
        <n v="-7452.7787000000026" u="1"/>
        <n v="-7673.2325000000092" u="1"/>
        <n v="-12711.292299999996" u="1"/>
        <n v="-6678.9311000000107" u="1"/>
        <n v="-10725.2857" u="1"/>
        <n v="-9544.8368000000173" u="1"/>
        <n v="-5037.5942000000159" u="1"/>
        <n v="-5822.9238000000096" u="1"/>
        <n v="-74.04260000000022" u="1"/>
        <n v="-7749.2793000000092" u="1"/>
        <n v="-16093.828100000001" u="1"/>
        <n v="-3388.0604000000021" u="1"/>
        <n v="-9687.8423000000075" u="1"/>
        <n v="518.40240000000267" u="1"/>
        <n v="-9484.3709999999992" u="1"/>
        <n v="87.500200000000405" u="1"/>
        <n v="-757.52269999999953" u="1"/>
        <n v="-337.51900000000023" u="1"/>
        <n v="-11871.479800000001" u="1"/>
        <n v="-6790.7280000000028" u="1"/>
        <n v="-4053.8881999999985" u="1"/>
        <n v="1223.4268999999967" u="1"/>
        <n v="-9136.1790000000037" u="1"/>
        <n v="-6537.0285000000003" u="1"/>
        <n v="-1975.4347000000016" u="1"/>
        <n v="-13760.561500000018" u="1"/>
        <n v="-1519.9949000000015" u="1"/>
        <n v="-1327.6419999999998" u="1"/>
        <n v="-2678.657400000001" u="1"/>
        <n v="-4973.7931999999973" u="1"/>
        <n v="-4040.1989000000012" u="1"/>
        <n v="-3940.2793999999967" u="1"/>
        <n v="-3537.2394999999979" u="1"/>
        <n v="-15932.564500000006" u="1"/>
        <n v="-8915.9637999999959" u="1"/>
        <n v="-1682.0100999999991" u="1"/>
        <n v="-3939.5987999999998" u="1"/>
        <n v="-3237.2024000000015" u="1"/>
        <n v="-17110.811700000009" u="1"/>
        <n v="858.82119999999304" u="1"/>
        <n v="-18205.780299999955" u="1"/>
        <n v="-6450.4969999999939" u="1"/>
        <n v="-8704.4277999999977" u="1"/>
        <n v="-6583.1473000000005" u="1"/>
        <n v="297.61259999999902" u="1"/>
        <n v="-3178.5369999999966" u="1"/>
        <n v="-324.41890000000012" u="1"/>
        <n v="-9548.3920000000089" u="1"/>
        <n v="-5327.2566000000115" u="1"/>
        <n v="-3465.7173000000007" u="1"/>
        <n v="-4383.8328999999976" u="1"/>
        <n v="-11702.966200000006" u="1"/>
        <n v="-10695.948100000016" u="1"/>
        <n v="-7516.6507000000056" u="1"/>
        <n v="-3288.0615999999991" u="1"/>
        <n v="-8483.5900000000038" u="1"/>
        <n v="-5514.392700000004" u="1"/>
        <n v="426.45809999999528" u="1"/>
        <n v="-12633.908799999992" u="1"/>
        <n v="-2169.8946999999962" u="1"/>
        <n v="-4326.3280000000041" u="1"/>
        <n v="-4973.2521999999999" u="1"/>
        <n v="-3666.6075000000005" u="1"/>
        <n v="-9042.2707000000082" u="1"/>
        <n v="-7162.3962000000101" u="1"/>
        <n v="-11255.619500000021" u="1"/>
        <n v="-5505.2772000000004" u="1"/>
        <n v="-9927.0347000000038" u="1"/>
        <n v="-7530.7759999999998" u="1"/>
      </sharedItems>
    </cacheField>
    <cacheField name="Ingreso bruto" numFmtId="164">
      <sharedItems containsSemiMixedTypes="0" containsString="0" containsNumber="1" minValue="-36.44" maxValue="290251.21120000014"/>
    </cacheField>
    <cacheField name="% ingreso" numFmtId="165">
      <sharedItems containsSemiMixedTypes="0" containsString="0" containsNumber="1" minValue="-1.8763044537187828E-5" maxValue="6.0428582248881431E-2" count="845">
        <n v="1.9546970896242763E-3"/>
        <n v="3.1799433516284835E-3"/>
        <n v="9.6693467622660529E-3"/>
        <n v="4.6922340670865923E-3"/>
        <n v="-7.5193098471697479E-6"/>
        <n v="4.0661413945472132E-3"/>
        <n v="8.4731979595457953E-3"/>
        <n v="7.1345605463158041E-4"/>
        <n v="1.0511143775771697E-3"/>
        <n v="3.9691909955737155E-3"/>
        <n v="2.773944778287114E-3"/>
        <n v="2.3910654414753523E-3"/>
        <n v="2.6634721675283029E-3"/>
        <n v="7.3835793092416249E-3"/>
        <n v="4.2842164228617825E-3"/>
        <n v="3.5444788739762007E-3"/>
        <n v="7.1668667947283934E-3"/>
        <n v="2.4568872595763284E-3"/>
        <n v="5.2527558609515952E-3"/>
        <n v="7.1544938157713685E-3"/>
        <n v="3.0191762976031033E-3"/>
        <n v="6.123553969369663E-3"/>
        <n v="2.3450287764575938E-3"/>
        <n v="2.8487355606663547E-3"/>
        <n v="5.6124836678201609E-3"/>
        <n v="1.0211346230279833E-2"/>
        <n v="7.8018388766483036E-3"/>
        <n v="1.6074757893033507E-3"/>
        <n v="4.0302034061444744E-3"/>
        <n v="6.1086596486153904E-3"/>
        <n v="3.4097425192216092E-3"/>
        <n v="3.5207468673444471E-3"/>
        <n v="2.2051294374048664E-3"/>
        <n v="5.2166646593885578E-3"/>
        <n v="2.9139238913570469E-3"/>
        <n v="4.310436673121195E-3"/>
        <n v="4.4798765412192316E-3"/>
        <n v="4.5463585893911959E-3"/>
        <n v="1.138164234988203E-3"/>
        <n v="3.5829187455889543E-3"/>
        <n v="1.2326622865782979E-2"/>
        <n v="4.1735422723135152E-3"/>
        <n v="6.9707051276740525E-3"/>
        <n v="6.4458459512186303E-3"/>
        <n v="8.2302272474328395E-3"/>
        <n v="7.5863278421986263E-3"/>
        <n v="4.8566207278579101E-3"/>
        <n v="4.5870915616205692E-3"/>
        <n v="1.0733247164972608E-2"/>
        <n v="9.5614640832768511E-3"/>
        <n v="7.9416810780254931E-3"/>
        <n v="8.7468625192166187E-3"/>
        <n v="0"/>
        <n v="5.7199891638656242E-3"/>
        <n v="7.7835237651480323E-3"/>
        <n v="4.0869948508944392E-3"/>
        <n v="3.5015798700381096E-3"/>
        <n v="4.0515197416313613E-3"/>
        <n v="1.3493502218419147E-3"/>
        <n v="4.9080769498923591E-3"/>
        <n v="8.5531921497357735E-3"/>
        <n v="5.552476521293934E-3"/>
        <n v="3.1548547533741121E-3"/>
        <n v="8.9755575822214016E-3"/>
        <n v="9.8300771276720283E-4"/>
        <n v="9.2263053943514532E-3"/>
        <n v="3.6049694725068535E-3"/>
        <n v="2.2942413272885325E-3"/>
        <n v="3.3843501152623005E-3"/>
        <n v="5.989266713855948E-2"/>
        <n v="3.4054591125896269E-3"/>
        <n v="2.7674752829508808E-3"/>
        <n v="2.051363574810216E-3"/>
        <n v="2.9974325747793499E-3"/>
        <n v="2.6980795641174428E-3"/>
        <n v="9.1394349149878976E-4"/>
        <n v="2.6757639899385992E-3"/>
        <n v="2.0871476484704953E-3"/>
        <n v="1.4264361064103778E-3"/>
        <n v="7.947975920676361E-4"/>
        <n v="4.5576581270267121E-3"/>
        <n v="8.560543244945526E-3"/>
        <n v="2.8664465686674958E-3"/>
        <n v="2.1246927552270672E-3"/>
        <n v="6.2130497484970048E-3"/>
        <n v="1.7725337197471163E-3"/>
        <n v="4.0379098114427551E-3"/>
        <n v="5.6541895487761647E-3"/>
        <n v="6.3896355815655191E-3"/>
        <n v="3.9655043051935431E-3"/>
        <n v="6.5208319591479862E-3"/>
        <n v="3.9321367693384238E-3"/>
        <n v="2.7036277170149393E-3"/>
        <n v="4.4463170607422732E-3"/>
        <n v="3.2484004567214756E-3"/>
        <n v="3.3182094693445107E-3"/>
        <n v="2.5103580953841007E-3"/>
        <n v="1.2579417234308877E-3"/>
        <n v="4.7589592134729105E-3"/>
        <n v="2.79040606213462E-3"/>
        <n v="1.4719474721120586E-3"/>
        <n v="5.7709214278439799E-3"/>
        <n v="2.2886025258505344E-3"/>
        <n v="5.7792743823613666E-3"/>
        <n v="3.2153488804502767E-3"/>
        <n v="8.0799416862581738E-3"/>
        <n v="2.0609979897560499E-3"/>
        <n v="3.3976765237239601E-3"/>
        <n v="4.2451850349590203E-3"/>
        <n v="3.9914406003958612E-3"/>
        <n v="2.322300465627918E-3"/>
        <n v="5.4605171983574839E-3"/>
        <n v="1.2421296692589883E-2"/>
        <n v="1.7179299525786195E-4"/>
        <n v="3.1563776406006241E-4"/>
        <n v="1.3853486494832423E-4"/>
        <n v="3.8434743872640606E-4"/>
        <n v="3.1281261655787879E-4"/>
        <n v="7.7597148114624381E-4"/>
        <n v="2.5166261334699525E-4"/>
        <n v="8.1125099343335729E-5"/>
        <n v="3.3503814266800202E-3"/>
        <n v="1.8981806650764047E-3"/>
        <n v="1.025578691971905E-2"/>
        <n v="9.0854644082472309E-3"/>
        <n v="2.4607742929293485E-3"/>
        <n v="5.1773747590989471E-3"/>
        <n v="1.9850631538755538E-3"/>
        <n v="9.2696158555847022E-3"/>
        <n v="3.166490328223842E-4"/>
        <n v="1.2217776604982788E-4"/>
        <n v="6.8342982439202984E-4"/>
        <n v="1.0610598410318889E-4"/>
        <n v="5.1746251967558479E-4"/>
        <n v="1.1838876848463302E-4"/>
        <n v="5.8943403546182793E-5"/>
        <n v="1.4641363247260071E-4"/>
        <n v="2.6704604003240551E-4"/>
        <n v="2.5823627299746883E-4"/>
        <n v="4.0116346520628543E-3"/>
        <n v="3.8745225750763108E-3"/>
        <n v="8.7148021134426761E-3"/>
        <n v="3.5411326572855955E-3"/>
        <n v="3.3491776767918644E-3"/>
        <n v="5.2704756799991214E-3"/>
        <n v="5.819306845450534E-3"/>
        <n v="9.7056833318680362E-3"/>
        <n v="5.4708474589857288E-3"/>
        <n v="8.3908250550823512E-3"/>
        <n v="8.673546297434746E-3"/>
        <n v="7.9339640664559084E-3"/>
        <n v="4.6162010922444268E-3"/>
        <n v="2.4438802567050173E-3"/>
        <n v="6.8812310150542294E-3"/>
        <n v="1.1039078048687001E-2"/>
        <n v="5.9372356649327112E-3"/>
        <n v="7.5953830598115965E-3"/>
        <n v="3.9440626547541241E-3"/>
        <n v="4.9964139629281061E-3"/>
        <n v="2.2213331374301365E-3"/>
        <n v="2.8580954093750215E-3"/>
        <n v="1.6559159303174585E-3"/>
        <n v="8.1736833373725788E-3"/>
        <n v="5.043465363349391E-3"/>
        <n v="2.469859472226991E-3"/>
        <n v="1.9825804610007682E-3"/>
        <n v="5.1322570016171789E-3"/>
        <n v="5.9030163258106038E-3"/>
        <n v="4.7467230430347819E-3"/>
        <n v="9.3957460672054773E-3"/>
        <n v="4.380736731343665E-3"/>
        <n v="1.9706454756519094E-3"/>
        <n v="2.3072210509951373E-3"/>
        <n v="4.2993010787259053E-3"/>
        <n v="2.7714397585922009E-3"/>
        <n v="3.5840447643020455E-3"/>
        <n v="3.6530266115723502E-3"/>
        <n v="1.0252549902226332E-2"/>
        <n v="6.2323398115660487E-3"/>
        <n v="2.527968839042348E-3"/>
        <n v="2.9226635208119312E-3"/>
        <n v="2.59506431762907E-3"/>
        <n v="1.097147390240805E-2"/>
        <n v="5.2556421699092868E-3"/>
        <n v="1.4008830566469427E-2"/>
        <n v="6.8578992816727916E-3"/>
        <n v="6.6136040030988089E-3"/>
        <n v="7.1276653144242332E-3"/>
        <n v="1.7778202856771801E-3"/>
        <n v="2.7267751406390892E-3"/>
        <n v="6.2168064939181506E-4"/>
        <n v="7.3969007653587049E-3"/>
        <n v="4.0679075863357707E-3"/>
        <n v="2.5452463724497448E-3"/>
        <n v="3.9618906825306275E-3"/>
        <n v="8.6744406908650807E-3"/>
        <n v="7.1587581558767372E-3"/>
        <n v="5.5917786373668168E-3"/>
        <n v="3.1255761001830061E-3"/>
        <n v="5.6383487937039789E-3"/>
        <n v="4.0055576093994631E-3"/>
        <n v="3.6980647807498433E-3"/>
        <n v="1.1450036477659815E-2"/>
        <n v="3.2119042152764627E-3"/>
        <n v="5.8814311399175718E-3"/>
        <n v="4.5387018519820561E-3"/>
        <n v="3.803711558702265E-3"/>
        <n v="7.1488223701287124E-3"/>
        <n v="6.3229604332246461E-3"/>
        <n v="8.1037561494271097E-3"/>
        <n v="3.5537733517364651E-3"/>
        <n v="5.3589550110371116E-3"/>
        <n v="1.9546107771687333E-3" u="1"/>
        <n v="3.1798029366656615E-3" u="1"/>
        <n v="9.6689197983814788E-3" u="1"/>
        <n v="4.6920268747566588E-3" u="1"/>
        <n v="-7.5189778212510803E-6" u="1"/>
        <n v="4.0667302737401661E-3" u="1"/>
        <n v="8.4728238133284228E-3" u="1"/>
        <n v="7.1342455095547411E-4" u="1"/>
        <n v="1.0510679641131772E-3" u="1"/>
        <n v="3.9690157302483785E-3" u="1"/>
        <n v="2.7738222907740225E-3" u="1"/>
        <n v="2.3909598605489192E-3" u="1"/>
        <n v="2.6633545580918992E-3" u="1"/>
        <n v="7.3832532766996712E-3" u="1"/>
        <n v="4.284027247136551E-3" u="1"/>
        <n v="3.5443223624241765E-3" u="1"/>
        <n v="7.1665503314385631E-3" u="1"/>
        <n v="2.4567787721930436E-3" u="1"/>
        <n v="5.2525239179773437E-3" u="1"/>
        <n v="7.1541778988281823E-3" u="1"/>
        <n v="3.0190429815402987E-3" u="1"/>
        <n v="6.1232835750550897E-3" u="1"/>
        <n v="2.3449252283461804E-3" u="1"/>
        <n v="2.848609770658921E-3" u="1"/>
        <n v="5.6122358405482848E-3" u="1"/>
        <n v="1.0210895333630824E-2" u="1"/>
        <n v="7.801494375254828E-3" u="1"/>
        <n v="1.6074048089026851E-3" u="1"/>
        <n v="4.0300254467285782E-3" u="1"/>
        <n v="6.1083899119809271E-3" u="1"/>
        <n v="3.4095919571467143E-3" u="1"/>
        <n v="3.5205914037132382E-3" u="1"/>
        <n v="2.2050320667495646E-3" u="1"/>
        <n v="5.2164343100731128E-3" u="1"/>
        <n v="2.9137952228653076E-3" u="1"/>
        <n v="4.31024633960318E-3" u="1"/>
        <n v="4.4796787258406462E-3" u="1"/>
        <n v="4.5461578384023531E-3" u="1"/>
        <n v="1.1381139777128151E-3" u="1"/>
        <n v="3.5828174654831922E-3" u="1"/>
        <n v="1.23260785660581E-2" u="1"/>
        <n v="4.1733579835642508E-3" u="1"/>
        <n v="6.9703973261841792E-3" u="1"/>
        <n v="6.4455613256390164E-3" u="1"/>
        <n v="8.2298638299359936E-3" u="1"/>
        <n v="7.5859928570041974E-3" u="1"/>
        <n v="4.8564062767990279E-3" u="1"/>
        <n v="4.5868890120088733E-3" u="1"/>
        <n v="1.0732773223038752E-2" u="1"/>
        <n v="9.5610418831068109E-3" u="1"/>
        <n v="7.9481395748081558E-3" u="1"/>
        <n v="8.7464762889478253E-3" u="1"/>
        <n v="5.7197365895342691E-3" u="1"/>
        <n v="7.7831800724845928E-3" u="1"/>
        <n v="4.086814383770788E-3" u="1"/>
        <n v="3.5014252527531763E-3" u="1"/>
        <n v="4.0513408409620765E-3" u="1"/>
        <n v="1.3492906393461647E-3" u="1"/>
        <n v="4.9078602267101385E-3" u="1"/>
        <n v="8.5528144712601183E-3" u="1"/>
        <n v="5.5522313437237399E-3" u="1"/>
        <n v="3.1547154462343552E-3" u="1"/>
        <n v="8.9751612535938583E-3" u="1"/>
        <n v="9.8296430665074778E-4" u="1"/>
        <n v="9.225897993594372E-3" u="1"/>
        <n v="3.6048102899056298E-3" u="1"/>
        <n v="2.2941400217698317E-3" u="1"/>
        <n v="3.3842006744254477E-3" u="1"/>
        <n v="5.9890022491878823E-2" u="1"/>
        <n v="3.4053087396547E-3" u="1"/>
        <n v="2.7673530811076416E-3" u="1"/>
        <n v="2.0512729939072753E-3" u="1"/>
        <n v="2.9973002188418349E-3" u="1"/>
        <n v="2.6979604265417712E-3" u="1"/>
        <n v="9.1390313501215161E-4" u="1"/>
        <n v="2.6756458377391349E-3" u="1"/>
        <n v="2.0870554874704217E-3" u="1"/>
        <n v="1.4263731200767544E-3" u="1"/>
        <n v="7.9476249663919588E-4" u="1"/>
        <n v="4.5574568770905665E-3" u="1"/>
        <n v="8.5601652418717099E-3" u="1"/>
        <n v="2.8663199966050832E-3" u="1"/>
        <n v="2.1245989363689165E-3" u="1"/>
        <n v="6.2127754023678511E-3" u="1"/>
        <n v="1.7724554509766265E-3" u="1"/>
        <n v="4.0377315117394721E-3" u="1"/>
        <n v="5.653939879921255E-3" u="1"/>
        <n v="6.3893534380354555E-3" u="1"/>
        <n v="3.9653292026593113E-3" u="1"/>
        <n v="6.5523201636300942E-3" u="1"/>
        <n v="3.9319631401956295E-3" u="1"/>
        <n v="2.7035083344526135E-3" u="1"/>
        <n v="4.4461207272307153E-3" u="1"/>
        <n v="3.2482570189369228E-3" u="1"/>
        <n v="3.3180629490428097E-3" u="1"/>
        <n v="2.510247246919315E-3" u="1"/>
        <n v="1.2578861772085824E-3" u="1"/>
        <n v="4.7587490747983685E-3" u="1"/>
        <n v="2.7902828477499135E-3" u="1"/>
        <n v="1.4718824761587607E-3" u="1"/>
        <n v="5.7706666045254061E-3" u="1"/>
        <n v="2.2885014693212044E-3" u="1"/>
        <n v="5.7790191902060972E-3" u="1"/>
        <n v="3.2152069021055127E-3" u="1"/>
        <n v="8.0795849048359847E-3" u="1"/>
        <n v="2.0609069834316889E-3" u="1"/>
        <n v="3.3975264944404149E-3" u="1"/>
        <n v="4.2449975827207435E-3" u="1"/>
        <n v="3.9912643526072893E-3" u="1"/>
        <n v="2.322197921117691E-3" u="1"/>
        <n v="5.4602760813831823E-3" u="1"/>
        <n v="1.2422192582459779E-2" u="1"/>
        <n v="1.717854094915841E-4" u="1"/>
        <n v="3.1562382662155962E-4" u="1"/>
        <n v="1.3852874774252516E-4" u="1"/>
        <n v="3.8433046731360031E-4" u="1"/>
        <n v="3.1279880386781886E-4" u="1"/>
        <n v="7.7593721701175219E-4" u="1"/>
        <n v="2.5165150082309489E-4" u="1"/>
        <n v="8.1121517148136446E-5" u="1"/>
        <n v="3.350233485779367E-3" u="1"/>
        <n v="1.8980968481847047E-3" u="1"/>
        <n v="1.0255334060727615E-2" u="1"/>
        <n v="9.0850632265260384E-3" u="1"/>
        <n v="2.4606656339085271E-3" u="1"/>
        <n v="5.1771461446854412E-3" u="1"/>
        <n v="1.9849755005628598E-3" u="1"/>
        <n v="9.2692065423920413E-3" u="1"/>
        <n v="3.1663505072985777E-4" u="1"/>
        <n v="1.221723711152078E-4" u="1"/>
        <n v="6.833996465672159E-4" u="1"/>
        <n v="1.0610129884116829E-4" u="1"/>
        <n v="5.1743967037532141E-4" u="1"/>
        <n v="1.1838354085863874E-4" u="1"/>
        <n v="5.8940800815598521E-5" u="1"/>
        <n v="1.4640716736851332E-4" u="1"/>
        <n v="2.6703424823122022E-4" u="1"/>
        <n v="2.5822487020419151E-4" u="1"/>
        <n v="4.0114575125769466E-3" u="1"/>
        <n v="3.8743514899709573E-3" u="1"/>
        <n v="8.7144172988471158E-3" u="1"/>
        <n v="3.5409762934905721E-3" u="1"/>
        <n v="3.3490297890445154E-3" u="1"/>
        <n v="5.2702429545808272E-3" u="1"/>
        <n v="5.8190498856043986E-3" u="1"/>
        <n v="9.7052547634900784E-3" u="1"/>
        <n v="5.470605885863942E-3" u="1"/>
        <n v="8.3904545461588043E-3" u="1"/>
        <n v="8.6754330289187075E-3" u="1"/>
        <n v="7.9336137308850408E-3" u="1"/>
        <n v="4.6159972572596261E-3" u="1"/>
        <n v="2.4437723436646136E-3" u="1"/>
        <n v="6.88092716442222E-3" u="1"/>
        <n v="1.1038590602351519E-2" u="1"/>
        <n v="5.9369734977702902E-3" u="1"/>
        <n v="7.5950476747710374E-3" u="1"/>
        <n v="3.9438884990067426E-3" u="1"/>
        <n v="4.9961933390982862E-3" u="1"/>
        <n v="2.2212350512772032E-3" u="1"/>
        <n v="2.857969206070034E-3" u="1"/>
        <n v="1.655842810972841E-3" u="1"/>
        <n v="8.1733224166532364E-3" u="1"/>
        <n v="5.0432426618974534E-3" u="1"/>
        <n v="2.4697504120370383E-3" u="1"/>
        <n v="1.9824929173149412E-3" u="1"/>
        <n v="5.1320303794430118E-3" u="1"/>
        <n v="5.9027556696522165E-3" u="1"/>
        <n v="4.7465134446659082E-3" u="1"/>
        <n v="9.3953311845522899E-3" u="1"/>
        <n v="4.3805432936256791E-3" u="1"/>
        <n v="1.9705584589724905E-3" u="1"/>
        <n v="2.3071191723381067E-3" u="1"/>
        <n v="4.2991112369160436E-3" u="1"/>
        <n v="2.7713173816918493E-3" u="1"/>
        <n v="3.5838865056613454E-3" u="1"/>
        <n v="3.652865306939175E-3" u="1"/>
        <n v="1.025209718617005E-2" u="1"/>
        <n v="6.2320646136564736E-3" u="1"/>
        <n v="2.5278572129499E-3" u="1"/>
        <n v="2.9225344664093092E-3" u="1"/>
        <n v="2.5949497288394632E-3" u="1"/>
        <n v="1.0970989441230677E-2" u="1"/>
        <n v="5.2554100994859207E-3" u="1"/>
        <n v="1.4008211986449075E-2" u="1"/>
        <n v="6.8575964612869571E-3" u="1"/>
        <n v="6.6133119699216336E-3" u="1"/>
        <n v="7.1273505821320311E-3" u="1"/>
        <n v="1.7777417834707841E-3" u="1"/>
        <n v="2.7266547359690498E-3" u="1"/>
        <n v="6.2165319819045114E-4" u="1"/>
        <n v="7.3965741445887363E-3" u="1"/>
        <n v="4.0677279620376814E-3" u="1"/>
        <n v="2.5451339834430108E-3" u="1"/>
        <n v="3.9617157395610905E-3" u="1"/>
        <n v="8.6750893307475478E-3" u="1"/>
        <n v="7.1584420506354933E-3" u="1"/>
        <n v="5.5915317243552783E-3" u="1"/>
        <n v="3.1254380858842042E-3" u="1"/>
        <n v="5.6380998243203452E-3" u="1"/>
        <n v="4.0053807382540961E-3" u="1"/>
        <n v="3.6979014873916656E-3" u="1"/>
        <n v="1.1449530884865057E-2" u="1"/>
        <n v="3.211762389035833E-3" u="1"/>
        <n v="5.8811714368840482E-3" u="1"/>
        <n v="4.538501439087443E-3" u="1"/>
        <n v="3.8035436003589738E-3" u="1"/>
        <n v="7.1485067036163481E-3" u="1"/>
        <n v="6.3226812338314552E-3" u="1"/>
        <n v="8.103398316443116E-3" u="1"/>
        <n v="3.5536164297734355E-3" u="1"/>
        <n v="5.3587183786869613E-3" u="1"/>
        <n v="4.0121716297652453E-3" u="1"/>
        <n v="4.9954792219099884E-3" u="1"/>
        <n v="1.9721875731255126E-3" u="1"/>
        <n v="3.2083972471306319E-3" u="1"/>
        <n v="9.7558673545925356E-3" u="1"/>
        <n v="4.7342198269109395E-3" u="1"/>
        <n v="-7.5865920698326379E-6" u="1"/>
        <n v="4.1033002594722248E-3" u="1"/>
        <n v="8.5490155017628501E-3" u="1"/>
        <n v="7.1984000609834667E-4" u="1"/>
        <n v="1.0605196704875201E-3" u="1"/>
        <n v="4.0047070200205934E-3" u="1"/>
        <n v="2.798765828891582E-3" u="1"/>
        <n v="2.4124605163831163E-3" u="1"/>
        <n v="2.687304717466314E-3" u="1"/>
        <n v="7.4496470251930414E-3" u="1"/>
        <n v="4.3225512712930505E-3" u="1"/>
        <n v="3.5761946060938951E-3" u="1"/>
        <n v="7.2309953832928996E-3" u="1"/>
        <n v="2.4788713031941947E-3" u="1"/>
        <n v="5.2997571279047549E-3" u="1"/>
        <n v="7.2185116918446869E-3" u="1"/>
        <n v="3.0461916615184916E-3" u="1"/>
        <n v="6.1783470727301308E-3" u="1"/>
        <n v="2.3660119187266801E-3" u="1"/>
        <n v="2.8742258336031177E-3" u="1"/>
        <n v="5.6627037523099954E-3" u="1"/>
        <n v="1.0302716593347416E-2" u="1"/>
        <n v="7.8716491479561453E-3" u="1"/>
        <n v="1.6218593625540025E-3" u="1"/>
        <n v="4.0662653650822365E-3" u="1"/>
        <n v="6.1633194787066659E-3" u="1"/>
        <n v="3.4402526405045808E-3" u="1"/>
        <n v="3.5522502472400772E-3" u="1"/>
        <n v="2.224860770841513E-3" u="1"/>
        <n v="5.2633429849668987E-3" u="1"/>
        <n v="2.9399974646058995E-3" u="1"/>
        <n v="4.3490061383925837E-3" u="1"/>
        <n v="4.5199621417696626E-3" u="1"/>
        <n v="4.5870390663410717E-3" u="1"/>
        <n v="1.1483484435182237E-3" u="1"/>
        <n v="3.6150358755506953E-3" u="1"/>
        <n v="1.2436920566129673E-2" u="1"/>
        <n v="4.2108868167153495E-3" u="1"/>
        <n v="7.0330784762991328E-3" u="1"/>
        <n v="6.5035228991507359E-3" u="1"/>
        <n v="8.303870705872898E-3" u="1"/>
        <n v="7.6542097368733899E-3" u="1"/>
        <n v="4.9000774072397203E-3" u="1"/>
        <n v="4.6281365141623487E-3" u="1"/>
        <n v="1.0829287458606916E-2" u="1"/>
        <n v="9.6470193494528293E-3" u="1"/>
        <n v="8.0196130513561399E-3" u="1"/>
        <n v="8.825128791465145E-3" u="1"/>
        <n v="5.7711711995011667E-3" u="1"/>
        <n v="7.8531701542066904E-3" u="1"/>
        <n v="4.1235649754363174E-3" u="1"/>
        <n v="3.5329117450740178E-3" u="1"/>
        <n v="4.0877724375462856E-3" u="1"/>
        <n v="1.3614241068022957E-3" u="1"/>
        <n v="4.9519940557040789E-3" u="1"/>
        <n v="8.6297254739894098E-3" u="1"/>
        <n v="5.6021596663204396E-3" u="1"/>
        <n v="3.1830841579737232E-3" u="1"/>
        <n v="9.0558702008053955E-3" u="1"/>
        <n v="9.9180359232982481E-4" u="1"/>
        <n v="9.3088616856222845E-3" u="1"/>
        <n v="3.6372264699802881E-3" u="1"/>
        <n v="2.3147700272573377E-3" u="1"/>
        <n v="3.4146330272119873E-3" u="1"/>
        <n v="6.0428582248881431E-2" u="1"/>
        <n v="3.4359309062701156E-3" u="1"/>
        <n v="2.7922384449944868E-3" u="1"/>
        <n v="2.0697190227978893E-3" u="1"/>
        <n v="3.0242533774876216E-3" u="1"/>
        <n v="2.7222217784542376E-3" u="1"/>
        <n v="9.2212138957004249E-4" u="1"/>
        <n v="2.6997065261850817E-3" u="1"/>
        <n v="2.1058232896754626E-3" u="1"/>
        <n v="1.439199750105951E-3" u="1"/>
        <n v="8.0190938153346743E-4" u="1"/>
        <n v="4.5984397113950385E-3" u="1"/>
        <n v="8.6371423462498192E-3" u="1"/>
        <n v="2.8920953183804703E-3" u="1"/>
        <n v="2.1437043472418882E-3" u="1"/>
        <n v="6.2686436534018985E-3" u="1"/>
        <n v="1.788394219026102E-3" u="1"/>
        <n v="4.0740407267192977E-3" u="1"/>
        <n v="5.7047828143724924E-3" u="1"/>
        <n v="6.4468095633100578E-3" u="1"/>
        <n v="4.0009873414103723E-3" u="1"/>
        <n v="6.6112417637281141E-3" u="1"/>
        <n v="3.9673212353376732E-3" u="1"/>
        <n v="2.7278195758092981E-3" u="1"/>
        <n v="4.4861023735689905E-3" u="1"/>
        <n v="3.2774669012848199E-3" u="1"/>
        <n v="3.3479005597366138E-3" u="1"/>
        <n v="2.5328205920453861E-3" u="1"/>
        <n v="1.269197691977612E-3" u="1"/>
        <n v="4.8015420249213599E-3" u="1"/>
        <n v="2.8153744070769536E-3" u="1"/>
        <n v="1.4851183481072801E-3" u="1"/>
        <n v="5.822559201571896E-3" u="1"/>
        <n v="2.3090807702454089E-3" u="1"/>
        <n v="5.8309868977021633E-3" u="1"/>
        <n v="3.24411958197879E-3" u="1"/>
        <n v="8.1522404007263131E-3" u="1"/>
        <n v="2.0794396457687659E-3" u="1"/>
        <n v="3.4280786793808009E-3" u="1"/>
        <n v="4.2831706334477953E-3" u="1"/>
        <n v="4.0271557126441773E-3" u="1"/>
        <n v="2.34308023666998E-3" u="1"/>
        <n v="5.5093774982336377E-3" u="1"/>
        <n v="1.2533898885785285E-2" u="1"/>
        <n v="1.7333018614290238E-4" u="1"/>
        <n v="3.1846206718813466E-4" u="1"/>
        <n v="1.3977446456843229E-4" u="1"/>
        <n v="3.8778655088934417E-4" u="1"/>
        <n v="3.1561164047719904E-4" u="1"/>
        <n v="7.8291481597825448E-4" u="1"/>
        <n v="2.5391447160676763E-4" u="1"/>
        <n v="8.1851000670519615E-5" u="1"/>
        <n v="3.3803603893424439E-3" u="1"/>
        <n v="1.9151654438337444E-3" u="1"/>
        <n v="1.0347554934755088E-2" u="1"/>
        <n v="9.1667604648981663E-3" u="1"/>
        <n v="2.482793117431215E-3" u="1"/>
        <n v="5.2237015215852722E-3" u="1"/>
        <n v="2.0028253506507309E-3" u="1"/>
        <n v="9.3525596856264531E-3" u="1"/>
        <n v="3.1948238470777876E-4" u="1"/>
        <n v="1.2327100357120932E-4" u="1"/>
        <n v="6.8954510339419941E-4" u="1"/>
        <n v="1.0705541252060979E-4" u="1"/>
        <n v="5.220927356363777E-4" u="1"/>
        <n v="1.194481023389184E-4" u="1"/>
        <n v="5.9470824716809986E-5" u="1"/>
        <n v="1.4772373071580744E-4" u="1"/>
        <n v="2.6943554804469556E-4" u="1"/>
        <n v="2.6054695187260391E-4" u="1"/>
        <n v="4.0482509980485368E-3" u="1"/>
        <n v="3.9091915135702872E-3" u="1"/>
        <n v="8.79278151157592E-3" u="1"/>
        <n v="3.5728184477063748E-3" u="1"/>
        <n v="3.3791458683902344E-3" u="1"/>
        <n v="5.3176355025690777E-3" u="1"/>
        <n v="5.8713775682797918E-3" u="1"/>
        <n v="9.7925290611042166E-3" u="1"/>
        <n v="5.5198001932620982E-3" u="1"/>
        <n v="8.4659055307052446E-3" u="1"/>
        <n v="8.7534466764270288E-3" u="1"/>
        <n v="8.0049565840896349E-3" u="1"/>
        <n v="4.6575065146911383E-3" u="1"/>
        <n v="2.4657479146330862E-3" u="1"/>
        <n v="6.9428037560051734E-3" u="1"/>
        <n v="1.1137854894216826E-2" u="1"/>
        <n v="5.9903616060269478E-3" u="1"/>
        <n v="7.6633459798969468E-3" u="1"/>
        <n v="3.9793538326849606E-3" u="1"/>
        <n v="5.0404009628598817E-3" u="1"/>
        <n v="2.2412094603638543E-3" u="1"/>
        <n v="2.8836694335386535E-3" u="1"/>
        <n v="1.6707329423304136E-3" u="1"/>
        <n v="8.2468208451304276E-3" u="1"/>
        <n v="5.08859391456838E-3" u="1"/>
        <n v="2.4919595902343603E-3" u="1"/>
        <n v="2.0003204428256103E-3" u="1"/>
        <n v="5.1781800537807976E-3" u="1"/>
        <n v="5.9558360748152763E-3" u="1"/>
        <n v="4.7891963661444489E-3" u="1"/>
        <n v="9.4798185009562479E-3" u="1"/>
        <n v="4.4199352362831457E-3" u="1"/>
        <n v="1.988278664119643E-3" u="1"/>
        <n v="2.3278658925618128E-3" u="1"/>
        <n v="4.3377709035307063E-3" u="1"/>
        <n v="2.7962383944676161E-3" u="1"/>
        <n v="3.6161145290499763E-3" u="1"/>
        <n v="3.6857136207352702E-3" u="1"/>
        <n v="1.0344288952671716E-2" u="1"/>
        <n v="6.288106322513913E-3" u="1"/>
        <n v="2.5505889153219969E-3" u="1"/>
        <n v="2.9488152956121134E-3" u="1"/>
        <n v="2.6182847592376782E-3" u="1"/>
        <n v="1.1069645831088415E-2" u="1"/>
        <n v="5.3026692633393324E-3" u="1"/>
        <n v="1.4134180535625795E-2" u="1"/>
        <n v="6.9192632520168069E-3" u="1"/>
        <n v="6.6727820375441062E-3" u="1"/>
        <n v="7.1914431310721475E-3" u="1"/>
        <n v="1.7937280887530911E-3" u="1"/>
        <n v="2.7511741208504402E-3" u="1"/>
        <n v="6.2724340139003654E-4" u="1"/>
        <n v="7.4630876807040662E-3" u="1"/>
        <n v="4.1043069194605947E-3" u="1"/>
        <n v="2.5680210468073303E-3" u="1"/>
        <n v="3.9973413843218814E-3" u="1"/>
        <n v="8.7530998875573543E-3" u="1"/>
        <n v="7.222814188946684E-3" u="1"/>
        <n v="5.641813454791254E-3" u="1"/>
        <n v="3.1535435215815904E-3" u="1"/>
        <n v="5.6888003174075568E-3" u="1"/>
        <n v="4.0413990395895072E-3" u="1"/>
        <n v="3.7311547880852711E-3" u="1"/>
        <n v="1.1552490548504907E-2" u="1"/>
        <n v="3.2406440941983887E-3" u="1"/>
        <n v="5.9340577462917371E-3" u="1"/>
        <n v="4.5793138170177137E-3" u="1"/>
        <n v="3.8377468855127893E-3" u="1"/>
        <n v="7.2127894985301961E-3" u="1"/>
        <n v="6.3795378107238581E-3" u="1"/>
        <n v="8.1762679539322449E-3" u="1"/>
        <n v="1.6599700515415288E-3" u="1"/>
        <n v="3.5523132010421145E-3" u="1"/>
        <n v="9.4575541001053632E-3" u="1"/>
        <n v="5.046728270569267E-3" u="1"/>
        <n v="-1.8763044537187828E-5" u="1"/>
        <n v="4.3518844335093008E-3" u="1"/>
        <n v="8.7954572337285448E-3" u="1"/>
        <n v="5.6889030985299489E-4" u="1"/>
        <n v="6.3097873803969352E-4" u="1"/>
        <n v="4.7010524376685358E-3" u="1"/>
        <n v="2.5908564387255991E-3" u="1"/>
        <n v="2.633621608531624E-3" u="1"/>
        <n v="2.7738372121770688E-3" u="1"/>
        <n v="7.7267746664355609E-3" u="1"/>
        <n v="4.7472591638242434E-3" u="1"/>
        <n v="3.6483837478602519E-3" u="1"/>
        <n v="7.6647019942632155E-3" u="1"/>
        <n v="1.8475513752216168E-3" u="1"/>
        <n v="6.254239603303611E-3" u="1"/>
        <n v="7.1184310906944222E-3" u="1"/>
        <n v="3.404386470100172E-3" u="1"/>
        <n v="6.3439439994618053E-3" u="1"/>
        <n v="2.3656593299678863E-3" u="1"/>
        <n v="2.7198192616925366E-3" u="1"/>
        <n v="5.6480440460283205E-3" u="1"/>
        <n v="9.4940104278918597E-3" u="1"/>
        <n v="8.6728297187660171E-3" u="1"/>
        <n v="1.6581061047461223E-3" u="1"/>
        <n v="4.2992155273905023E-3" u="1"/>
        <n v="6.3948417442030057E-3" u="1"/>
        <n v="3.9274817182899865E-3" u="1"/>
        <n v="3.6079420752681136E-3" u="1"/>
        <n v="2.1146101030017714E-3" u="1"/>
        <n v="5.7798124178638118E-3" u="1"/>
        <n v="3.7517521097945989E-3" u="1"/>
        <n v="4.1582172720519631E-3" u="1"/>
        <n v="4.5906987034123161E-3" u="1"/>
        <n v="4.2232466169559637E-3" u="1"/>
        <n v="9.6748158415584508E-4" u="1"/>
        <n v="3.6443103547391313E-3" u="1"/>
        <n v="1.1860192126374632E-2" u="1"/>
        <n v="4.5401863116494648E-3" u="1"/>
        <n v="7.5674907326023794E-3" u="1"/>
        <n v="5.8338370620799303E-3" u="1"/>
        <n v="7.6835435614209238E-3" u="1"/>
        <n v="7.0752760882588873E-3" u="1"/>
        <n v="4.6199598876270785E-3" u="1"/>
        <n v="3.7647030386861488E-3" u="1"/>
        <n v="1.0961452436621199E-2" u="1"/>
        <n v="1.0250003562597044E-2" u="1"/>
        <n v="8.0933181560645124E-3" u="1"/>
        <n v="7.2811661065722228E-3" u="1"/>
        <n v="5.9074269173284089E-3" u="1"/>
        <n v="8.2865184039986172E-3" u="1"/>
        <n v="3.8025787465102725E-3" u="1"/>
        <n v="3.0251996028009074E-3" u="1"/>
        <n v="3.2701759160407634E-3" u="1"/>
        <n v="1.2804485491532225E-3" u="1"/>
        <n v="5.3573630879919379E-3" u="1"/>
        <n v="8.5620125723230942E-3" u="1"/>
        <n v="5.2288654793702155E-3" u="1"/>
        <n v="3.411183800054739E-3" u="1"/>
        <n v="9.5471519114605965E-3" u="1"/>
        <n v="4.1425532707682324E-4" u="1"/>
        <n v="8.1930756102400609E-3" u="1"/>
        <n v="2.8919035154565944E-3" u="1"/>
        <n v="2.4704362589888359E-3" u="1"/>
        <n v="3.6325519913649358E-3" u="1"/>
        <n v="3.1756281262210549E-2" u="1"/>
        <n v="3.1400081184079116E-3" u="1"/>
        <n v="2.4291365529878909E-3" u="1"/>
        <n v="2.4669422855718237E-3" u="1"/>
        <n v="3.5986484983345042E-3" u="1"/>
        <n v="2.8544943092337536E-3" u="1"/>
        <n v="7.1886774270158425E-4" u="1"/>
        <n v="2.7061380981752261E-3" u="1"/>
        <n v="2.4972124725877679E-3" u="1"/>
        <n v="1.7962925808967184E-3" u="1"/>
        <n v="6.9896609442166642E-4" u="1"/>
        <n v="5.1651994931194833E-3" u="1"/>
        <n v="9.5358750848386249E-3" u="1"/>
        <n v="3.3310221421158802E-3" u="1"/>
        <n v="3.020867213757663E-3" u="1"/>
        <n v="6.431756335151897E-3" u="1"/>
        <n v="1.8786981321338336E-3" u="1"/>
        <n v="4.7603002006409894E-3" u="1"/>
        <n v="6.1821951247172918E-3" u="1"/>
        <n v="7.4564577390609389E-3" u="1"/>
        <n v="4.4071652336928405E-3" u="1"/>
        <n v="8.1582724281942711E-3" u="1"/>
        <n v="4.577526109024785E-3" u="1"/>
        <n v="2.5029686183392955E-3" u="1"/>
        <n v="4.9299012344574712E-3" u="1"/>
        <n v="3.3041190050680366E-3" u="1"/>
        <n v="2.9414168935253974E-3" u="1"/>
        <n v="2.7859802076662297E-3" u="1"/>
        <n v="1.3772054609101103E-3" u="1"/>
        <n v="2.7564575559976771E-3" u="1"/>
        <n v="2.8536207257715751E-3" u="1"/>
        <n v="1.0374285047144139E-3" u="1"/>
        <n v="5.4818173737944363E-3" u="1"/>
        <n v="2.6461473309967614E-3" u="1"/>
        <n v="6.0821171952695182E-3" u="1"/>
        <n v="3.5782987819602879E-3" u="1"/>
        <n v="9.1321129028858142E-3" u="1"/>
        <n v="1.8397623431875066E-3" u="1"/>
        <n v="3.4902795584739357E-3" u="1"/>
        <n v="2.4665947264317944E-3" u="1"/>
        <n v="4.5462024831279787E-3" u="1"/>
        <n v="2.5285199820385307E-3" u="1"/>
        <n v="5.9495220446027074E-3" u="1"/>
        <n v="1.2689467307655857E-2" u="1"/>
        <n v="2.4430724902274056E-4" u="1"/>
        <n v="3.0213202764055308E-4" u="1"/>
        <n v="2.1921512680053067E-4" u="1"/>
        <n v="4.0539102429883314E-4" u="1"/>
        <n v="4.8220427173754308E-4" u="1"/>
        <n v="1.0873584903390635E-3" u="1"/>
        <n v="2.5463423513269522E-4" u="1"/>
        <n v="6.2657755803184286E-5" u="1"/>
        <n v="3.6116630176761247E-3" u="1"/>
        <n v="2.0935598618719883E-3" u="1"/>
        <n v="8.7947521263413535E-3" u="1"/>
        <n v="9.9266607472491344E-3" u="1"/>
        <n v="2.6817081919678146E-3" u="1"/>
        <n v="5.4467460820535165E-3" u="1"/>
        <n v="2.5238560473208197E-3" u="1"/>
        <n v="9.0143785057124493E-3" u="1"/>
        <n v="3.3347316021997123E-4" u="1"/>
        <n v="1.7318671135622323E-4" u="1"/>
        <n v="2.8747115927030595E-4" u="1"/>
        <n v="1.4392851357555048E-4" u="1"/>
        <n v="4.6670874652880045E-4" u="1"/>
        <n v="1.359289379379488E-4" u="1"/>
        <n v="1.0260857190912061E-4" u="1"/>
        <n v="1.9130128777348422E-4" u="1"/>
        <n v="1.7583022043015081E-4" u="1"/>
        <n v="1.2788296959143387E-4" u="1"/>
        <n v="3.774156595804649E-3" u="1"/>
        <n v="3.5643505900429481E-3" u="1"/>
        <n v="8.5087812382803676E-3" u="1"/>
        <n v="3.9034960184086546E-3" u="1"/>
        <n v="3.646648423691778E-3" u="1"/>
        <n v="5.4524941438368994E-3" u="1"/>
        <n v="5.6990567684820853E-3" u="1"/>
        <n v="1.0842521303220803E-2" u="1"/>
        <n v="5.4210001882163596E-3" u="1"/>
        <n v="8.2853751661340225E-3" u="1"/>
        <n v="9.7827075698472109E-3" u="1"/>
        <n v="7.5278834593975287E-3" u="1"/>
        <n v="5.0414470193286274E-3" u="1"/>
        <n v="1.9652857209047337E-3" u="1"/>
        <n v="5.9153908617178824E-3" u="1"/>
        <n v="1.2561983644898635E-2" u="1"/>
        <n v="6.7372676674383805E-3" u="1"/>
        <n v="8.170097677394083E-3" u="1"/>
        <n v="3.8304782197595292E-3" u="1"/>
        <n v="6.3880637230895486E-3" u="1"/>
        <n v="2.2279997534735731E-3" u="1"/>
        <n v="3.0473074020309927E-3" u="1"/>
        <n v="1.7600176532361984E-3" u="1"/>
        <n v="8.6935016610807242E-3" u="1"/>
        <n v="5.143045095219516E-3" u="1"/>
        <n v="2.6985457588692484E-3" u="1"/>
        <n v="2.0647806263313965E-3" u="1"/>
        <n v="5.3735515688905318E-3" u="1"/>
        <n v="5.8435270109038874E-3" u="1"/>
        <n v="4.7705761599201608E-3" u="1"/>
        <n v="9.5765561870605753E-3" u="1"/>
        <n v="4.5057087539001972E-3" u="1"/>
        <n v="2.3252879415573964E-3" u="1"/>
        <n v="2.4404945797230188E-3" u="1"/>
        <n v="4.3591905385546165E-3" u="1"/>
        <n v="3.0836882966115394E-3" u="1"/>
        <n v="3.5888318320225951E-3" u="1"/>
        <n v="3.5673373845667359E-3" u="1"/>
        <n v="1.1255267811707969E-2" u="1"/>
        <n v="6.4346086371610571E-3" u="1"/>
        <n v="2.9180595805692313E-3" u="1"/>
        <n v="2.9697866786539155E-3" u="1"/>
        <n v="3.0273046784041312E-3" u="1"/>
        <n v="1.0901044238043013E-2" u="1"/>
        <n v="4.7992342904092976E-3" u="1"/>
        <n v="1.4646724978818608E-2" u="1"/>
        <n v="7.4222959709717819E-3" u="1"/>
        <n v="6.894068484304473E-3" u="1"/>
        <n v="7.0559189492983461E-3" u="1"/>
        <n v="1.7044218872364295E-3" u="1"/>
        <n v="3.0584687875282262E-3" u="1"/>
        <n v="6.1778451775011916E-4" u="1"/>
        <n v="7.4515148816970784E-3" u="1"/>
        <n v="4.6539371146854429E-3" u="1"/>
        <n v="3.018394703780629E-3" u="1"/>
        <n v="3.961431552539087E-3" u="1"/>
        <n v="8.3716318786036196E-3" u="1"/>
        <n v="7.933420046613229E-3" u="1"/>
        <n v="6.7843965323553801E-3" u="1"/>
        <n v="3.5746698011262143E-3" u="1"/>
        <n v="6.3292311774363879E-3" u="1"/>
        <n v="4.4739824743033861E-3" u="1"/>
        <n v="3.7770858757270515E-3" u="1"/>
        <n v="1.2527206825857236E-2" u="1"/>
        <n v="3.5910789692061625E-3" u="1"/>
        <n v="5.2750218995585305E-3" u="1"/>
        <n v="4.8271188829783354E-3" u="1"/>
        <n v="3.8788958854579941E-3" u="1"/>
        <n v="7.4259892631193284E-3" u="1"/>
        <n v="6.0530379260831553E-3" u="1"/>
        <n v="8.2069775124289854E-3" u="1"/>
        <n v="4.3260163018353304E-3" u="1"/>
        <n v="5.6573192924354336E-3" u="1"/>
      </sharedItems>
    </cacheField>
    <cacheField name="Gasto aplicado" numFmtId="164">
      <sharedItems containsSemiMixedTypes="0" containsString="0" containsNumber="1" minValue="-22.440491465619818" maxValue="178742.585834781" count="1054">
        <n v="5782.9979034004646"/>
        <n v="9407.9056202690408"/>
        <n v="28606.893799685833"/>
        <n v="13882.038253528995"/>
        <n v="-22.245980368016745"/>
        <n v="12029.734573409649"/>
        <n v="25068.071311534564"/>
        <n v="2110.769433281278"/>
        <n v="3109.736170391116"/>
        <n v="11742.905500519719"/>
        <n v="8206.7533236397867"/>
        <n v="7073.9996024668653"/>
        <n v="7879.9186034202048"/>
        <n v="21844.419727019103"/>
        <n v="12674.912508252515"/>
        <n v="10486.388917063152"/>
        <n v="21203.272807773646"/>
        <n v="7268.7343458173646"/>
        <n v="15540.349598001631"/>
        <n v="21166.667181384219"/>
        <n v="8932.2741061589186"/>
        <n v="18116.617635641538"/>
        <n v="6937.7995033873603"/>
        <n v="8428.0228696930662"/>
        <n v="16604.609203215259"/>
        <n v="30210.406591414776"/>
        <n v="23081.846341213804"/>
        <n v="4755.7389677677002"/>
        <n v="11923.411546333666"/>
        <n v="18072.552585280671"/>
        <n v="10087.769580495053"/>
        <n v="10416.177452932257"/>
        <n v="6523.9054076098173"/>
        <n v="15433.573287708781"/>
        <n v="8620.8834319313355"/>
        <n v="12752.485474970321"/>
        <n v="13253.775627375338"/>
        <n v="13450.463670363186"/>
        <n v="3367.2743565231053"/>
        <n v="10600.113799615807"/>
        <n v="36468.481263525733"/>
        <n v="12347.481529826962"/>
        <n v="20622.925850015174"/>
        <n v="19070.122843793055"/>
        <n v="24349.239157849297"/>
        <n v="22444.25401706413"/>
        <n v="14368.378423386343"/>
        <n v="13570.97272225266"/>
        <n v="31754.457599180481"/>
        <n v="28287.721427803037"/>
        <n v="23495.571394401784"/>
        <n v="25877.711630339963"/>
        <n v="0"/>
        <n v="16922.665674233202"/>
        <n v="23027.660834943381"/>
        <n v="12091.429807405133"/>
        <n v="10359.471630927716"/>
        <n v="11986.476214554224"/>
        <n v="3992.0709685840175"/>
        <n v="14520.612355549882"/>
        <n v="25304.735210308663"/>
        <n v="16427.077244738299"/>
        <n v="9333.6806613869594"/>
        <n v="26554.309082136911"/>
        <n v="2908.2416770016862"/>
        <n v="27296.149891911213"/>
        <n v="10665.351174865174"/>
        <n v="6787.5441448344936"/>
        <n v="10012.645808306284"/>
        <n v="177193.26965280698"/>
        <n v="10075.09706376412"/>
        <n v="8187.6132337690397"/>
        <n v="6068.9870134916009"/>
        <n v="8867.9450066941754"/>
        <n v="7982.3050565333133"/>
        <n v="2703.9142398170379"/>
        <n v="7916.2841270632462"/>
        <n v="6174.8546817103634"/>
        <n v="4220.1306056538615"/>
        <n v="2351.4194771929401"/>
        <n v="13483.893506015187"/>
        <n v="25326.483525385895"/>
        <n v="8480.4211275517264"/>
        <n v="6285.932390276419"/>
        <n v="18381.39211441057"/>
        <n v="5244.065098073339"/>
        <n v="11946.211051136364"/>
        <n v="16727.996618794008"/>
        <n v="18903.823701292265"/>
        <n v="11731.998376928963"/>
        <n v="19291.969967289406"/>
        <n v="11633.280068646791"/>
        <n v="7998.7193422782902"/>
        <n v="13154.489448320985"/>
        <n v="9610.4368959981803"/>
        <n v="9816.9678085269679"/>
        <n v="7426.9285402072765"/>
        <n v="3721.637683820923"/>
        <n v="14079.445505887639"/>
        <n v="8255.4542556065426"/>
        <n v="4354.7765995680902"/>
        <n v="17073.349469367357"/>
        <n v="6770.8616741505566"/>
        <n v="17098.061798821189"/>
        <n v="9512.6533584388308"/>
        <n v="23904.617282778359"/>
        <n v="6097.4905610376591"/>
        <n v="10052.072168841998"/>
        <n v="12559.437616717341"/>
        <n v="11808.731258751492"/>
        <n v="6870.5574869268385"/>
        <n v="16155.014338131199"/>
        <n v="36748.575066722857"/>
        <n v="508.25191108565264"/>
        <n v="933.81861439421755"/>
        <n v="409.8572805968717"/>
        <n v="1137.0971206384613"/>
        <n v="925.46037711610029"/>
        <n v="2295.7221721908013"/>
        <n v="744.54726160650262"/>
        <n v="240.00970887302148"/>
        <n v="9912.1489815113218"/>
        <n v="5615.7932933343318"/>
        <n v="30341.884975056335"/>
        <n v="26879.469920535121"/>
        <n v="7280.2341868158919"/>
        <n v="15317.33358376401"/>
        <n v="5872.836317153573"/>
        <n v="27424.284480045953"/>
        <n v="936.81046677038569"/>
        <n v="361.46458121760332"/>
        <n v="2021.9364230701062"/>
        <n v="313.91599591777674"/>
        <n v="1530.9198966206225"/>
        <n v="350.25478042963414"/>
        <n v="174.38486041455309"/>
        <n v="433.16672138753074"/>
        <n v="790.05933851144255"/>
        <n v="763.99552301649123"/>
        <n v="11868.475635039395"/>
        <n v="11462.827691962713"/>
        <n v="25782.860484166456"/>
        <n v="10476.489089509914"/>
        <n v="9908.587671108613"/>
        <n v="15592.773923460762"/>
        <n v="17216.498384899656"/>
        <n v="28714.396034656384"/>
        <n v="16185.576554585004"/>
        <n v="24824.369954256406"/>
        <n v="25660.804591852833"/>
        <n v="23472.740510801297"/>
        <n v="13657.093664193131"/>
        <n v="7230.252951061324"/>
        <n v="20358.215471903077"/>
        <n v="32659.262424799475"/>
        <n v="17565.392399954955"/>
        <n v="22471.044001429793"/>
        <n v="11668.562962718344"/>
        <n v="14781.958609089645"/>
        <n v="6571.8442743380019"/>
        <n v="8455.7141092951915"/>
        <n v="4899.0497832449228"/>
        <n v="24181.953231521242"/>
        <n v="14921.160816650432"/>
        <n v="7307.1128132328286"/>
        <n v="5865.4912365444679"/>
        <n v="15183.852085117411"/>
        <n v="17464.154020131646"/>
        <n v="14043.24462936055"/>
        <n v="27797.442425197754"/>
        <n v="12960.4691525782"/>
        <n v="5830.1814201969992"/>
        <n v="6825.9448338110351"/>
        <n v="12719.54066762247"/>
        <n v="8199.3421888299199"/>
        <n v="10603.445141280743"/>
        <n v="10807.52887387255"/>
        <n v="30332.308214814031"/>
        <n v="18438.462028146507"/>
        <n v="7479.0301646449243"/>
        <n v="8646.7397444425533"/>
        <n v="7677.5330498511667"/>
        <n v="32459.254639313131"/>
        <n v="15548.888782277034"/>
        <n v="41445.315606704578"/>
        <n v="20289.188221622837"/>
        <n v="19566.437320062163"/>
        <n v="21087.294695557433"/>
        <n v="5259.7054752202775"/>
        <n v="8067.2013096368801"/>
        <n v="1839.2506496792073"/>
        <n v="21883.831435976077"/>
        <n v="12034.959875818113"/>
        <n v="7530.145982027203"/>
        <n v="11721.307425172679"/>
        <n v="25663.450666971017"/>
        <n v="21179.283289537052"/>
        <n v="16543.353089243887"/>
        <n v="9247.0593680329584"/>
        <n v="16681.131529641836"/>
        <n v="11850.496621734565"/>
        <n v="10940.774909439371"/>
        <n v="33875.088521717305"/>
        <n v="9502.4622697101368"/>
        <n v="17400.293954330911"/>
        <n v="13427.811108685481"/>
        <n v="11253.332337719628"/>
        <n v="21149.888132377175"/>
        <n v="18706.564368830528"/>
        <n v="23975.072695695068"/>
        <n v="10513.886755826057"/>
        <n v="15854.541226744221"/>
        <n v="5831.6085867645634" u="1"/>
        <n v="9486.9865275882876" u="1"/>
        <n v="28847.357427678715" u="1"/>
        <n v="13998.727793671107" u="1"/>
        <n v="-22.432975474336555" u="1"/>
        <n v="12133.146640453262" u="1"/>
        <n v="25278.788330186275" u="1"/>
        <n v="2128.5121242332352" u="1"/>
        <n v="3135.8759689609678" u="1"/>
        <n v="11841.613933515109" u="1"/>
        <n v="8275.7375933778294" u="1"/>
        <n v="7133.4621788912955" u="1"/>
        <n v="7946.1555681509872" u="1"/>
        <n v="22028.039397708966" u="1"/>
        <n v="12781.455199240523" u="1"/>
        <n v="10574.535331742016" u="1"/>
        <n v="21381.503130170135" u="1"/>
        <n v="7329.8338221866188" u="1"/>
        <n v="15670.978560054624" u="1"/>
        <n v="21344.589804462204" u="1"/>
        <n v="9007.3569534206308" u="1"/>
        <n v="18268.902173562048" u="1"/>
        <n v="6996.117209970731" u="1"/>
        <n v="8498.8670854350639" u="1"/>
        <n v="16744.18411122058" u="1"/>
        <n v="30464.349016026823" u="1"/>
        <n v="23275.867563889977" u="1"/>
        <n v="4795.7147251492688" u="1"/>
        <n v="12023.63727578756" u="1"/>
        <n v="18224.466721508787" u="1"/>
        <n v="10172.565283540192" u="1"/>
        <n v="10503.733684576579" u="1"/>
        <n v="6578.7440060952449" u="1"/>
        <n v="15563.304710198883" u="1"/>
        <n v="8693.3487936396632" u="1"/>
        <n v="12859.680228259876" u="1"/>
        <n v="13365.184121924904" u="1"/>
        <n v="13563.525483890018" u="1"/>
        <n v="3395.5789677782373" u="1"/>
        <n v="10689.386010030261" u="1"/>
        <n v="36775.027768484404" u="1"/>
        <n v="12451.271903784651" u="1"/>
        <n v="20796.277896009669" u="1"/>
        <n v="19230.422349129029" u="1"/>
        <n v="24553.91382220685" u="1"/>
        <n v="22632.915770637537" u="1"/>
        <n v="14489.156038329635" u="1"/>
        <n v="13685.047509925731" u="1"/>
        <n v="32021.378996963595" u="1"/>
        <n v="28525.502158902764" u="1"/>
        <n v="23713.385567429137" u="1"/>
        <n v="26095.234317925617" u="1"/>
        <n v="17064.914099099988" u="1"/>
        <n v="23221.226585469602" u="1"/>
        <n v="12193.067863583809" u="1"/>
        <n v="10446.551205169695" u="1"/>
        <n v="12087.232052555542" u="1"/>
        <n v="4025.6274908346545" u="1"/>
        <n v="14642.669617416324" u="1"/>
        <n v="25517.441576706849" u="1"/>
        <n v="16565.159855847669" u="1"/>
        <n v="9412.1376490655293" u="1"/>
        <n v="26777.519107854732" u="1"/>
        <n v="2932.6877545670741" u="1"/>
        <n v="27525.595677923764" u="1"/>
        <n v="10755.001909240062" u="1"/>
        <n v="6844.5988359749435" u="1"/>
        <n v="10096.810036472136" u="1"/>
        <n v="178682.71960060601" u="1"/>
        <n v="10159.786244256684" u="1"/>
        <n v="8256.436615873401" u="1"/>
        <n v="6120.001662118776" u="1"/>
        <n v="8942.4871168611462" u="1"/>
        <n v="8049.4026605961844" u="1"/>
        <n v="2726.6427832388044" u="1"/>
        <n v="7982.8267728585406" u="1"/>
        <n v="6226.759232043235" u="1"/>
        <n v="4255.604150008071" u="1"/>
        <n v="2371.185022602318" u="1"/>
        <n v="13597.236323820931" u="1"/>
        <n v="25539.372703618974" u="1"/>
        <n v="8551.7057922034674" u="1"/>
        <n v="6338.7706368357294" u="1"/>
        <n v="18535.902291794435" u="1"/>
        <n v="5288.1456238285464" u="1"/>
        <n v="12046.628428508404" u="1"/>
        <n v="16868.608695874955" u="1"/>
        <n v="19062.725330458325" u="1"/>
        <n v="11830.615126901093" u="1"/>
        <n v="19548.938835180325" u="1"/>
        <n v="11731.067012953019" u="1"/>
        <n v="8065.9549214295712" u="1"/>
        <n v="13265.063363800478" u="1"/>
        <n v="9691.2202392996369" u="1"/>
        <n v="9899.4872079296965" u="1"/>
        <n v="7489.3577642302535" u="1"/>
        <n v="3752.9209998563197" u="1"/>
        <n v="14197.79441053212" u="1"/>
        <n v="8324.8478952981823" u="1"/>
        <n v="4391.3819502770211" u="1"/>
        <n v="17216.864511026281" u="1"/>
        <n v="6827.7761358955113" u="1"/>
        <n v="17241.784567206349" u="1"/>
        <n v="9592.6147535635973" u="1"/>
        <n v="24105.554547685515" u="1"/>
        <n v="6148.7448045856099" u="1"/>
        <n v="10136.567806833724" u="1"/>
        <n v="12665.009649669037" u="1"/>
        <n v="11907.99300944543" u="1"/>
        <n v="6928.3099710381412" u="1"/>
        <n v="16290.810044761422" u="1"/>
        <n v="37061.785280467608" u="1"/>
        <n v="512.52417144812898" u="1"/>
        <n v="941.66810037745233" u="1"/>
        <n v="413.30245606197946" u="1"/>
        <n v="1146.6553236689485" u="1"/>
        <n v="933.23960548683112" u="1"/>
        <n v="2315.0195375830117" u="1"/>
        <n v="750.805771775126" u="1"/>
        <n v="242.02718080664877" u="1"/>
        <n v="9995.468454152784" u="1"/>
        <n v="5662.998489355582" u="1"/>
        <n v="30596.932579746815" u="1"/>
        <n v="27105.413180956093" u="1"/>
        <n v="7341.4303284682492" u="1"/>
        <n v="15446.087919362988" u="1"/>
        <n v="5922.2021636281952" u="1"/>
        <n v="27654.807338884028" u="1"/>
        <n v="944.68510164541669" u="1"/>
        <n v="364.50297766844295" u="1"/>
        <n v="2038.9324021256066" u="1"/>
        <n v="316.55470880257849" u="1"/>
        <n v="1543.7884923893782" u="1"/>
        <n v="353.19894961534573" u="1"/>
        <n v="175.85070345560274" u="1"/>
        <n v="436.80783118714731" u="1"/>
        <n v="796.70041377806945" u="1"/>
        <n v="770.41751124496795" u="1"/>
        <n v="11968.239584594032" u="1"/>
        <n v="11559.181848872153" u="1"/>
        <n v="25999.585872650438" u="1"/>
        <n v="10564.552288287514" u="1"/>
        <n v="9991.8772081119805" u="1"/>
        <n v="15723.843553542352" u="1"/>
        <n v="17361.216706712421" u="1"/>
        <n v="28955.76330418474" u="1"/>
        <n v="16321.629160880721" u="1"/>
        <n v="25033.038469742125" u="1"/>
        <n v="25883.275758166899" u="1"/>
        <n v="23670.047508956573" u="1"/>
        <n v="13771.892366678141" u="1"/>
        <n v="7291.0289607914519" u="1"/>
        <n v="20529.342417251071" u="1"/>
        <n v="32933.789424662886" u="1"/>
        <n v="17713.043452641359" u="1"/>
        <n v="22659.930946066572" u="1"/>
        <n v="11766.646487729" u="1"/>
        <n v="14906.212693467773" u="1"/>
        <n v="6627.0858370143696" u="1"/>
        <n v="8526.7910918655289" u="1"/>
        <n v="4940.2301816777563" u="1"/>
        <n v="24385.221725008276" u="1"/>
        <n v="15046.585005972114" u="1"/>
        <n v="7368.5348910552912" u="1"/>
        <n v="5914.7953417918343" u="1"/>
        <n v="15311.484402867851" u="1"/>
        <n v="17610.954083952398" u="1"/>
        <n v="14161.289236930097" u="1"/>
        <n v="28031.101972483513" u="1"/>
        <n v="13069.412173611579" u="1"/>
        <n v="5879.1887184368607" u="1"/>
        <n v="6883.322313194536" u="1"/>
        <n v="12826.458493680644" u="1"/>
        <n v="8268.2641621027669" u="1"/>
        <n v="10692.575506351131" u="1"/>
        <n v="10898.374724556195" u="1"/>
        <n v="30587.275319240191" u="1"/>
        <n v="18593.451923412442" u="1"/>
        <n v="7541.8973441385078" u="1"/>
        <n v="8719.4224489618991" u="1"/>
        <n v="7742.0688035100529" u="1"/>
        <n v="32732.100415130975" u="1"/>
        <n v="15679.589522945536" u="1"/>
        <n v="41793.696351006416" u="1"/>
        <n v="20459.734938192792" u="1"/>
        <n v="19730.908742154454" u="1"/>
        <n v="21264.550129948722" u="1"/>
        <n v="5303.9174707484108" u="1"/>
        <n v="8135.0125340308232" u="1"/>
        <n v="1854.7110099373695" u="1"/>
        <n v="22067.782393333677" u="1"/>
        <n v="12136.123257440473" u="1"/>
        <n v="7593.4428305013344" u="1"/>
        <n v="11819.834309217245" u="1"/>
        <n v="25882.250329867005" u="1"/>
        <n v="21357.311961008789" u="1"/>
        <n v="16682.413091034454" u="1"/>
        <n v="9324.7882350491727" u="1"/>
        <n v="16821.349668483886" u="1"/>
        <n v="11950.109443424803" u="1"/>
        <n v="11032.740798717645" u="1"/>
        <n v="34159.835504089846" u="1"/>
        <n v="9582.3380006524803" u="1"/>
        <n v="17546.557223656815" u="1"/>
        <n v="13540.682509467662" u="1"/>
        <n v="11347.925520044353" u="1"/>
        <n v="21327.669714242271" u="1"/>
        <n v="18863.807876878254" u="1"/>
        <n v="24176.602194219755" u="1"/>
        <n v="10602.264311645838" u="1"/>
        <n v="15987.811218594486" u="1"/>
        <n v="5833.5624211703325" u="1"/>
        <n v="9490.1650675072287" u="1"/>
        <n v="28857.022506982157" u="1"/>
        <n v="14003.41795687279" u="1"/>
        <n v="-22.440491465619818" u="1"/>
        <n v="12137.211755421738" u="1"/>
        <n v="25287.25778859399" u="1"/>
        <n v="2129.2252654119593" u="1"/>
        <n v="3136.9266194408865" u="1"/>
        <n v="11845.581372752311" u="1"/>
        <n v="8278.5103139063904" u="1"/>
        <n v="7135.8521890625889" u="1"/>
        <n v="7948.8178648246494" u="1"/>
        <n v="22035.419718357469" u="1"/>
        <n v="12785.737524872038" u="1"/>
        <n v="10578.078246299599" u="1"/>
        <n v="21388.666833947784" u="1"/>
        <n v="7332.2896251262846" u="1"/>
        <n v="15676.228997670103" u="1"/>
        <n v="21351.741140721573" u="1"/>
        <n v="9010.3747972383007" u="1"/>
        <n v="18275.023024968868" u="1"/>
        <n v="6998.4612037947772" u="1"/>
        <n v="8501.7145637379235" u="1"/>
        <n v="16749.794117881054" u="1"/>
        <n v="30474.555855592829" u="1"/>
        <n v="23283.665959511669" u="1"/>
        <n v="4797.3214914969822" u="1"/>
        <n v="12027.665700508182" u="1"/>
        <n v="18230.572685168299" u="1"/>
        <n v="10175.973521207416" u="1"/>
        <n v="10507.252877601388" u="1"/>
        <n v="6580.9481623232587" u="1"/>
        <n v="15568.51907254125" u="1"/>
        <n v="8696.2614315030678" u="1"/>
        <n v="12863.988762569636" u="1"/>
        <n v="13369.662021322356" u="1"/>
        <n v="13568.069835994529" u="1"/>
        <n v="3396.7166296970786" u="1"/>
        <n v="10692.967404400648" u="1"/>
        <n v="36787.348951132066" u="1"/>
        <n v="12455.443604110425" u="1"/>
        <n v="20803.245524694041" u="1"/>
        <n v="19236.865350277712" u="1"/>
        <n v="24562.140417134877" u="1"/>
        <n v="22640.498750338182" u="1"/>
        <n v="14494.010515641863" u="1"/>
        <n v="13689.632577025426" u="1"/>
        <n v="32032.107507129112" u="1"/>
        <n v="28535.05940314004" u="1"/>
        <n v="23721.330550002909" u="1"/>
        <n v="26103.977320114187" u="1"/>
        <n v="17070.631563810151" u="1"/>
        <n v="23229.006674062963" u="1"/>
        <n v="12197.153054684908" u="1"/>
        <n v="10450.051239656339" u="1"/>
        <n v="12091.281784203924" u="1"/>
        <n v="4026.9762455357595" u="1"/>
        <n v="14647.575528240954" u="1"/>
        <n v="25525.990994000207" u="1"/>
        <n v="16570.709881845105" u="1"/>
        <n v="9415.2911114587896" u="1"/>
        <n v="26786.490704174281" u="1"/>
        <n v="2933.6703284403029" u="1"/>
        <n v="27534.817911390681" u="1"/>
        <n v="10758.605287699322" u="1"/>
        <n v="6846.8920647642981" u="1"/>
        <n v="10100.192892942056" u="1"/>
        <n v="178742.585834781" u="1"/>
        <n v="10163.190200407707" u="1"/>
        <n v="8259.2028697618662" u="1"/>
        <n v="6122.0521203470507" u="1"/>
        <n v="8945.4832265523419" u="1"/>
        <n v="8052.0995493928458" u="1"/>
        <n v="2727.5563233714915" u="1"/>
        <n v="7985.501355929754" u="1"/>
        <n v="6228.8454585522668" u="1"/>
        <n v="4257.0299565727455" u="1"/>
        <n v="2371.9794694192938" u="1"/>
        <n v="13601.791970476152" u="1"/>
        <n v="25547.929468763217" u="1"/>
        <n v="8554.5709736977715" u="1"/>
        <n v="6340.894391881402" u="1"/>
        <n v="18542.112599482414" u="1"/>
        <n v="5289.9173752602192" u="1"/>
        <n v="12050.664556233189" u="1"/>
        <n v="16874.260390009957" u="1"/>
        <n v="19069.11214604518" u="1"/>
        <n v="11834.578881074995" u="1"/>
        <n v="19555.488552762388" u="1"/>
        <n v="11734.997414317457" u="1"/>
        <n v="8068.6573559305152" u="1"/>
        <n v="13269.507718528559" u="1"/>
        <n v="9694.4672061108886" u="1"/>
        <n v="9902.8039529441376" u="1"/>
        <n v="7491.8670144069674" u="1"/>
        <n v="3754.1783864011391" u="1"/>
        <n v="14202.551269431789" u="1"/>
        <n v="8327.6370698455867" u="1"/>
        <n v="4392.8532481214615" u="1"/>
        <n v="17222.632885522034" u="1"/>
        <n v="6830.0637283720498" u="1"/>
        <n v="17247.561290970134" u="1"/>
        <n v="9595.8286833855218" u="1"/>
        <n v="24113.630923379231" u="1"/>
        <n v="6150.8048929767892" u="1"/>
        <n v="10139.963983830643" u="1"/>
        <n v="12669.25296113872" u="1"/>
        <n v="11911.982688467837" u="1"/>
        <n v="6930.6312465822457" u="1"/>
        <n v="16296.268152021146" u="1"/>
        <n v="37074.202538955178" u="1"/>
        <n v="512.69588862445596" u="1"/>
        <n v="941.98359883829016" u="1"/>
        <n v="413.44092978610342" u="1"/>
        <n v="1147.0395014802007" u="1"/>
        <n v="933.55228004701416" u="1"/>
        <n v="2315.7951665977612" u="1"/>
        <n v="751.05732331997308" u="1"/>
        <n v="242.10827010233032" u="1"/>
        <n v="9998.8173569258252" u="1"/>
        <n v="5664.8958322796998" u="1"/>
        <n v="30607.183840388858" u="1"/>
        <n v="27114.494635595507" u="1"/>
        <n v="7343.8900167257698" u="1"/>
        <n v="15451.263009145228" u="1"/>
        <n v="5924.1863506964901" u="1"/>
        <n v="27664.072863697584" u="1"/>
        <n v="945.00161092870451" u="1"/>
        <n v="364.62510151269242" u="1"/>
        <n v="2039.6155303258345" u="1"/>
        <n v="316.66076795798381" u="1"/>
        <n v="1544.3057265327166" u="1"/>
        <n v="353.31728613426202" u="1"/>
        <n v="175.90962084513228" u="1"/>
        <n v="436.954180201589" u="1"/>
        <n v="796.9673419602974" u="1"/>
        <n v="770.67563354825381" u="1"/>
        <n v="11974.38074120666" u="1"/>
        <n v="11563.054661469714" u="1"/>
        <n v="26008.296828582737" u="1"/>
        <n v="10568.091858105221" u="1"/>
        <n v="9995.2249076663938" u="1"/>
        <n v="15729.111703156434" u="1"/>
        <n v="17367.033445271412" u="1"/>
        <n v="28965.46470402104" u="1"/>
        <n v="16327.097593841929" u="1"/>
        <n v="25041.425591599742" u="1"/>
        <n v="25891.947745313824" u="1"/>
        <n v="23677.977971456086" u="1"/>
        <n v="13776.506530461293" u="1"/>
        <n v="7293.4717624687428" u="1"/>
        <n v="20536.220611311226" u="1"/>
        <n v="32944.823630737053" u="1"/>
        <n v="17718.978067973258" u="1"/>
        <n v="22667.52297698841" u="1"/>
        <n v="11770.588809715497" u="1"/>
        <n v="14909.075609867908" u="1"/>
        <n v="6629.3061897910857" u="1"/>
        <n v="8529.647925886231" u="1"/>
        <n v="4941.8853667879648" u="1"/>
        <n v="24393.39180098127" u="1"/>
        <n v="15051.626245458028" u="1"/>
        <n v="7371.0036604824663" u="1"/>
        <n v="5916.7770472629636" u="1"/>
        <n v="15316.614394804828" u="1"/>
        <n v="17616.854495047501" u="1"/>
        <n v="14166.033865059626" u="1"/>
        <n v="28040.493571842522" u="1"/>
        <n v="13073.790976953411" u="1"/>
        <n v="5881.1584941900137" u="1"/>
        <n v="6885.6285159791405" u="1"/>
        <n v="12830.755897310579" u="1"/>
        <n v="8271.0343787171969" u="1"/>
        <n v="10696.157969337075" u="1"/>
        <n v="10902.026138945037" u="1"/>
        <n v="30597.52334429336" u="1"/>
        <n v="18599.681512650037" u="1"/>
        <n v="7544.4241972865739" u="1"/>
        <n v="8722.3438225976206" u="1"/>
        <n v="7744.6627225248612" u="1"/>
        <n v="32743.067046895208" u="1"/>
        <n v="15684.842845596133" u="1"/>
        <n v="41807.698998931068" u="1"/>
        <n v="20466.589810816771" u="1"/>
        <n v="19737.519427316864" u="1"/>
        <n v="21271.674649547207" u="1"/>
        <n v="5305.6945064128458" u="1"/>
        <n v="8137.7381057395323" u="1"/>
        <n v="1855.3324162149097" u="1"/>
        <n v="22075.176029559021" u="1"/>
        <n v="12140.189369700965" u="1"/>
        <n v="7595.9869535575608" u="1"/>
        <n v="11823.794451363317" u="1"/>
        <n v="25890.921973452274" u="1"/>
        <n v="21364.467559726243" u="1"/>
        <n v="16688.002401802412" u="1"/>
        <n v="9327.9124317110509" u="1"/>
        <n v="16826.985528854959" u="1"/>
        <n v="11954.113233225829" u="1"/>
        <n v="11036.437231398568" u="1"/>
        <n v="34171.280487221047" u="1"/>
        <n v="9585.5484873294972" u="1"/>
        <n v="17552.436059092408" u="1"/>
        <n v="13545.219208213979" u="1"/>
        <n v="11351.727552877195" u="1"/>
        <n v="21334.815381559027" u="1"/>
        <n v="18870.128046743102" u="1"/>
        <n v="24184.702373866392" u="1"/>
        <n v="10605.816516579167" u="1"/>
        <n v="15993.167808490236" u="1"/>
        <n v="5803.5393189165998" u="1"/>
        <n v="9441.3228377245214" u="1"/>
        <n v="28708.506510252399" u="1"/>
        <n v="13931.3477502191" u="1"/>
        <n v="-22.32499888642819" u="1"/>
        <n v="12074.746194363233" u="1"/>
        <n v="25157.113997975026" u="1"/>
        <n v="2118.266961848994" u="1"/>
        <n v="3120.7820645602974" u="1"/>
        <n v="11784.616721115362" u="1"/>
        <n v="8235.9040051505253" u="1"/>
        <n v="7099.1267022207476" u="1"/>
        <n v="7907.9083563078893" u="1"/>
        <n v="21922.011887662578" u="1"/>
        <n v="12719.934251094504" u="1"/>
        <n v="10523.636945785853" u="1"/>
        <n v="21278.587591614454" u="1"/>
        <n v="7294.5531503488401" u="1"/>
        <n v="15595.54947593533" u="1"/>
        <n v="21241.851940730034" u="1"/>
        <n v="8964.0018634542721" u="1"/>
        <n v="18180.968509845006" u="1"/>
        <n v="6962.4428155149526" u="1"/>
        <n v="8457.9595085502315" u="1"/>
        <n v="16663.589369354642" u="1"/>
        <n v="30317.715036804442" u="1"/>
        <n v="23163.833885476211" u="1"/>
        <n v="4772.631522780689" u="1"/>
        <n v="11965.763930864028" u="1"/>
        <n v="18136.74693884825" u="1"/>
        <n v="10123.601699068382" u="1"/>
        <n v="10453.176088021621" u="1"/>
        <n v="6547.0785530966705" u="1"/>
        <n v="15488.393892366987" u="1"/>
        <n v="8651.5051184077111" u="1"/>
        <n v="12797.782759766291" u="1"/>
        <n v="13300.85351273294" u="1"/>
        <n v="13498.240198688596" u="1"/>
        <n v="3379.2350355462627" u="1"/>
        <n v="10637.934813575343" u="1"/>
        <n v="36598.018614116147" u="1"/>
        <n v="12391.34022611541" u="1"/>
        <n v="20696.179220692429" u="1"/>
        <n v="19137.860602620138" u="1"/>
        <n v="24435.728526754141" u="1"/>
        <n v="22523.976810572854" u="1"/>
        <n v="14419.415417765036" u="1"/>
        <n v="13619.177303043185" u="1"/>
        <n v="31867.250569008589" u="1"/>
        <n v="28388.200426682059" u="1"/>
        <n v="23599.245984641486" u="1"/>
        <n v="25969.630188168408" u="1"/>
        <n v="16982.775588340322" u="1"/>
        <n v="23109.455910348308" u="1"/>
        <n v="12134.378998811901" u="1"/>
        <n v="10396.268844907918" u="1"/>
        <n v="12029.052607043084" u="1"/>
        <n v="4006.2509475335796" u="1"/>
        <n v="14572.190090303802" u="1"/>
        <n v="25394.618535387348" u="1"/>
        <n v="16485.426811007615" u="1"/>
        <n v="9366.8342291321114" u="1"/>
        <n v="26648.63093832837" u="1"/>
        <n v="2918.571855519217" u="1"/>
        <n v="27393.106793208157" u="1"/>
        <n v="10703.234883932329" u="1"/>
        <n v="6811.6537445511331" u="1"/>
        <n v="10048.211084552253" u="1"/>
        <n v="177822.66648804714" u="1"/>
        <n v="10110.884169104496" u="1"/>
        <n v="8216.6959289955685" u="1"/>
        <n v="6090.5442725618232" u="1"/>
        <n v="8899.4442647260039" u="1"/>
        <n v="8010.6584897666844" u="1"/>
        <n v="2713.5186399651716" u="1"/>
        <n v="7944.4030515923678" u="1"/>
        <n v="6196.7879865269151" u="1"/>
        <n v="4235.1206605961461" u="1"/>
        <n v="2359.7718033290694" u="1"/>
        <n v="13531.788778313226" u="1"/>
        <n v="25416.444101258068" u="1"/>
        <n v="8510.5438868960464" u="1"/>
        <n v="6308.2602470890715" u="1"/>
        <n v="18446.683477038434" u="1"/>
        <n v="5262.6922049775003" u="1"/>
        <n v="11988.644420323744" u="1"/>
        <n v="16787.415061449345" u="1"/>
        <n v="18970.970759613636" u="1"/>
        <n v="11773.670855031265" u="1"/>
        <n v="19454.843974020827" u="1"/>
        <n v="11674.601895785119" u="1"/>
        <n v="8027.1310796420657" u="1"/>
        <n v="13201.214665617306" u="1"/>
        <n v="9644.5735117932854" u="1"/>
        <n v="9851.8380295147526" u="1"/>
        <n v="7453.3092561787153" u="1"/>
        <n v="3734.8570740646787" u="1"/>
        <n v="14129.45620020298" u="1"/>
        <n v="8284.7779245705478" u="1"/>
        <n v="4370.2449218994998" u="1"/>
        <n v="17133.994617707496" u="1"/>
        <n v="6794.9120171342911" u="1"/>
        <n v="17158.794726239961" u="1"/>
        <n v="9546.4426436090271" u="1"/>
        <n v="23989.527338870717" u="1"/>
        <n v="6119.1490657288559" u="1"/>
        <n v="10087.77748893159" u="1"/>
        <n v="12604.049188611956" u="1"/>
        <n v="11850.676294796162" u="1"/>
        <n v="6894.9619530054897" u="1"/>
        <n v="16212.3975272196" u="1"/>
        <n v="36883.395876843671" u="1"/>
        <n v="510.05724006326477" u="1"/>
        <n v="937.13557153226077" u="1"/>
        <n v="411.31310832561815" u="1"/>
        <n v="1141.1361303056617" u="1"/>
        <n v="928.747645496205" u="1"/>
        <n v="2303.8766595062552" u="1"/>
        <n v="747.19192012575695" u="1"/>
        <n v="240.86223194846099" u="1"/>
        <n v="9947.3572894319113" u="1"/>
        <n v="5635.7407920915548" u="1"/>
        <n v="30449.660436370079" u="1"/>
        <n v="26974.946759661496" u="1"/>
        <n v="7306.0938391941527" u="1"/>
        <n v="15371.741300833788" u="1"/>
        <n v="5893.6968419305167" u="1"/>
        <n v="27521.696519985664" u="1"/>
        <n v="940.13805107514202" u="1"/>
        <n v="362.7485163462656" u="1"/>
        <n v="2029.118413606376" u="1"/>
        <n v="315.03103676977435" u="1"/>
        <n v="1536.3577788823313" u="1"/>
        <n v="351.49889794471858" u="1"/>
        <n v="175.00428167967098" u="1"/>
        <n v="434.70534508416927" u="1"/>
        <n v="792.86565755666015" u="1"/>
        <n v="766.70926245629278" u="1"/>
        <n v="11912.753208755184" u="1"/>
        <n v="11503.544066158873" u="1"/>
        <n v="25874.442127329141" u="1"/>
        <n v="10513.70195369085" u="1"/>
        <n v="9943.7833291272" u="1"/>
        <n v="15648.160014474666" u="1"/>
        <n v="17277.652003310814" u="1"/>
        <n v="28816.390597008874" u="1"/>
        <n v="16243.068301760019" u="1"/>
        <n v="24912.547004754175" u="1"/>
        <n v="25758.691848045153" u="1"/>
        <n v="23556.116525143483" u="1"/>
        <n v="13705.604149651545" u="1"/>
        <n v="7255.9350683014454" u="1"/>
        <n v="20430.528581843766" u="1"/>
        <n v="32775.269293749538" u="1"/>
        <n v="17627.785302393888" u="1"/>
        <n v="22550.861953921751" u="1"/>
        <n v="11710.010115959129" u="1"/>
        <n v="14832.344331580862" u="1"/>
        <n v="6595.1877003951204" u="1"/>
        <n v="8485.7491084264457" u="1"/>
        <n v="4916.4513834033269" u="1"/>
        <n v="24267.848394828892" u="1"/>
        <n v="14974.161313873103" u="1"/>
        <n v="7333.0679394540612" u="1"/>
        <n v="5886.3256713322198" u="1"/>
        <n v="15237.785671126931" u="1"/>
        <n v="17526.187320222307" u="1"/>
        <n v="14093.126736866901" u="1"/>
        <n v="27896.179935513308" u="1"/>
        <n v="13006.505202840404" u="1"/>
        <n v="5850.8904332534094" u="1"/>
        <n v="6850.1908341492126" u="1"/>
        <n v="12764.720931283704" u="1"/>
        <n v="8228.4665457245828" u="1"/>
        <n v="10641.108957901099" u="1"/>
        <n v="10845.917603214868" u="1"/>
        <n v="30440.049659132656" u="1"/>
        <n v="18503.956105150392" u="1"/>
        <n v="7505.59594745099" u="1"/>
        <n v="8677.4532734663208" u="1"/>
        <n v="7704.8039220095516" u="1"/>
        <n v="32574.551073451228" u="1"/>
        <n v="15604.118991698881" u="1"/>
        <n v="41592.530850994059" u="1"/>
        <n v="20361.256144300165" u="1"/>
        <n v="19635.938005671171" u="1"/>
        <n v="21162.197520992995" u="1"/>
        <n v="5278.3881373038066" u="1"/>
        <n v="8095.8562973995613" u="1"/>
        <n v="1845.7837338103921" u="1"/>
        <n v="21961.563588420242" u="1"/>
        <n v="12077.708484006924" u="1"/>
        <n v="7556.8933300459566" u="1"/>
        <n v="11762.941928631732" u="1"/>
        <n v="25757.671355436873" u="1"/>
        <n v="21254.51286175054" u="1"/>
        <n v="16602.115671474199" u="1"/>
        <n v="9279.9052538440956" u="1"/>
        <n v="16740.383505823287" u="1"/>
        <n v="11892.590009843258" u="1"/>
        <n v="10979.636933468661" u="1"/>
        <n v="33995.41404847589" u="1"/>
        <n v="9536.2153557684469" u="1"/>
        <n v="17462.100421182407" u="1"/>
        <n v="13475.507174301119" u="1"/>
        <n v="11293.304576920049" u="1"/>
        <n v="21225.013291940428" u="1"/>
        <n v="18773.010754943432" u="1"/>
        <n v="24060.233011935576" u="1"/>
        <n v="821.13149051039431" u="1"/>
        <n v="1757.2101561848488" u="1"/>
        <n v="4678.3347010329617" u="1"/>
        <n v="2496.4471516610442" u="1"/>
        <n v="-9.2814486098868656" u="1"/>
        <n v="2152.731218312028" u="1"/>
        <n v="4350.8175953807349" u="1"/>
        <n v="281.4109493317103" u="1"/>
        <n v="312.12401161439811" u="1"/>
        <n v="2325.4529149640589" u="1"/>
        <n v="1281.6097538949964" u="1"/>
        <n v="1302.7642485752715" u="1"/>
        <n v="1372.1242032969114" u="1"/>
        <n v="3822.1761849234522" u="1"/>
        <n v="2348.3098321021766" u="1"/>
        <n v="1804.7330324136506" u="1"/>
        <n v="3791.4709166124317" u="1"/>
        <n v="913.92167775642599" u="1"/>
        <n v="3093.7624945104926" u="1"/>
        <n v="3521.2490286612915" u="1"/>
        <n v="1684.0357655072057" u="1"/>
        <n v="3138.1362495998146" u="1"/>
        <n v="1170.2122998257921" u="1"/>
        <n v="1345.403335559274" u="1"/>
        <n v="2793.89789091479" u="1"/>
        <n v="4696.3684232353962" u="1"/>
        <n v="4290.1578780290529" u="1"/>
        <n v="820.2094585683584" u="1"/>
        <n v="2126.6776775600615" u="1"/>
        <n v="3163.3136562428726" u="1"/>
        <n v="1942.7934343134136" u="1"/>
        <n v="1784.7278938489653" u="1"/>
        <n v="1046.0266702484798" u="1"/>
        <n v="2859.0792834748099" u="1"/>
        <n v="1855.8658929299868" u="1"/>
        <n v="2056.9305713047511" u="1"/>
        <n v="2270.8646251277164" u="1"/>
        <n v="2089.0984064162035" u="1"/>
        <n v="478.58067951376631" u="1"/>
        <n v="1802.7180615038594" u="1"/>
        <n v="5866.8391212394117" u="1"/>
        <n v="2245.8778396739922" u="1"/>
        <n v="3743.3837670232988" u="1"/>
        <n v="2885.8034623768804" u="1"/>
        <n v="3800.7912077281617" u="1"/>
        <n v="3499.9016968585506" u="1"/>
        <n v="2285.3391512109151" u="1"/>
        <n v="1862.2722829334309" u="1"/>
        <n v="5422.2627505134715" u="1"/>
        <n v="5070.3328624971864" u="1"/>
        <n v="4003.4929512689637" u="1"/>
        <n v="3601.7485810609742" u="1"/>
        <n v="2922.2058947403511" u="1"/>
        <n v="4099.0626318218065" u="1"/>
        <n v="1881.0081248185763" u="1"/>
        <n v="1496.4647444286832" u="1"/>
        <n v="1617.6463073391581" u="1"/>
        <n v="633.39493668073158" u="1"/>
        <n v="2650.1077736691523" u="1"/>
        <n v="4235.3403537319837" u="1"/>
        <n v="2586.5443179329527" u="1"/>
        <n v="1687.3981765771532" u="1"/>
        <n v="4722.6557321963064" u="1"/>
        <n v="204.91821154157296" u="1"/>
        <n v="4052.8396168673107" u="1"/>
        <n v="1430.5276422631377" u="1"/>
        <n v="1222.0419312207546" u="1"/>
        <n v="1796.9015936498463" u="1"/>
        <n v="15708.766879071545" u="1"/>
        <n v="1553.2566651359989" u="1"/>
        <n v="1201.6123523167832" u="1"/>
        <n v="1220.3135797983596" u="1"/>
        <n v="1780.1306731505672" u="1"/>
        <n v="1412.0225630684583" u="1"/>
        <n v="355.59975343906189" u="1"/>
        <n v="1338.6357229867137" u="1"/>
        <n v="1235.2872257140484" u="1"/>
        <n v="888.56567199795916" u="1"/>
        <n v="345.75507575916839" u="1"/>
        <n v="2555.050890604954" u="1"/>
        <n v="4717.0774644174826" u="1"/>
        <n v="1647.7448939146179" u="1"/>
        <n v="1494.3216569258414" u="1"/>
        <n v="3181.5740658564655" u="1"/>
        <n v="929.32893338982899" u="1"/>
        <n v="2354.7607954729865" u="1"/>
        <n v="3058.1245081325505" u="1"/>
        <n v="3688.4594704085212" u="1"/>
        <n v="2180.0767754256417" u="1"/>
        <n v="4035.6236503977798" u="1"/>
        <n v="2264.3485846405533" u="1"/>
        <n v="1238.1345978917318" u="1"/>
        <n v="2438.6567365837936" u="1"/>
        <n v="1634.4368146495815" u="1"/>
        <n v="1455.0202491605241" u="1"/>
        <n v="1378.1309357533291" u="1"/>
        <n v="681.25733461636582" u="1"/>
        <n v="1363.5270704932868" u="1"/>
        <n v="1411.5904306394921" u="1"/>
        <n v="513.18107431096894" u="1"/>
        <n v="2711.6711332650139" u="1"/>
        <n v="1308.9603032257553" u="1"/>
        <n v="3008.6193141693639" u="1"/>
        <n v="1770.0643512176466" u="1"/>
        <n v="4517.3498597111475" u="1"/>
        <n v="910.06870494052328" u="1"/>
        <n v="1726.5241945095195" u="1"/>
        <n v="1220.1416539528132" u="1"/>
        <n v="2248.8538378546405" u="1"/>
        <n v="1250.7740002348296" u="1"/>
        <n v="2943.0289418609123" u="1"/>
        <n v="6277.0537302417679" u="1"/>
        <n v="120.85059929017535" u="1"/>
        <n v="149.45457718169462" u="1"/>
        <n v="108.43836829765932" u="1"/>
        <n v="200.53333836529666" u="1"/>
        <n v="238.53027469659867" u="1"/>
        <n v="537.87976298854926" u="1"/>
        <n v="125.95901283599351" u="1"/>
        <n v="30.994689552938507" u="1"/>
        <n v="1786.5685192161257" u="1"/>
        <n v="1035.6138222224265" u="1"/>
        <n v="4350.4688024134903" u="1"/>
        <n v="4910.3860202840433" u="1"/>
        <n v="1326.5510680385767" u="1"/>
        <n v="2694.3225419247042" u="1"/>
        <n v="1248.4669082105843" u="1"/>
        <n v="4459.1106035597913" u="1"/>
        <n v="164.95798393612523" u="1"/>
        <n v="85.669655485932878" u="1"/>
        <n v="142.20233748866028" u="1"/>
        <n v="71.196606691479559" u="1"/>
        <n v="230.86515826929914" u="1"/>
        <n v="67.239485018920178" u="1"/>
        <n v="50.757017882723709" u="1"/>
        <n v="94.630328673775523" u="1"/>
        <n v="86.977310731903188" u="1"/>
        <n v="63.259414429792457" u="1"/>
        <n v="1866.9486404617674" u="1"/>
        <n v="1763.1646486547154" u="1"/>
        <n v="4209.0085987561815" u="1"/>
        <n v="1930.9285133311328" u="1"/>
        <n v="1803.8746257697148" u="1"/>
        <n v="2697.1659152345733" u="1"/>
        <n v="2819.1321731746139" u="1"/>
        <n v="5363.4315091025392" u="1"/>
        <n v="2681.5869120490961" u="1"/>
        <n v="4098.4971104071928" u="1"/>
        <n v="4839.1772132251581" u="1"/>
        <n v="3723.791377840404" u="1"/>
        <n v="2493.8346938646164" u="1"/>
        <n v="972.16090843728455" u="1"/>
        <n v="2926.1453908299327" u="1"/>
        <n v="6213.9918395056366" u="1"/>
        <n v="3332.7002716667757" u="1"/>
        <n v="4041.4732044256257" u="1"/>
        <n v="1894.8090581741767" u="1"/>
        <n v="3159.9607966087874" u="1"/>
        <n v="1102.1167259780389" u="1"/>
        <n v="1507.4007309646126" u="1"/>
        <n v="870.62168235165291" u="1"/>
        <n v="4300.3835943236681" u="1"/>
        <n v="2544.091853270475" u="1"/>
        <n v="1334.8800474641412" u="1"/>
        <n v="1021.3776999783832" u="1"/>
        <n v="2658.1156720267259" u="1"/>
        <n v="2890.5967549506813" u="1"/>
        <n v="2359.8439677576275" u="1"/>
        <n v="4737.2010407868847" u="1"/>
        <n v="2228.8229486188652" u="1"/>
        <n v="1150.2419284876498" u="1"/>
        <n v="1207.2307870672244" u="1"/>
        <n v="2156.3453033493538" u="1"/>
        <n v="1525.3971388909388" u="1"/>
        <n v="1775.2746976870008" u="1"/>
        <n v="1764.6421156950928" u="1"/>
        <n v="5567.6033587104821" u="1"/>
        <n v="3182.9850039622415" u="1"/>
        <n v="1443.4661701069872" u="1"/>
        <n v="1469.053830023267" u="1"/>
        <n v="1497.5060547017854" u="1"/>
        <n v="5392.3808414443947" u="1"/>
        <n v="2374.0201833959359" u="1"/>
        <n v="7245.2434318223959" u="1"/>
        <n v="3671.5607899031293" u="1"/>
        <n v="3410.2643749148642" u="1"/>
        <n v="3490.3263696700114" u="1"/>
        <n v="843.12032221623167" u="1"/>
        <n v="1512.921893892217" u="1"/>
        <n v="305.59727351906952" u="1"/>
        <n v="3686.0144047094154" u="1"/>
        <n v="2302.1465454599474" u="1"/>
        <n v="1493.0985891958794" u="1"/>
        <n v="1959.5872782587646" u="1"/>
        <n v="4141.1654120496914" u="1"/>
        <n v="3924.3967212968641" u="1"/>
        <n v="3356.0133399112428" u="1"/>
        <n v="1768.2692161556922" u="1"/>
        <n v="3130.8583101766749" u="1"/>
        <n v="2213.1290225570751" u="1"/>
        <n v="1868.3976569585234" u="1"/>
        <n v="6196.7889139298677" u="1"/>
        <n v="1776.3862810575624" u="1"/>
        <n v="2609.3763503968271" u="1"/>
        <n v="2387.8137557782966" u="1"/>
        <n v="1918.7596529244217" u="1"/>
        <n v="3673.3877376141368" u="1"/>
        <n v="2994.2347753472468" u="1"/>
        <n v="4059.7164214546706" u="1"/>
        <n v="2139.9351214797744" u="1"/>
        <n v="2798.4860441167416" u="1"/>
      </sharedItems>
    </cacheField>
    <cacheField name="Resultado - Gastos Dis" numFmtId="164">
      <sharedItems containsSemiMixedTypes="0" containsString="0" containsNumber="1" minValue="-112969.43364719313" maxValue="13770.818628240946" count="1060">
        <n v="-559.9844965995344"/>
        <n v="-866.25197973096147"/>
        <n v="-9854.8117003141633"/>
        <n v="-3080.7881464710135"/>
        <n v="9263.1195196319823"/>
        <n v="-631.2788265903655"/>
        <n v="-5264.759888465429"/>
        <n v="1154.7076332812803"/>
        <n v="-226.51302960888324"/>
        <n v="-2804.18559948029"/>
        <n v="-256.64327636020971"/>
        <n v="1008.2972024668743"/>
        <n v="-1260.444496579792"/>
        <n v="-4143.8754729809116"/>
        <n v="-2804.8963917474885"/>
        <n v="-1499.9564829368483"/>
        <n v="-2729.2252922263651"/>
        <n v="1080.5536458173547"/>
        <n v="-2307.8097019983798"/>
        <n v="-32.8823186157897"/>
        <n v="-1231.3462938410757"/>
        <n v="-5330.7746643584833"/>
        <n v="1329.4116033873579"/>
        <n v="2363.710569693083"/>
        <n v="-5516.0090967847391"/>
        <n v="-3759.6355085852229"/>
        <n v="-7112.5053587862021"/>
        <n v="2088.0193677677062"/>
        <n v="-1086.0898536663353"/>
        <n v="-3910.5812147193392"/>
        <n v="-80.130319504942236"/>
        <n v="-1447.9474470677342"/>
        <n v="-1767.5795923901815"/>
        <n v="-5448.9953122912539"/>
        <n v="-1015.9462680686702"/>
        <n v="-1638.0728250296652"/>
        <n v="1383.8005273753352"/>
        <n v="-165.63212963681144"/>
        <n v="2228.379256523101"/>
        <n v="-2733.6141003841967"/>
        <n v="-11989.367736474174"/>
        <n v="1977.2009298269641"/>
        <n v="-6527.1416499848092"/>
        <n v="-1618.645056206984"/>
        <n v="-4127.5265421507065"/>
        <n v="-5627.3002829358375"/>
        <n v="951.00692338634872"/>
        <n v="-3694.9996777473389"/>
        <n v="-5058.779500819488"/>
        <n v="-9461.5026721969407"/>
        <n v="-4368.8683055982401"/>
        <n v="-8395.6061696600191"/>
        <n v="294.01"/>
        <n v="-6309.6874257667987"/>
        <n v="-5370.2442650566445"/>
        <n v="-2849.5584925948679"/>
        <n v="-2555.8909690722921"/>
        <n v="-4034.4662854457783"/>
        <n v="7.8100000000000005"/>
        <n v="763.367368584019"/>
        <n v="13643.855455549874"/>
        <n v="-7032.5978896913439"/>
        <n v="-1516.0346552617484"/>
        <n v="3635.4268613869572"/>
        <n v="-2776.1343178630705"/>
        <n v="1705.1188770016884"/>
        <n v="-9103.009408088772"/>
        <n v="-1467.4479251348257"/>
        <n v="-197.69475516550665"/>
        <n v="-2222.1308916937178"/>
        <n v="-112969.43364719313"/>
        <n v="-3763.128636235886"/>
        <n v="-1055.0330662309643"/>
        <n v="3441.9310134915841"/>
        <n v="-1439.1395933058266"/>
        <n v="-1688.2686434666875"/>
        <n v="-70.613860182960252"/>
        <n v="-3016.9400729367599"/>
        <n v="-1994.7375182896312"/>
        <n v="-398.37289434614013"/>
        <n v="646.34987719293895"/>
        <n v="2686.6715060151673"/>
        <n v="178.21880000000002"/>
        <n v="-6452.5535746140995"/>
        <n v="-2056.2884724482719"/>
        <n v="744.12309027641732"/>
        <n v="-5407.7331855894372"/>
        <n v="-635.74500192666164"/>
        <n v="-2112.395848863649"/>
        <n v="-5579.6470812059888"/>
        <n v="-5346.4665987077351"/>
        <n v="-1252.6874230710491"/>
        <n v="-951.56943271059572"/>
        <n v="-1840.8224313532137"/>
        <n v="0"/>
        <n v="-917.47995772170816"/>
        <n v="-2147.5041516790207"/>
        <n v="-826.201904001824"/>
        <n v="1138.9953085269572"/>
        <n v="1015.505540207253"/>
        <n v="1326.154683820926"/>
        <n v="342.85550588762271"/>
        <n v="-935.38134439346322"/>
        <n v="-210.87470043190842"/>
        <n v="-3009.1172306326407"/>
        <n v="376.11957415055531"/>
        <n v="-1466.8977011788302"/>
        <n v="-1489.6940415611789"/>
        <n v="-31.702517221649032"/>
        <n v="-419.40293896233561"/>
        <n v="435.96676884199405"/>
        <n v="89.039999999999992"/>
        <n v="1939.9534167173442"/>
        <n v="-2647.8851412485255"/>
        <n v="-1254.7055130731678"/>
        <n v="-2033.0059618687901"/>
        <n v="-9698.9219332770808"/>
        <n v="224.38511108565251"/>
        <n v="12.498814394217334"/>
        <n v="662.26198059687181"/>
        <n v="-341.08017936153828"/>
        <n v="-270.84262288389959"/>
        <n v="-272.06602780920139"/>
        <n v="-273.32743839349723"/>
        <n v="429.13840887302138"/>
        <n v="-1386.9573184886794"/>
        <n v="1397.2824933343345"/>
        <n v="-10364.694624943648"/>
        <n v="-8147.5332794648712"/>
        <n v="-345.25781318411282"/>
        <n v="-5068.1481162359905"/>
        <n v="210.38431715357365"/>
        <n v="-10383.429619954066"/>
        <n v="-94.444633229613942"/>
        <n v="105.80798121760336"/>
        <n v="-509.76257692989429"/>
        <n v="108.70629591777663"/>
        <n v="-876.45150337937798"/>
        <n v="85.520380429634201"/>
        <n v="216.20396041455314"/>
        <n v="32.618521387530791"/>
        <n v="399.10833851144287"/>
        <n v="-126.91127698350874"/>
        <n v="-2423.9941649606008"/>
        <n v="-2410.3432080372895"/>
        <n v="-2134.7613158335589"/>
        <n v="-3338.047910490086"/>
        <n v="2538.6317711086067"/>
        <n v="-4092.2590765392415"/>
        <n v="-6118.118415100369"/>
        <n v="-5708.2470653435885"/>
        <n v="-5283.684045415026"/>
        <n v="-7842.7794457436066"/>
        <n v="-3170.2530081471887"/>
        <n v="-1911.466189198698"/>
        <n v="-2712.2808358068905"/>
        <n v="1593.8342510613302"/>
        <n v="-7463.6195280969223"/>
        <n v="-10027.144675200536"/>
        <n v="7.8602999549475498"/>
        <n v="-6634.061098570226"/>
        <n v="2061.4955627183426"/>
        <n v="-3410.3564909103516"/>
        <n v="1091.9013743379992"/>
        <n v="986.50280929519067"/>
        <n v="967.41998324492715"/>
        <n v="-5367.8613684787779"/>
        <n v="-3094.5790833495612"/>
        <n v="117.29"/>
        <n v="-2636.098986767176"/>
        <n v="2785.4011365444685"/>
        <n v="-6708.013414882611"/>
        <n v="-2869.8946798683683"/>
        <n v="-27.132070639458107"/>
        <n v="-8313.2357748022259"/>
        <n v="1564.4367525781909"/>
        <n v="3457.1456201969968"/>
        <n v="-415.23096618896943"/>
        <n v="-2915.4763323775351"/>
        <n v="-2887.0199111700804"/>
        <n v="-2364.6664587192627"/>
        <n v="-724.5783261274446"/>
        <n v="-11017.405085185928"/>
        <n v="-6690.966771853502"/>
        <n v="546.93256464492606"/>
        <n v="-2544.6513555574475"/>
        <n v="-862.93385014883643"/>
        <n v="-13120.083860686809"/>
        <n v="1820.6470822770189"/>
        <n v="-11917.178493295309"/>
        <n v="-279.65097837715075"/>
        <n v="-5199.6103799378398"/>
        <n v="-4706.9748044425833"/>
        <n v="2539.2143752202792"/>
        <n v="3.0948096368774713"/>
        <n v="-68.47155032079263"/>
        <n v="-6475.2123640239188"/>
        <n v="-2825.4530241819193"/>
        <n v="524.46128202719592"/>
        <n v="-2477.4101748273206"/>
        <n v="-9551.010233028981"/>
        <n v="-5434.4437104629615"/>
        <n v="-2812.2382107561243"/>
        <n v="-1226.3603319670437"/>
        <n v="-5548.0951703581886"/>
        <n v="-3133.349678265442"/>
        <n v="4732.5501094393585"/>
        <n v="-6466.6951782826291"/>
        <n v="2237.6169697101359"/>
        <n v="-2972.0584456690958"/>
        <n v="-1523.4126913145228"/>
        <n v="-1893.2347622803736"/>
        <n v="-5706.0838676228486"/>
        <n v="-4731.5412311694745"/>
        <n v="-8677.5725043049424"/>
        <n v="-1919.4214441739368"/>
        <n v="-7300.6650732557919"/>
        <n v="-511.37381323543559" u="1"/>
        <n v="-787.1710724117147" u="1"/>
        <n v="-9614.3480723212815" u="1"/>
        <n v="-2964.098606328902" u="1"/>
        <n v="9262.9325245256641" u="1"/>
        <n v="-531.59085954675174" u="1"/>
        <n v="-5054.0428698137184" u="1"/>
        <n v="1172.4503242332376" u="1"/>
        <n v="-200.37323103903145" u="1"/>
        <n v="-2705.4771664848995" u="1"/>
        <n v="-187.659006622167" u="1"/>
        <n v="1067.7597788913044" u="1"/>
        <n v="-1194.2075318490097" u="1"/>
        <n v="-3960.2558022910489" u="1"/>
        <n v="-2698.3537007594805" u="1"/>
        <n v="-1411.8100682579843" u="1"/>
        <n v="-2550.9949698298769" u="1"/>
        <n v="1141.6531221866089" u="1"/>
        <n v="-2177.1807399453864" u="1"/>
        <n v="145.04030446219622" u="1"/>
        <n v="-1156.2634465793635" u="1"/>
        <n v="-5178.4901264379732" u="1"/>
        <n v="1387.7293099707285" u="1"/>
        <n v="2434.5547854350807" u="1"/>
        <n v="-5376.434188779418" u="1"/>
        <n v="-3505.6930839731758" u="1"/>
        <n v="-6918.4841361100298" u="1"/>
        <n v="2127.9951251492748" u="1"/>
        <n v="-985.86412421244131" u="1"/>
        <n v="-3758.6670784912239" u="1"/>
        <n v="4.6653835401975812" u="1"/>
        <n v="-1360.3912154234131" u="1"/>
        <n v="-1712.7409939047539" u="1"/>
        <n v="-5319.2638898011519" u="1"/>
        <n v="-943.48090636034249" u="1"/>
        <n v="-1530.8780717401096" u="1"/>
        <n v="1495.2090219249003" u="1"/>
        <n v="-52.570316109979103" u="1"/>
        <n v="2256.683867778233" u="1"/>
        <n v="-2644.6177899697432" u="1"/>
        <n v="-11682.821231515503" u="1"/>
        <n v="2080.9913037846527" u="1"/>
        <n v="-6353.7896039903135" u="1"/>
        <n v="-1458.3455508710103" u="1"/>
        <n v="-3922.8518777931531" u="1"/>
        <n v="-5438.6385293624298" u="1"/>
        <n v="1071.7845383296408" u="1"/>
        <n v="-3580.9248900742678" u="1"/>
        <n v="-4791.8581030363748" u="1"/>
        <n v="-9223.7219410972139" u="1"/>
        <n v="-4184.0541325708728" u="1"/>
        <n v="-8178.0834820743657" u="1"/>
        <n v="-6167.4390009000126" u="1"/>
        <n v="-5176.6785145304239" u="1"/>
        <n v="-2747.9204364161924" u="1"/>
        <n v="-2468.8113948303126" u="1"/>
        <n v="-3933.7104474444604" u="1"/>
        <n v="796.92389083465605" u="1"/>
        <n v="13765.912717416317" u="1"/>
        <n v="-6819.8915232931577" u="1"/>
        <n v="-1377.9520441523782" u="1"/>
        <n v="3713.8838490655271" u="1"/>
        <n v="-2552.9242921452496" u="1"/>
        <n v="1729.5649545670763" u="1"/>
        <n v="-8873.5636220762208" u="1"/>
        <n v="-1377.7971907599385" u="1"/>
        <n v="-140.64006402505674" u="1"/>
        <n v="-2137.9666635278663" u="1"/>
        <n v="-111479.9836993941" u="1"/>
        <n v="-3678.4394557433225" u="1"/>
        <n v="-986.20968412660295" u="1"/>
        <n v="3492.9456621187592" u="1"/>
        <n v="-1364.5974831388558" u="1"/>
        <n v="-1621.1710394038164" u="1"/>
        <n v="-47.885316761193735" u="1"/>
        <n v="-2950.3974271414654" u="1"/>
        <n v="-1942.8329679567596" u="1"/>
        <n v="-362.89934999193065" u="1"/>
        <n v="666.11542260231681" u="1"/>
        <n v="2800.0143238209112" u="1"/>
        <n v="-6239.6643963810202" u="1"/>
        <n v="-1985.003807796531" u="1"/>
        <n v="796.96133683572771" u="1"/>
        <n v="-5253.2230082055721" u="1"/>
        <n v="-591.66447617145423" u="1"/>
        <n v="-2011.9784714916095" u="1"/>
        <n v="-5439.0350041250422" u="1"/>
        <n v="-5187.564969541676" u="1"/>
        <n v="-1154.0706730989186" u="1"/>
        <n v="-848.60056481967695" u="1"/>
        <n v="-1743.0354870469855" u="1"/>
        <n v="-850.24437857042722" u="1"/>
        <n v="-2036.9302361995269" u="1"/>
        <n v="-745.41856070036738" u="1"/>
        <n v="1221.5147079296858" u="1"/>
        <n v="1077.93476423023" u="1"/>
        <n v="1357.4379998563227" u="1"/>
        <n v="461.20441053210379" u="1"/>
        <n v="-865.98770470182353" u="1"/>
        <n v="-174.26934972297749" u="1"/>
        <n v="-2865.6021889737167" u="1"/>
        <n v="433.03403589550999" u="1"/>
        <n v="-1323.1749327936705" u="1"/>
        <n v="-1409.7326464364123" u="1"/>
        <n v="169.23474768550659" u="1"/>
        <n v="-368.14869541438475" u="1"/>
        <n v="520.4624068337198" u="1"/>
        <n v="2045.5254496690395" u="1"/>
        <n v="-2548.6233905545869" u="1"/>
        <n v="-1196.9530289618651" u="1"/>
        <n v="-1897.2102552385677" u="1"/>
        <n v="-9392.7117195323444" u="1"/>
        <n v="228.65737144812886" u="1"/>
        <n v="20.348300377452119" u="1"/>
        <n v="665.7071560619795" u="1"/>
        <n v="-331.52197633105106" u="1"/>
        <n v="-263.06339451316876" u="1"/>
        <n v="-252.76866241699099" u="1"/>
        <n v="-267.06892822487384" u="1"/>
        <n v="431.15588080664872" u="1"/>
        <n v="-1303.6378458472172" u="1"/>
        <n v="1444.4876893555847" u="1"/>
        <n v="-10109.647020253167" u="1"/>
        <n v="-7921.5900190438988" u="1"/>
        <n v="-284.06167153175556" u="1"/>
        <n v="-4939.3937806370122" u="1"/>
        <n v="259.75016362819588" u="1"/>
        <n v="-10152.906761115992" u="1"/>
        <n v="-86.569998354582935" u="1"/>
        <n v="108.84637766844298" u="1"/>
        <n v="-492.76659787439394" u="1"/>
        <n v="111.34500880257838" u="1"/>
        <n v="-863.58290761062221" u="1"/>
        <n v="88.464549615345788" u="1"/>
        <n v="217.66980345560279" u="1"/>
        <n v="36.259631187147363" u="1"/>
        <n v="405.74941377806977" u="1"/>
        <n v="-120.48928875503202" u="1"/>
        <n v="-2324.2302154059635" u="1"/>
        <n v="-2313.98905112785" u="1"/>
        <n v="-1918.0359273495778" u="1"/>
        <n v="-3249.9847117124864" u="1"/>
        <n v="2621.9213081119742" u="1"/>
        <n v="-3961.1894464576508" u="1"/>
        <n v="-5973.4000932876042" u="1"/>
        <n v="-5466.8797958152318" u="1"/>
        <n v="-5147.63143911931" u="1"/>
        <n v="-7634.110930257888" u="1"/>
        <n v="-2958.7818418331226" u="1"/>
        <n v="-1714.1591910434217" u="1"/>
        <n v="-2597.4821333218806" u="1"/>
        <n v="1654.6102607914581" u="1"/>
        <n v="-7292.4925827489278" u="1"/>
        <n v="-9752.6176753371255" u="1"/>
        <n v="155.51135264135155" u="1"/>
        <n v="-6445.1741539334471" u="1"/>
        <n v="2159.5790877289983" u="1"/>
        <n v="-3286.1024065322235" u="1"/>
        <n v="1147.1429370143669" u="1"/>
        <n v="1057.579791865528" u="1"/>
        <n v="1008.6003816777607" u="1"/>
        <n v="-5164.5928749917439" u="1"/>
        <n v="-2969.154894027879" u="1"/>
        <n v="-2574.6769089447134" u="1"/>
        <n v="2834.7052417918349" u="1"/>
        <n v="-6580.3810971321709" u="1"/>
        <n v="-2723.094616047616" u="1"/>
        <n v="90.912536930089118" u="1"/>
        <n v="-8079.576227516467" u="1"/>
        <n v="1673.3797736115703" u="1"/>
        <n v="3506.1529184368583" u="1"/>
        <n v="-357.85348680546849" u="1"/>
        <n v="-2808.5585063193612" u="1"/>
        <n v="-2818.0979378972334" u="1"/>
        <n v="-2275.5360936488742" u="1"/>
        <n v="-633.73247544379956" u="1"/>
        <n v="-10762.437980759769" u="1"/>
        <n v="-6535.9768765875669" u="1"/>
        <n v="609.7997441385096" u="1"/>
        <n v="-2471.9686510381016" u="1"/>
        <n v="-798.39809648995015" u="1"/>
        <n v="-12847.238084868965" u="1"/>
        <n v="1951.3478229455213" u="1"/>
        <n v="-11568.797748993471" u="1"/>
        <n v="-109.10426180719514" u="1"/>
        <n v="-5035.1389578455492" u="1"/>
        <n v="-4529.7193700512944" u="1"/>
        <n v="2583.4263707484124" u="1"/>
        <n v="70.906034030820592" u="1"/>
        <n v="-53.011190062630476" u="1"/>
        <n v="-6291.2614066663191" u="1"/>
        <n v="-2724.2896425595591" u="1"/>
        <n v="587.75813050132729" u="1"/>
        <n v="-2378.8832907827546" u="1"/>
        <n v="-9337.2104701329881" u="1"/>
        <n v="-5256.4150389912247" u="1"/>
        <n v="-2673.1782089655571" u="1"/>
        <n v="-1148.6314649508295" u="1"/>
        <n v="-5407.8770315161382" u="1"/>
        <n v="-3033.736856575204" u="1"/>
        <n v="4824.5159987176321" u="1"/>
        <n v="-6181.9481959100885" u="1"/>
        <n v="2317.4927006524795" u="1"/>
        <n v="-2825.795176343192" u="1"/>
        <n v="-1410.541290532341" u="1"/>
        <n v="-1798.6415799556489" u="1"/>
        <n v="-5528.3022857577525" u="1"/>
        <n v="-4574.2977231217483" u="1"/>
        <n v="-8476.043005780255" u="1"/>
        <n v="-1831.0438883541556" u="1"/>
        <n v="-7167.3950814055261" u="1"/>
        <n v="-509.41997882966643" u="1"/>
        <n v="-783.99253249277353" u="1"/>
        <n v="-9604.6829930178392" u="1"/>
        <n v="-2959.4084431272186" u="1"/>
        <n v="9262.9250085343792" u="1"/>
        <n v="-527.52574457827541" u="1"/>
        <n v="-5045.5734114060033" u="1"/>
        <n v="1173.1634654119616" u="1"/>
        <n v="-199.32258055911279" u="1"/>
        <n v="-2701.5097272476978" u="1"/>
        <n v="-184.88628609360603" u="1"/>
        <n v="1070.1497890625978" u="1"/>
        <n v="-1191.5452351753474" u="1"/>
        <n v="-3952.8754816425462" u="1"/>
        <n v="-2694.0713751279654" u="1"/>
        <n v="-1408.2671537004007" u="1"/>
        <n v="-2543.8312660522279" u="1"/>
        <n v="1144.1089251262747" u="1"/>
        <n v="-2171.9303023299071" u="1"/>
        <n v="152.19164072156491" u="1"/>
        <n v="-1153.2456027616936" u="1"/>
        <n v="-5172.3692750311529" u="1"/>
        <n v="1390.0733037947748" u="1"/>
        <n v="2437.4022637379403" u="1"/>
        <n v="-5370.824182118944" u="1"/>
        <n v="-3495.4862444071696" u="1"/>
        <n v="-6910.6857404883376" u="1"/>
        <n v="2129.6018914969882" u="1"/>
        <n v="-981.83569949181947" u="1"/>
        <n v="-3752.5611148317112" u="1"/>
        <n v="8.0736212074207288" u="1"/>
        <n v="-1356.8720223986038" u="1"/>
        <n v="-1710.5368376767401" u="1"/>
        <n v="-5314.0495274587847" u="1"/>
        <n v="-940.56826849693789" u="1"/>
        <n v="-1526.5695374303505" u="1"/>
        <n v="1499.6869213223526" u="1"/>
        <n v="-48.025964005468268" u="1"/>
        <n v="2257.8215296970743" u="1"/>
        <n v="-2641.0363955993562" u="1"/>
        <n v="-11670.500048867842" u="1"/>
        <n v="2085.1630041104272" u="1"/>
        <n v="-6346.821975305942" u="1"/>
        <n v="-1451.9025497223265" u="1"/>
        <n v="-3914.6252828651268" u="1"/>
        <n v="-5431.0555496617853" u="1"/>
        <n v="1076.6390156418693" u="1"/>
        <n v="-3576.3398229745726" u="1"/>
        <n v="-4781.1295928708569" u="1"/>
        <n v="-9214.164696859938" u="1"/>
        <n v="-4176.1091499971008" u="1"/>
        <n v="-8169.3404798857955" u="1"/>
        <n v="-6161.7215361898488" u="1"/>
        <n v="-5168.8984259370627" u="1"/>
        <n v="-2743.8352453150928" u="1"/>
        <n v="-2465.3113603436686" u="1"/>
        <n v="-3929.6607157960789" u="1"/>
        <n v="798.27264553576106" u="1"/>
        <n v="13770.818628240946" u="1"/>
        <n v="-6811.3421059998" u="1"/>
        <n v="-1372.4020181549422" u="1"/>
        <n v="3717.0373114587874" u="1"/>
        <n v="-2543.9526958257011" u="1"/>
        <n v="1730.5475284403051" u="1"/>
        <n v="-8864.341388609304" u="1"/>
        <n v="-1374.1938123006785" u="1"/>
        <n v="-138.3468352357022" u="1"/>
        <n v="-2134.5838070579466" u="1"/>
        <n v="-111420.11746521911" u="1"/>
        <n v="-3675.0354995922989" u="1"/>
        <n v="-983.44343023813781" u="1"/>
        <n v="3494.9961203470339" u="1"/>
        <n v="-1361.6013734476601" u="1"/>
        <n v="-1618.474150607155" u="1"/>
        <n v="-46.971776628506632" u="1"/>
        <n v="-2947.722844070252" u="1"/>
        <n v="-1940.7467414477278" u="1"/>
        <n v="-361.47354342725612" u="1"/>
        <n v="666.90986941929259" u="1"/>
        <n v="2804.5699704761319" u="1"/>
        <n v="-6231.1076312367768" u="1"/>
        <n v="-1982.1386263022268" u="1"/>
        <n v="799.08509188140033" u="1"/>
        <n v="-5247.0127005175927" u="1"/>
        <n v="-589.89272473978144" u="1"/>
        <n v="-2007.9423437668247" u="1"/>
        <n v="-5433.3833099900403" u="1"/>
        <n v="-5181.178153954821" u="1"/>
        <n v="-1150.1069189250175" u="1"/>
        <n v="-842.0508472376132" u="1"/>
        <n v="-1739.1050856825477" u="1"/>
        <n v="-847.54194406948318" u="1"/>
        <n v="-2032.4858814714462" u="1"/>
        <n v="-742.17159388911568" u="1"/>
        <n v="1224.8314529441268" u="1"/>
        <n v="1080.444014406944" u="1"/>
        <n v="1358.6953864011421" u="1"/>
        <n v="465.96126943177296" u="1"/>
        <n v="-863.19853015441913" u="1"/>
        <n v="-172.79805187853708" u="1"/>
        <n v="-2859.8338144779627" u="1"/>
        <n v="435.32162837204851" u="1"/>
        <n v="-1317.398209029885" u="1"/>
        <n v="-1406.5187166144879" u="1"/>
        <n v="177.31112337922241" u="1"/>
        <n v="-366.08860702320544" u="1"/>
        <n v="523.85858383063896" u="1"/>
        <n v="2049.7687611387228" u="1"/>
        <n v="-2544.6337115321803" u="1"/>
        <n v="-1194.6317534177606" u="1"/>
        <n v="-1891.7521479788429" u="1"/>
        <n v="-9380.2944610447739" u="1"/>
        <n v="228.82908862445584" u="1"/>
        <n v="20.663798838289949" u="1"/>
        <n v="665.84562978610347" u="1"/>
        <n v="-331.13779851979893" u="1"/>
        <n v="-262.75071995298572" u="1"/>
        <n v="-251.99303340224151" u="1"/>
        <n v="-266.81737668002677" u="1"/>
        <n v="431.23697010233025" u="1"/>
        <n v="-1300.2889430741761" u="1"/>
        <n v="1446.3850322797025" u="1"/>
        <n v="-10099.395759611125" u="1"/>
        <n v="-7912.5085644044848" u="1"/>
        <n v="-281.60198327423495" u="1"/>
        <n v="-4934.2186908547719" u="1"/>
        <n v="261.73435069649076" u="1"/>
        <n v="-10143.641236302436" u="1"/>
        <n v="-86.253489071295121" u="1"/>
        <n v="108.96850151269246" u="1"/>
        <n v="-492.08346967416605" u="1"/>
        <n v="111.4510679579837" u="1"/>
        <n v="-863.06567346728389" u="1"/>
        <n v="88.582886134262083" u="1"/>
        <n v="217.72872084513233" u="1"/>
        <n v="36.405980201589045" u="1"/>
        <n v="406.01634196029772" u="1"/>
        <n v="-120.23116645174616" u="1"/>
        <n v="-2321.5499587933409" u="1"/>
        <n v="-2310.1162385302887" u="1"/>
        <n v="-1909.324971417278" u="1"/>
        <n v="-3246.4451418947792" u="1"/>
        <n v="2625.2690076663876" u="1"/>
        <n v="-3955.9212968435695" u="1"/>
        <n v="-5967.5833547286129" u="1"/>
        <n v="-5457.1783959789318" u="1"/>
        <n v="-5142.1630061581018" u="1"/>
        <n v="-7625.7238084002711" u="1"/>
        <n v="-2950.1098546861977" u="1"/>
        <n v="-1706.2287285439088" u="1"/>
        <n v="-2592.8679695387291" u="1"/>
        <n v="1657.053062468749" u="1"/>
        <n v="-7285.614388688773" u="1"/>
        <n v="-9741.5834692629578" u="1"/>
        <n v="161.44596797324994" u="1"/>
        <n v="-6437.5821230116089" u="1"/>
        <n v="2163.5214097154949" u="1"/>
        <n v="-3279.7785901320894" u="1"/>
        <n v="1149.3632897910829" u="1"/>
        <n v="1060.4366258862301" u="1"/>
        <n v="1010.2555667879692" u="1"/>
        <n v="-5156.4227990187501" u="1"/>
        <n v="-2964.1136545419649" u="1"/>
        <n v="-2572.2081395175383" u="1"/>
        <n v="2836.6869472629642" u="1"/>
        <n v="-6575.2511051951933" u="1"/>
        <n v="-2717.1942049525132" u="1"/>
        <n v="95.65716505961791" u="1"/>
        <n v="-8070.1846281574581" u="1"/>
        <n v="1677.7585769534016" u="1"/>
        <n v="3508.1226941900113" u="1"/>
        <n v="-355.54728402086403" u="1"/>
        <n v="-2804.2611026894265" u="1"/>
        <n v="-2815.3277212828034" u="1"/>
        <n v="-2271.9536306629307" u="1"/>
        <n v="-630.0810610549579" u="1"/>
        <n v="-10752.189955706599" u="1"/>
        <n v="-6529.7472873499719" u="1"/>
        <n v="612.32659728657563" u="1"/>
        <n v="-2469.0472774023801" u="1"/>
        <n v="-795.80417747514184" u="1"/>
        <n v="-12836.271453104731" u="1"/>
        <n v="1956.6011455961179" u="1"/>
        <n v="-11554.795101068819" u="1"/>
        <n v="-102.24938918321641" u="1"/>
        <n v="-5028.5282726831392" u="1"/>
        <n v="-4522.5948504528096" u="1"/>
        <n v="2585.2034064128475" u="1"/>
        <n v="73.631605739529732" u="1"/>
        <n v="-52.389783785090231" u="1"/>
        <n v="-6283.8677704409747" u="1"/>
        <n v="-2720.2235302990666" u="1"/>
        <n v="590.30225355755374" u="1"/>
        <n v="-2374.9231486366825" u="1"/>
        <n v="-9328.5388265477195" u="1"/>
        <n v="-5249.2594402737705" u="1"/>
        <n v="-2667.5888981975986" u="1"/>
        <n v="-1145.5072682889513" u="1"/>
        <n v="-5402.2411711450659" u="1"/>
        <n v="-3029.7330667741771" u="1"/>
        <n v="4828.2124313985551" u="1"/>
        <n v="-6170.5032127788872" u="1"/>
        <n v="2320.7031873294964" u="1"/>
        <n v="-2819.9163409075991" u="1"/>
        <n v="-1406.0045917860243" u="1"/>
        <n v="-1794.8395471228068" u="1"/>
        <n v="-5521.1566184409967" u="1"/>
        <n v="-4567.9775532569001" u="1"/>
        <n v="-8467.9428261336179" u="1"/>
        <n v="-1827.491683420827" u="1"/>
        <n v="-7162.0384915097766" u="1"/>
        <n v="-539.44308108339919" u="1"/>
        <n v="-832.8347622754809" u="1"/>
        <n v="-9753.1989897475978" u="1"/>
        <n v="-3031.4786497809091" u="1"/>
        <n v="9263.0405011135717" u="1"/>
        <n v="-589.99130563678045" u="1"/>
        <n v="-5175.7172020249673" u="1"/>
        <n v="1162.2051618489963" u="1"/>
        <n v="-215.46713543970191" u="1"/>
        <n v="-2762.4743788846463" u="1"/>
        <n v="-227.49259484947106" u="1"/>
        <n v="1033.4243022207565" u="1"/>
        <n v="-1232.4547436921075" u="1"/>
        <n v="-4066.2833123374367" u="1"/>
        <n v="-2759.8746489054993" u="1"/>
        <n v="-1462.7084542141474" u="1"/>
        <n v="-2653.9105083855575" u="1"/>
        <n v="1106.3724503488302" u="1"/>
        <n v="-2252.6098240646807" u="1"/>
        <n v="42.30244073002541" u="1"/>
        <n v="-1199.6185365457222" u="1"/>
        <n v="-5266.423790155015" u="1"/>
        <n v="1354.0549155149502" u="1"/>
        <n v="2393.6472085502483" u="1"/>
        <n v="-5457.028930645356" u="1"/>
        <n v="-3652.3270631955565" u="1"/>
        <n v="-7030.5178145237951" u="1"/>
        <n v="2104.911922780695" u="1"/>
        <n v="-1043.7374691359728" u="1"/>
        <n v="-3846.386861151761" u="1"/>
        <n v="-44.298200931612882" u="1"/>
        <n v="-1410.9488119783709" u="1"/>
        <n v="-1744.4064469033283" u="1"/>
        <n v="-5394.1747076330485" u="1"/>
        <n v="-985.32458159229463" u="1"/>
        <n v="-1592.7755402336952" u="1"/>
        <n v="1430.8784127329363" u="1"/>
        <n v="-117.85560131140119" u="1"/>
        <n v="2240.3399355462584" u="1"/>
        <n v="-2696.0689864246615" u="1"/>
        <n v="-11859.830385883761" u="1"/>
        <n v="2021.0596261154114" u="1"/>
        <n v="-6453.8882793075536" u="1"/>
        <n v="-1550.9072973799011" u="1"/>
        <n v="-4041.0371732458625" u="1"/>
        <n v="-5547.5774894271126" u="1"/>
        <n v="1002.0439177650424" u="1"/>
        <n v="-3646.7950969568137" u="1"/>
        <n v="-4945.9865309913803" u="1"/>
        <n v="-9361.023673317919" u="1"/>
        <n v="-4298.1937153585241" u="1"/>
        <n v="-8303.687611831574" u="1"/>
        <n v="-6249.5775116596778" u="1"/>
        <n v="-5288.4491896517175" u="1"/>
        <n v="-2806.6093011881003" u="1"/>
        <n v="-2519.0937550920899" u="1"/>
        <n v="-3991.8898929569186" u="1"/>
        <n v="777.54734753358116" u="1"/>
        <n v="13695.433190303795" u="1"/>
        <n v="-6942.7145646126592" u="1"/>
        <n v="-1457.6850889924317" u="1"/>
        <n v="3668.5804291321092" u="1"/>
        <n v="-2681.8124616716123" u="1"/>
        <n v="1715.4490555192192" u="1"/>
        <n v="-9006.0525067918279" u="1"/>
        <n v="-1429.5642160676707" u="1"/>
        <n v="-173.58515544886723" u="1"/>
        <n v="-2186.5656154477492" u="1"/>
        <n v="-112340.03681195297" u="1"/>
        <n v="-3727.34153089551" u="1"/>
        <n v="-1025.9503710044355" u="1"/>
        <n v="3463.4882725618063" u="1"/>
        <n v="-1407.6403352739981" u="1"/>
        <n v="-1659.9152102333164" u="1"/>
        <n v="-61.009460034826589" u="1"/>
        <n v="-2988.8211484076382" u="1"/>
        <n v="-1972.8042134730795" u="1"/>
        <n v="-383.38283940385554" u="1"/>
        <n v="654.7022033290682" u="1"/>
        <n v="2734.5667783132067" u="1"/>
        <n v="-6362.5929987419258" u="1"/>
        <n v="-2026.1657131039519" u="1"/>
        <n v="766.45094708906981" u="1"/>
        <n v="-5342.4418229615731" u="1"/>
        <n v="-617.11789502250031" u="1"/>
        <n v="-2069.9624796762691" u="1"/>
        <n v="-5520.2286385506522" u="1"/>
        <n v="-5279.3195403863647" u="1"/>
        <n v="-1211.0149449687469" u="1"/>
        <n v="-942.69542597917462" u="1"/>
        <n v="-1799.5006042148852" u="1"/>
        <n v="-889.06822035793266" u="1"/>
        <n v="-2100.7789343826989" u="1"/>
        <n v="-792.06528820671883" u="1"/>
        <n v="1173.8655295147419" u="1"/>
        <n v="1041.8862561786918" u="1"/>
        <n v="1339.3740740646817" u="1"/>
        <n v="392.86620020296323" u="1"/>
        <n v="-906.05767542945796" u="1"/>
        <n v="-195.40637810049884" u="1"/>
        <n v="-2948.472082292501" u="1"/>
        <n v="400.16991713428979" u="1"/>
        <n v="-1406.1647737600579" u="1"/>
        <n v="-1455.9047563909826" u="1"/>
        <n v="53.207538870708959" u="1"/>
        <n v="-397.74443427113874" u="1"/>
        <n v="471.67208893158568" u="1"/>
        <n v="1984.5649886119591" u="1"/>
        <n v="-2605.9401052038556" u="1"/>
        <n v="-1230.3010469945166" u="1"/>
        <n v="-1975.6227727803889" u="1"/>
        <n v="-9571.1011231562807" u="1"/>
        <n v="226.19044006326465" u="1"/>
        <n v="15.815771532260555" u="1"/>
        <n v="663.71780832561819" u="1"/>
        <n v="-337.0411696943379" u="1"/>
        <n v="-267.55535450379489" u="1"/>
        <n v="-263.91154049374745" u="1"/>
        <n v="-270.6827798742429" u="1"/>
        <n v="429.99093194846091" u="1"/>
        <n v="-1351.7490105680899" u="1"/>
        <n v="1417.2299920915575" u="1"/>
        <n v="-10256.919163629904" u="1"/>
        <n v="-8052.056440338496" u="1"/>
        <n v="-319.39816080585206" u="1"/>
        <n v="-5013.7403991662122" u="1"/>
        <n v="231.2448419305174" u="1"/>
        <n v="-10286.017580014355" u="1"/>
        <n v="-91.117048924857613" u="1"/>
        <n v="107.09191634626563" u="1"/>
        <n v="-502.58058639362457" u="1"/>
        <n v="109.82133676977423" u="1"/>
        <n v="-871.01362111766912" u="1"/>
        <n v="86.764497944718642" u="1"/>
        <n v="216.82338167967103" u="1"/>
        <n v="34.157145084169315" u="1"/>
        <n v="401.91465755666047" u="1"/>
        <n v="-124.1975375437072" u="1"/>
        <n v="-2383.1774912448163" u="1"/>
        <n v="-2369.6268338411301" u="1"/>
        <n v="-2043.1796726708744" u="1"/>
        <n v="-3300.8350463091501" u="1"/>
        <n v="2573.8274291271937" u="1"/>
        <n v="-4036.8729855253368" u="1"/>
        <n v="-6056.9647966892117" u="1"/>
        <n v="-5606.2525029910976" u="1"/>
        <n v="-5226.192298240012" u="1"/>
        <n v="-7754.6023952458381" u="1"/>
        <n v="-3083.3657519548688" u="1"/>
        <n v="-1828.090174856512" u="1"/>
        <n v="-2663.7703503484772" u="1"/>
        <n v="1619.5163683014516" u="1"/>
        <n v="-7391.3064181562331" u="1"/>
        <n v="-9911.1378062504737" u="1"/>
        <n v="70.253202393880201" u="1"/>
        <n v="-6554.2431460782682" u="1"/>
        <n v="2102.9427159591269" u="1"/>
        <n v="-3356.5098684191362" u="1"/>
        <n v="1115.2448003951176" u="1"/>
        <n v="1016.5378084264448" u="1"/>
        <n v="984.82158340333126" u="1"/>
        <n v="-5281.9662051711275" u="1"/>
        <n v="-3041.5785861268905" u="1"/>
        <n v="-2610.1438605459434" u="1"/>
        <n v="2806.2355713322204" u="1"/>
        <n v="-6654.0798288730912" u="1"/>
        <n v="-2807.861379777707" u="1"/>
        <n v="22.750036866893424" u="1"/>
        <n v="-8214.4982644866723" u="1"/>
        <n v="1610.4728028403952" u="1"/>
        <n v="3477.854633253407" u="1"/>
        <n v="-390.98496585079192" u="1"/>
        <n v="-2870.2960687163013" u="1"/>
        <n v="-2857.8955542754175" u="1"/>
        <n v="-2327.002642098907" u="1"/>
        <n v="-686.18959678512692" u="1"/>
        <n v="-10909.663640867304" u="1"/>
        <n v="-6625.4726948496173" u="1"/>
        <n v="573.49834745099179" u="1"/>
        <n v="-2513.93782653368" u="1"/>
        <n v="-835.66297799045151" u="1"/>
        <n v="-13004.787426548712" u="1"/>
        <n v="1875.8772916988655" u="1"/>
        <n v="-11769.963249005828" u="1"/>
        <n v="-207.58305569982258" u="1"/>
        <n v="-5130.1096943288321" u="1"/>
        <n v="-4632.0719790070216" u="1"/>
        <n v="2557.8970373038082" u="1"/>
        <n v="31.749797399558702" u="1"/>
        <n v="-61.93846618960788" u="1"/>
        <n v="-6397.4802115797538" u="1"/>
        <n v="-2782.7044159931083" u="1"/>
        <n v="551.20863004594958" u="1"/>
        <n v="-2435.7756713682684" u="1"/>
        <n v="-9461.7894445631209" u="1"/>
        <n v="-5359.2141382494738" u="1"/>
        <n v="-2753.4756285258118" u="1"/>
        <n v="-1193.5144461559066" u="1"/>
        <n v="-5488.8431941767376" u="1"/>
        <n v="-3091.2562901567489" u="1"/>
        <n v="4771.4121334686479" u="1"/>
        <n v="-6346.3696515240445" u="1"/>
        <n v="2271.370055768446" u="1"/>
        <n v="-2910.2519788175996" u="1"/>
        <n v="-1475.7166256988839" u="1"/>
        <n v="-1853.2625230799531" u="1"/>
        <n v="-5630.9587080595957" u="1"/>
        <n v="-4665.0948450565702" u="1"/>
        <n v="-8592.4121880644343" u="1"/>
        <n v="-243.47210948960515" u="1"/>
        <n v="-2522.3957438151519" u="1"/>
        <n v="-8946.4039989670491" u="1"/>
        <n v="-3069.692448338958" u="1"/>
        <n v="8310.5340513901137" u="1"/>
        <n v="-1312.9472816879802" u="1"/>
        <n v="-6355.4234046192814" u="1"/>
        <n v="1105.8351493317114" u="1"/>
        <n v="26.224111614397316" u="1"/>
        <n v="-3604.7607850359404" u="1"/>
        <n v="-27.150246105003362" u="1"/>
        <n v="-688.88335142472056" u="1"/>
        <n v="-1309.8944967030895" u="1"/>
        <n v="-1685.2575150765474" u="1"/>
        <n v="-3901.548367897833" u="1"/>
        <n v="-2069.7632675863483" u="1"/>
        <n v="-5109.9680833875773" u="1"/>
        <n v="2006.0007777564251" u="1"/>
        <n v="-3742.6097054895135" u="1"/>
        <n v="1838.5730286612884" u="1"/>
        <n v="-2627.9807344927922" u="1"/>
        <n v="-4616.2281504002212" u="1"/>
        <n v="1350.5743998257942" u="1"/>
        <n v="-165.85476444072469" u="1"/>
        <n v="-4720.6605090852081" u="1"/>
        <n v="-3273.100076764621" u="1"/>
        <n v="-7055.368021970944" u="1"/>
        <n v="1370.9175585683593" u="1"/>
        <n v="-1348.3533224399375" u="1"/>
        <n v="-5436.1323437571364" u="1"/>
        <n v="-1067.1827656865837" u="1"/>
        <n v="-1105.220306151039" u="1"/>
        <n v="-883.4704297515193" u="1"/>
        <n v="-5154.6432165252036" u="1"/>
        <n v="-1591.2826070700212" u="1"/>
        <n v="-459.90332869524855" u="1"/>
        <n v="-679.00367487228732" u="1"/>
        <n v="-712.64989358379216" u="1"/>
        <n v="1866.3073795137657" u="1"/>
        <n v="-2929.3486384961416" u="1"/>
        <n v="-8419.9096787605777" u="1"/>
        <n v="-828.89606032600523" u="1"/>
        <n v="-6030.3473329767003" u="1"/>
        <n v="-766.47533762313697" u="1"/>
        <n v="-3007.9496922718381" u="1"/>
        <n v="-5208.8863031414458" u="1"/>
        <n v="148.5614512109164" u="1"/>
        <n v="-2723.1777170665682" u="1"/>
        <n v="-6351.5698494865155" u="1"/>
        <n v="-8932.4722375028177" u="1"/>
        <n v="-5840.0060487310348" u="1"/>
        <n v="-4892.5490189390275" u="1"/>
        <n v="-5439.8890052596489" u="1"/>
        <n v="-5757.1917681781879" u="1"/>
        <n v="-1726.4942751814258" u="1"/>
        <n v="-1930.4882555713136" u="1"/>
        <n v="-2587.4889926608421" u="1"/>
        <n v="690.67073668073147" u="1"/>
        <n v="-2813.4232263308495" u="1"/>
        <n v="-5398.1019462680224" u="1"/>
        <n v="182.52201793293216" u="1"/>
        <n v="3230.0951765771506" u="1"/>
        <n v="-8796.3434678036956" u="1"/>
        <n v="479.90841154157295" u="1"/>
        <n v="-5922.2740831326873" u="1"/>
        <n v="-235.90555773686356" u="1"/>
        <n v="-535.1893687792458" u="1"/>
        <n v="-2591.0292063501556" u="1"/>
        <n v="-45919.970220928371" u="1"/>
        <n v="-1985.9331348640035" u="1"/>
        <n v="-678.04724768321444" u="1"/>
        <n v="2311.7143797983554" u="1"/>
        <n v="-2376.9498268494308" u="1"/>
        <n v="-2464.1810369315417" u="1"/>
        <n v="-21.027946560938119" u="1"/>
        <n v="-2696.5042770132895" u="1"/>
        <n v="-2508.0534742859509" u="1"/>
        <n v="-1404.5286280020418" u="1"/>
        <n v="377.91377575916812" u="1"/>
        <n v="-1643.2201093950466" u="1"/>
        <n v="91.879300000000001" u="1"/>
        <n v="-6718.2450355825104" u="1"/>
        <n v="-2857.5758060853796" u="1"/>
        <n v="-701.74724307415977" u="1"/>
        <n v="-6095.9714341435292" u="1"/>
        <n v="-975.43576661016937" u="1"/>
        <n v="-4190.191704527022" u="1"/>
        <n v="-5325.1925918674533" u="1"/>
        <n v="-7288.6595295914813" u="1"/>
        <n v="-464.47142457436576" u="1"/>
        <n v="-2854.9952496022233" u="1"/>
        <n v="-2081.6117153594446" u="1"/>
        <n v="-1153.266102108267" u="1"/>
        <n v="-4203.5251634162087" u="1"/>
        <n v="-2194.7029853504218" u="1"/>
        <n v="662.73684916052116" u="1"/>
        <n v="-1029.7086642466747" u="1"/>
        <n v="861.43013461636747" u="1"/>
        <n v="2706.6811704932848" u="1"/>
        <n v="-954.18986936050874" u="1"/>
        <n v="241.06267431097046" u="1"/>
        <n v="-1861.7064667349823" u="1"/>
        <n v="-374.58349677424599" u="1"/>
        <n v="-2408.0675858306477" u="1"/>
        <n v="-2248.6521487823525" u="1"/>
        <n v="-4830.013840288856" u="1"/>
        <n v="-673.31139505947499" u="1"/>
        <n v="526.23779450951588" u="1"/>
        <n v="4688.3226539528132" u="1"/>
        <n v="-3759.4679621453647" u="1"/>
        <n v="-1934.5188997651726" u="1"/>
        <n v="-737.29495813908898" u="1"/>
        <n v="-9354.9354697582312" u="1"/>
        <n v="-24.802700709824535" u="1"/>
        <n v="-48.476922818305638" u="1"/>
        <n v="222.58346829765941" u="1"/>
        <n v="-318.0359616347032" u="1"/>
        <n v="-488.02072530340126" u="1"/>
        <n v="-751.96963701145171" u="1"/>
        <n v="-326.41008716400637" u="1"/>
        <n v="332.35748955293849" u="1"/>
        <n v="-1424.5314807838752" u="1"/>
        <n v="25.395422222426305" u="1"/>
        <n v="-6915.594597586527" u="1"/>
        <n v="-8456.274279715959" u="1"/>
        <n v="-1582.4696319614252" u="1"/>
        <n v="-4783.1713580752948" u="1"/>
        <n v="-1162.4757917894181" u="1"/>
        <n v="-7863.9724964401976" u="1"/>
        <n v="-149.47201606387472" u="1"/>
        <n v="-43.978944514067109" u="1"/>
        <n v="23.676337488660153" u="1"/>
        <n v="-33.829193308520502" u="1"/>
        <n v="-575.187141730701" u="1"/>
        <n v="-22.25021498107985" u="1"/>
        <n v="44.449317882723726" u="1"/>
        <n v="-102.39887132622448" u="1"/>
        <n v="194.36471073190324" u="1"/>
        <n v="15.974714429792442" u="1"/>
        <n v="-2132.6226595382223" u="1"/>
        <n v="-2364.553951345285" u="1"/>
        <n v="-3228.6680012438137" u="1"/>
        <n v="-3771.2587866688696" u="1"/>
        <n v="1188.128725769714" u="1"/>
        <n v="-4755.6127847654298" u="1"/>
        <n v="-4854.1003268253953" u="1"/>
        <n v="-7347.8607908974564" u="1"/>
        <n v="-3997.3441879509146" u="1"/>
        <n v="-6626.7885895928075" u="1"/>
        <n v="-4705.6595867748592" u="1"/>
        <n v="-1313.8028221596119" u="1"/>
        <n v="-3329.0891061353932" u="1"/>
        <n v="898.11830843728433" u="1"/>
        <n v="-4823.1339091700765" u="1"/>
        <n v="-9879.836260494365" u="1"/>
        <n v="-55.360128333226385" u="1"/>
        <n v="-5646.3690955743823" u="1"/>
        <n v="2413.2114581741794" u="1"/>
        <n v="-6324.4102033912113" u="1"/>
        <n v="1189.6169259780393" u="1"/>
        <n v="749.87803096461312" u="1"/>
        <n v="533.10268235165267" u="1"/>
        <n v="-7571.0962056763328" u="1"/>
        <n v="-4246.6361467295283" u="1"/>
        <n v="-2719.0081525358573" u="1"/>
        <n v="2244.8045999783799" u="1"/>
        <n v="-6478.0633279732774" u="1"/>
        <n v="-3646.431745049319" u="1"/>
        <n v="384.40926775762591" u="1"/>
        <n v="-9023.3604592131342" u="1"/>
        <n v="708.8280486188637" u="1"/>
        <n v="-177.40007151235" u="1"/>
        <n v="-1471.4266129327766" u="1"/>
        <n v="-2817.4478966506435" u="1"/>
        <n v="-2514.8017611090627" u="1"/>
        <n v="-2165.004702312996" u="1"/>
        <n v="-1772.5973843049051" u="1"/>
        <n v="-10364.961141289525" u="1"/>
        <n v="-5732.9787960377544" u="1"/>
        <n v="-238.54392989301186" u="1"/>
        <n v="-2470.5449699767328" u="1"/>
        <n v="-1739.6963452982161" u="1"/>
        <n v="-11718.430858555614" u="1"/>
        <n v="3232.8413833959289" u="1"/>
        <n v="-10960.536868177558" u="1"/>
        <n v="-2778.9362100968647" u="1"/>
        <n v="-5294.163425085133" u="1"/>
        <n v="-3092.8209303299891" u="1"/>
        <n v="1140.7329222162307" u="1"/>
        <n v="-1665.6151061077796" u="1"/>
        <n v="-18.821626480930604" u="1"/>
        <n v="-5862.3775952905935" u="1"/>
        <n v="-3025.1100545400641" u="1"/>
        <n v="-1972.6187108041213" u="1"/>
        <n v="-2424.2456217412328" u="1"/>
        <n v="-7561.8007879503148" u="1"/>
        <n v="-6771.5513787031523" u="1"/>
        <n v="-4160.6373600887628" u="1"/>
        <n v="-1519.7923838443069" u="1"/>
        <n v="-5352.7316898233294" u="1"/>
        <n v="-3301.2636774429288" u="1"/>
        <n v="2294.8557569585187" u="1"/>
        <n v="-6437.1198860701243" u="1"/>
        <n v="-393.50841894243376" u="1"/>
        <n v="-1716.951649603177" u="1"/>
        <n v="-2585.4384442217033" u="1"/>
        <n v="-1747.8478470755788" u="1"/>
        <n v="-5368.882962385871" u="1"/>
        <n v="-4168.1614246527633" u="1"/>
        <n v="-7195.9030785453506" u="1"/>
        <n v="-3365.3420785202261" u="1"/>
        <n v="-7128.5486558832617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lle Valentina" refreshedDate="46244.480026620367" createdVersion="8" refreshedVersion="8" minRefreshableVersion="3" recordCount="223" xr:uid="{50B3FE1C-DAB5-487A-BA64-D41A3E922EFC}">
  <cacheSource type="worksheet">
    <worksheetSource ref="A1:AR224" sheet="RSM JULIO"/>
  </cacheSource>
  <cacheFields count="44">
    <cacheField name="Centro de Costo" numFmtId="0">
      <sharedItems count="224">
        <s v="[ ABM ] - AV BOLIVAR DE MATURIN"/>
        <s v="[ ACB ] - AV LIBERTADOR CIUDAD BOLIVAR"/>
        <s v="[ ACG ] - ACHAGUAS"/>
        <s v="[ ACO ] - ANACO"/>
        <s v="[ ADO ] - ALTAGRACIA DEL ORITUCO"/>
        <s v="[ ADS - BQT ] - AEDOS BARQUISIMETO"/>
        <s v="[ ADS - TCY ] - AEDOS TOCUYITO"/>
        <s v="[ ANT ] - ANTIMANO"/>
        <s v="[ APU ] - APURE"/>
        <s v="[ ARO - INT ] - AEROPUERTO INTERNACIONAL"/>
        <s v="[ ARO - NAC ] - AEROPUERTO NACIONAL"/>
        <s v="[ ARY ] - AROA YARACUY"/>
        <s v="[ ATV ] - ALTA VISTA"/>
        <s v="[ AVM ] - AVENIDA MARIÑO"/>
        <s v="[ BAC ] - BUENOS AIRES CANGURO"/>
        <s v="[ BCC ] - BISCUCUY"/>
        <s v="[ BCD ] - BARINAS CC DORADO"/>
        <s v="[ BCN ] - BARCELONA"/>
        <s v="[ BCO ] - BOCONO"/>
        <s v="[ BJM ] - BEJUMA"/>
        <s v="[ BLS ] - BAILADORES"/>
        <s v="[ BNS ] - BARINAS SHOP"/>
        <s v="[ BRC ] - BARRANCAS"/>
        <s v="[ BTA ] - BARUTA"/>
        <s v="[ BVC ] - BAZAR VALENCIA CANGURO"/>
        <s v="[ BZC ] - BAZAR 4"/>
        <s v="[ BZD ] - BAZAR 2"/>
        <s v="[ BZT ] - BAZAR 3"/>
        <s v="[ BZU ] - BAZAR 1"/>
        <s v="[ CAG ] - CAGUA"/>
        <s v="[ CAT ] - CATIA"/>
        <s v="[ CBM ] - CABIMAS"/>
        <s v="[ CBQ ] - CHABASQUEN"/>
        <s v="[ CBR ] - CABUDARE"/>
        <s v="[ CBV ] - CIUDAD BOLIVAR"/>
        <s v="[ CCA ] - CENTRO COMERCIAL AVIADORES"/>
        <s v="[ CCB ] - CALLE CAMEJO BARINAS"/>
        <s v="[ CCM ] - CENTRO COMERCIAL METROCENTER"/>
        <s v="[ CCO ] - CAICARA DEL ORINOCO"/>
        <s v="[ CCT ] - CC CIUDAD TAMANACO"/>
        <s v="[ CDL ] - LA CANDELARIA"/>
        <s v="[ CDO ] - CEDENO"/>
        <s v="[ CEN - MYR ] - CENDIS MAYOR"/>
        <s v="[ CEN - SWM ] - CENDIS SHOWROOM"/>
        <s v="[ CHA ] - CHACAO"/>
        <s v="[ CHC ] - CHICHIRIVICHE"/>
        <s v="[ CHI ] - CHIVACOA"/>
        <s v="[ CHV ] - CHARALLAVE"/>
        <s v="[ CJP ] - CINCO DE JULIO"/>
        <s v="[ CLB ] - CALABOZO"/>
        <s v="[ CLL ] - CALLAO"/>
        <s v="[ CLP ] - CATIA LIFE PHONE"/>
        <s v="[ CLT ] - COLONIA TOVAR"/>
        <s v="[ CMC ] - CUA"/>
        <s v="[ CMO ] - COMERCIO"/>
        <s v="[ CNA ] - CUMANACOA"/>
        <s v="[ COD ] - COSMOS SHOP"/>
        <s v="[ COE ] - SAN CARLOS"/>
        <s v="[ COR ] - CORO"/>
        <s v="[ CPN ] - CARUPANO"/>
        <s v="[ CRN ] - CLARINES"/>
        <s v="[ CRP ] - CARIPE"/>
        <s v="[ CRR ] - CARORA"/>
        <s v="[ CRT ] - CARIPITO"/>
        <s v="[ CSZ ] - CAJA SECA ZULIA"/>
        <s v="[ CTA ] - CANTAURA"/>
        <s v="[ CTD ] - CITY 2"/>
        <s v="[ CTL ] - CARTANAL"/>
        <s v="[ CTM ] - CATIA LA MAR"/>
        <s v="[ CTO ] - CEMENTERIO"/>
        <s v="[ CTS ] - CIUDAD TAMANACO SEGUNDO"/>
        <s v="[ CTT ] - CITY 3"/>
        <s v="[ CTU ] - CITY 1"/>
        <s v="[ CUA ] - CUMANA SHOP"/>
        <s v="[ CUG ] - CAUCAGUA"/>
        <s v="[ DCA ] - DUACA"/>
        <s v="[ ECJ ] - EL CUJI"/>
        <s v="[ ECM ] ECOMMERCE"/>
        <s v="[ EJD ] - EJIDO"/>
        <s v="[ ELZ ] - ELORZA"/>
        <s v="[ EMT ] - EL MANTECO"/>
        <s v="[ FAM ] - FLOR AMARILLO"/>
        <s v="[ FMD ] - FREEMARKET 2"/>
        <s v="[ FOR - CHV ] - FORUM CHARALLAVE"/>
        <s v="[ FOR - GTE ] - FORUM GUATIRE"/>
        <s v="[ FOR - ISF ] - FORUM IPSFA"/>
        <s v="[ FOR - PRS ] - FORUM PARAISO"/>
        <s v="[ FOR - PZV ] - FORUM PLAZA VENEZUELA"/>
        <s v="[ FRM ] - FREEMARKET"/>
        <s v="[ GCA ] - GUACARA"/>
        <s v="[ GIA ] - GUIRIA"/>
        <s v="[ GNO ] - GUANARITO"/>
        <s v="[ GNR ] - GUANARE"/>
        <s v="[ GNT ] - GUANTA"/>
        <s v="[ GPT ] - GUASIPATI"/>
        <s v="[ GRA ] - GUARENAS"/>
        <s v="[ GTE ] - GUATIRE"/>
        <s v="[ GTN ] - GATO NEGRO"/>
        <s v="[ HGT ] - HIGUEROTE"/>
        <s v="[ IGD ] - CALLE IGUALDAD"/>
        <s v="[ LBD ] - LA BANDERA"/>
        <s v="[ LCH ] - LECHERIA"/>
        <s v="[ LLN ] - LLANERO"/>
        <s v="[ LMU ] - LA MARRON 1"/>
        <s v="[ LPG ] - LA PARAGUA"/>
        <s v="[ MCQ ] - MACHIQUES"/>
        <s v="[ MCY ] - MARACAY"/>
        <s v="[ MDB ] - MINAS DE BARUTA"/>
        <s v="[ MEC ] - MARACAY ESTACION CENTRAL"/>
        <s v="[ MGT ] - MARGARITA SHOP"/>
        <s v="[ MGZ ] - MENE GRANDE ZULIA"/>
        <s v="[ MID ] - MERIDA SHOP"/>
        <s v="[ MJN ] - MOJAN"/>
        <s v="[ MKD ] - MACROCENTRO 2 SHOP"/>
        <s v="[ MKU ] - MACROCENTRO 1"/>
        <s v="[ MNT ] - MONAY TRUJILLO"/>
        <s v="[ MOC ] - CANGURO MOVIL"/>
        <s v="[ MPC ] - MARKET PLACE CANGURO"/>
        <s v="[ MRN ] - MORON"/>
        <s v="[ MTC ] - MANTECAL"/>
        <s v="[ MTP ] - METROPOLIS"/>
        <s v="[ MUN ] - MATURIN SHOP"/>
        <s v="[ MVT - BVT ] MOVISTAR BELLA VISTA "/>
        <s v="[ MVT - CCT ] - MOVISTAR CIUDAD TAMANACO"/>
        <s v="[ MVT - GRZ ] - MOVISTAR LAS GARZAS"/>
        <s v="[ MVT - LNS ] MOVISTAR LOS LEONES"/>
        <s v="[ MVT - LVÑ ] MOVISTAR LA VIÑA"/>
        <s v="[ MVT - PCC ] - MOVISTAR PARQUE CENTRAL CANAIMA"/>
        <s v="[ MVT - SCB ] MOVISTAR SAN CRISTÓBAL"/>
        <s v="[ MVT- LDC ] MOVISTAR LAS DELICIAS "/>
        <s v="[ NGA ] - NIRGUA"/>
        <s v="[ NGT ] - NAIGUATA"/>
        <s v="[ OCT ] - OCUMARE DEL TUY"/>
        <s v="[ ODA ] - CIUDAD OJEDA"/>
        <s v="[ OPO ] - OSPINO"/>
        <s v="[ ORK ] - ORINOKIA"/>
        <s v="[ PDB ] - PEDRAZA"/>
        <s v="[ PDM ] - PUNTA DE MATA"/>
        <s v="[ PDV - GCA ] - PDVSA GUACARA"/>
        <s v="[ PDV - GUO ] - PDVSA GUARAGUO"/>
        <s v="[ PDV - LCP ] - PDVSA LA CAMPIÑA"/>
        <s v="[ PDV - LGN ] - PDVSA LAGUNA"/>
        <s v="[ PDV - MUN ] - PDVSA MATURIN"/>
        <s v="[ PDV - PCD ] - PDVSA PETROCEDEÑO"/>
        <s v="[ PDV - PT ] - PDVSA PETROPIAR"/>
        <s v="[ PDV - STM ] - PDVSA SANTOME"/>
        <s v="[ PFO ] - PUNTO FIJO"/>
        <s v="[ PLN ] - PALO NEGRO"/>
        <s v="[ PLS ] - PUERTO LA CRUZ SHOP"/>
        <s v="[ PML ] - PLAZA MAYOR LECHERIA"/>
        <s v="[ PPT ] - PROPATRIA"/>
        <s v="[ PRG ] - PARIAGUAN"/>
        <s v="[ PRT ] - PUERTO PIRITU"/>
        <s v="[ PSA ] - ACARIGUA"/>
        <s v="[ PTA ] - PUERTO AYACUCHO"/>
        <s v="[ PTC ] - PUERTO CABELLO"/>
        <s v="[ PTT ] - PETARE 3"/>
        <s v="[ PTU ] - PETARE 1"/>
        <s v="[ QBR ] - QUIBOR"/>
        <s v="[ QTC ] - QUINTA CRESPO"/>
        <s v="[ RCO ] - RIO CHICO"/>
        <s v="[ SAM - CDL ] - SAMBIL CANDELARIA"/>
        <s v="[ SAM - CHA ] - SAMBIL CHACAO"/>
        <s v="[ SAM - LAR ] - SAMBIL LARA"/>
        <s v="[ SAM - MGT ] - SAMBIL MARGARITA"/>
        <s v="[ SAM - PFO ] - SAMBIL PUNTO FIJO"/>
        <s v="[ SAM - VLC ] - SAMBIL VALENCIA"/>
        <s v="[ SAM - ZUL ] - SAMBIL ZULIA"/>
        <s v="[ SBB ] - SANTA BARBARA"/>
        <s v="[ SBC ] - SABANA CITY"/>
        <s v="[ SBO ] - EL SOMBRERO"/>
        <s v="[ SBZ ] - SANTA BARBARA DE ZULIA"/>
        <s v="[ SCM ] - SAN CASIMIRO"/>
        <s v="[ SCP ] - SOCOPO"/>
        <s v="[ SEU ] - SANTA ELENA DE UAIREN"/>
        <s v="[ SFX ] - SAN FELIX"/>
        <s v="[ SGO ] - SABANA GRANDE OUTLET"/>
        <s v="[ SJM ] - SAN JUAN DE LOS MORROS"/>
        <s v="[ SMT ] - SABANA MENDOZA"/>
        <s v="[ SMZ ] - SIERRA MAESTRA"/>
        <s v="[ SNR ] - SANARE"/>
        <s v="[ SNT ] - SABANETA"/>
        <s v="[ SRO ] - SAN RAFAEL DE ONOTO"/>
        <s v="[ STL ] - SANTA LUCIA"/>
        <s v="[ STR ] - SANTA RITA ARAGUA"/>
        <s v="[ STT ] - SANTA TERESA DEL TUY"/>
        <s v="[ TBD ] - TEMBLADOR"/>
        <s v="[ TCC ] - TUCACAS"/>
        <s v="[ TCD ] - TUCUPIDO"/>
        <s v="[ TCO ] - TOCUYO"/>
        <s v="[ TCP ] - TUCUPITA"/>
        <s v="[ TCY ] - TOCUYITO"/>
        <s v="[ TED ] - LOS TEQUES DOS"/>
        <s v="[ TEQ ] - LOS TEQUES SHOP"/>
        <s v="[ TGO ] - EL TIGRITO"/>
        <s v="[ TGR ] - TIGRE SHOP"/>
        <s v="[ THA ] - TACHIRA"/>
        <s v="[ TJL ] - TRUJILLO"/>
        <s v="[ TLG ] - TERMINAL LA GUAIRA"/>
        <s v="[ TMO ] - TURMERO"/>
        <s v="[ TMR ] - TUMEREMO"/>
        <s v="[ TPV ] - TERMINAL PLAZA VENEZUELA"/>
        <s v="[ TQO ] - TINAQUILLO"/>
        <s v="[ TQT ] - LOS TEQUES TRES"/>
        <s v="[ TRN ] - TUREN"/>
        <s v="[ TRU ] - VALERA SHOP"/>
        <s v="[ TVR ] - TOVAR MERIDA"/>
        <s v="[ UNR ] - UNARE"/>
        <s v="[ UPT ] - UPATA"/>
        <s v="[ URD ] - URDANETA SHOP"/>
        <s v="[ URF ] - URDANETA FIX"/>
        <s v="[ VAR ] - LA GUAIRA"/>
        <s v="[ VDC ] - VILLA DE CURA"/>
        <s v="[ VDP ] - VALLE DE LA PASCUA"/>
        <s v="[ VGA ] - LA VEGA"/>
        <s v="[ VIG ] - VIGIA"/>
        <s v="[ VLL ] - EL VALLE"/>
        <s v="[ VMC ] - VENDING MACHINE CENDIS"/>
        <s v="[ VTA ] - LA VICTORIA"/>
        <s v="[ YAR ] - SAN FELIPE"/>
        <s v="[ YTG ] - YARITAGUA"/>
        <s v="[ ZAR ] - ZARAZA"/>
        <s v="TOTAL TIENDAS"/>
        <s v="[ SCC ] - CANGURO SELLCENTER" u="1"/>
      </sharedItems>
    </cacheField>
    <cacheField name="Amortizacion" numFmtId="164">
      <sharedItems containsSemiMixedTypes="0" containsString="0" containsNumber="1" minValue="-5925.7560000000003" maxValue="0"/>
    </cacheField>
    <cacheField name="%" numFmtId="10">
      <sharedItems containsSemiMixedTypes="0" containsString="0" containsNumber="1" minValue="-7.7263184476420568E-2" maxValue="0"/>
    </cacheField>
    <cacheField name="Arrendamiento" numFmtId="164">
      <sharedItems containsSemiMixedTypes="0" containsString="0" containsNumber="1" minValue="0" maxValue="240425.55000000002"/>
    </cacheField>
    <cacheField name="%2" numFmtId="10">
      <sharedItems containsSemiMixedTypes="0" containsString="0" containsNumber="1" minValue="0" maxValue="291.54518950437318"/>
    </cacheField>
    <cacheField name="Fletes y Transporte" numFmtId="164">
      <sharedItems containsSemiMixedTypes="0" containsString="0" containsNumber="1" minValue="0" maxValue="6107.72"/>
    </cacheField>
    <cacheField name="%3" numFmtId="10">
      <sharedItems containsSemiMixedTypes="0" containsString="0" containsNumber="1" minValue="0" maxValue="1.2115361593300962E-2"/>
    </cacheField>
    <cacheField name="Gastos IT" numFmtId="164">
      <sharedItems containsSemiMixedTypes="0" containsString="0" containsNumber="1" minValue="-1.724" maxValue="517.476"/>
    </cacheField>
    <cacheField name="%4" numFmtId="10">
      <sharedItems containsSemiMixedTypes="0" containsString="0" containsNumber="1" minValue="-2.8123181689081228E-5" maxValue="1.1615162117640922E-3"/>
    </cacheField>
    <cacheField name="Gastos de Personal" numFmtId="164">
      <sharedItems containsSemiMixedTypes="0" containsString="0" containsNumber="1" minValue="0" maxValue="803615.51799999946"/>
    </cacheField>
    <cacheField name="%5" numFmtId="10">
      <sharedItems containsSemiMixedTypes="0" containsString="0" containsNumber="1" minValue="0" maxValue="570.83061224489791"/>
    </cacheField>
    <cacheField name="Gastos Financieros" numFmtId="164">
      <sharedItems containsString="0" containsBlank="1" containsNumber="1" minValue="-180.34" maxValue="1006.1499999999999"/>
    </cacheField>
    <cacheField name="%6" numFmtId="10">
      <sharedItems containsSemiMixedTypes="0" containsString="0" containsNumber="1" minValue="0" maxValue="9.3786354045486534E-2"/>
    </cacheField>
    <cacheField name="Honorarios Profesionales" numFmtId="164">
      <sharedItems containsString="0" containsBlank="1" containsNumber="1" minValue="2.2799999999999998" maxValue="3181.18"/>
    </cacheField>
    <cacheField name="%7" numFmtId="10">
      <sharedItems containsSemiMixedTypes="0" containsString="0" containsNumber="1" minValue="0" maxValue="8.8623674337538053E-2"/>
    </cacheField>
    <cacheField name="Impuestos, Tasas y Contribuciones" numFmtId="164">
      <sharedItems containsString="0" containsBlank="1" containsNumber="1" minValue="10" maxValue="36344.327000000005"/>
    </cacheField>
    <cacheField name="%8" numFmtId="10">
      <sharedItems containsSemiMixedTypes="0" containsString="0" containsNumber="1" minValue="0" maxValue="25.450437317784257"/>
    </cacheField>
    <cacheField name="Materiales, Mantenimiento y Reparaciones" numFmtId="164">
      <sharedItems containsString="0" containsBlank="1" containsNumber="1" minValue="-1754.0980000000002" maxValue="228654.0290000001"/>
    </cacheField>
    <cacheField name="%9" numFmtId="10">
      <sharedItems containsSemiMixedTypes="0" containsString="0" containsNumber="1" minValue="-3.4588877564107327E-2" maxValue="67.759912536443153"/>
    </cacheField>
    <cacheField name="Marketing y Promocion" numFmtId="164">
      <sharedItems containsString="0" containsBlank="1" containsNumber="1" minValue="6.3E-2" maxValue="397.74299999999999"/>
    </cacheField>
    <cacheField name="%10" numFmtId="10">
      <sharedItems containsSemiMixedTypes="0" containsString="0" containsNumber="1" minValue="0" maxValue="4.6561941272872075E-3"/>
    </cacheField>
    <cacheField name="Seguros" numFmtId="164">
      <sharedItems containsString="0" containsBlank="1" containsNumber="1" containsInteger="1" minValue="425" maxValue="425"/>
    </cacheField>
    <cacheField name="%11" numFmtId="10">
      <sharedItems containsSemiMixedTypes="0" containsString="0" containsNumber="1" minValue="0" maxValue="6.1559503858209302E-3"/>
    </cacheField>
    <cacheField name="Servicios " numFmtId="164">
      <sharedItems containsString="0" containsBlank="1" containsNumber="1" minValue="28.24" maxValue="44333.628999999986"/>
    </cacheField>
    <cacheField name="%12" numFmtId="10">
      <sharedItems containsSemiMixedTypes="0" containsString="0" containsNumber="1" minValue="0" maxValue="12.081632653061224"/>
    </cacheField>
    <cacheField name="Varios" numFmtId="164">
      <sharedItems containsString="0" containsBlank="1" containsNumber="1" minValue="-154.51000000000002" maxValue="52779.892000000022"/>
    </cacheField>
    <cacheField name="%13" numFmtId="10">
      <sharedItems containsSemiMixedTypes="0" containsString="0" containsNumber="1" minValue="-6.1561263936299182E-3" maxValue="8.4240524781341097"/>
    </cacheField>
    <cacheField name="Total Gastos" numFmtId="164">
      <sharedItems containsSemiMixedTypes="0" containsString="0" containsNumber="1" minValue="-3565.24" maxValue="1424829.9969999993" count="447">
        <n v="391.17899999999997"/>
        <n v="9865.8790000000008"/>
        <n v="4713.6880000000001"/>
        <n v="7403.344000000001"/>
        <n v="5414.6519999999991"/>
        <n v="-11.032999999999999"/>
        <n v="25121.690999999999"/>
        <n v="6722.8540000000003"/>
        <n v="7256.2009999999991"/>
        <n v="1807.0839999999998"/>
        <n v="2174.2639999999997"/>
        <n v="16.62"/>
        <n v="310.18799999999999"/>
        <n v="4065.6880000000001"/>
        <n v="5359.375"/>
        <n v="8264.5929999999989"/>
        <n v="3561.3290000000002"/>
        <n v="7330.5019999999986"/>
        <n v="6102.9489999999996"/>
        <n v="6610.1810000000005"/>
        <n v="384.00599999999997"/>
        <n v="11196.559000000001"/>
        <n v="4028.579999999999"/>
        <n v="11531.063"/>
        <n v="11074.405000000001"/>
        <n v="4805.208999999998"/>
        <n v="5421.8010000000004"/>
        <n v="4141.9080000000004"/>
        <n v="4392.3190000000004"/>
        <n v="5875.3009999999995"/>
        <n v="15884.699000000004"/>
        <n v="7374.8129999999974"/>
        <n v="5204.9710000000005"/>
        <n v="5416.732"/>
        <n v="9732.2109999999993"/>
        <n v="7890.009"/>
        <n v="3676.2780000000002"/>
        <n v="5319.128999999999"/>
        <n v="5206.2880000000005"/>
        <n v="4625.3049999999994"/>
        <n v="9951.5659999999971"/>
        <n v="5266.0129999999999"/>
        <n v="808.31"/>
        <n v="0"/>
        <n v="5047.8580000000011"/>
        <n v="3995.6749999999997"/>
        <n v="4390.9989999999998"/>
        <n v="11267.248999999998"/>
        <n v="5043.9889999999996"/>
        <n v="7609.76"/>
        <n v="12015.377999999999"/>
        <n v="15583.996000000001"/>
        <n v="14727.687000000004"/>
        <n v="8269.6540000000023"/>
        <n v="12783.126000000002"/>
        <n v="5085.3019999999997"/>
        <n v="21234.737000000005"/>
        <n v="8744.7980000000007"/>
        <n v="6774.8540000000003"/>
        <n v="7884.3749999999991"/>
        <n v="4756.5690000000013"/>
        <n v="3972.61"/>
        <n v="6808.0289999999995"/>
        <n v="4245.857"/>
        <n v="6364.7"/>
        <n v="4406.1710000000012"/>
        <n v="3506.0630000000001"/>
        <n v="6071.3710000000001"/>
        <n v="6695.99"/>
        <n v="12371.272999999999"/>
        <n v="5232.2029999999995"/>
        <n v="12667.762999999999"/>
        <n v="4103.5909999999994"/>
        <n v="9890.2520000000004"/>
        <n v="19480.881999999998"/>
        <n v="4080.2929999999997"/>
        <n v="5310.2429999999995"/>
        <n v="3148.116"/>
        <n v="4017.0630000000006"/>
        <n v="4548.7029999999995"/>
        <n v="7739.2639999999992"/>
        <n v="5107.6680000000006"/>
        <n v="6268.2380000000003"/>
        <n v="1930.8910000000001"/>
        <n v="3115.5330000000004"/>
        <n v="3480.0660000000003"/>
        <n v="2037.0410000000002"/>
        <n v="2459.3080000000004"/>
        <n v="5349.195999999999"/>
        <n v="10092.692999999999"/>
        <n v="3015.6419999999994"/>
        <n v="4547.3390000000009"/>
        <n v="10226.648000000001"/>
        <n v="3117.6190000000001"/>
        <n v="5297.9610000000002"/>
        <n v="31234.589000000004"/>
        <n v="7221.8070000000007"/>
        <n v="7894.424"/>
        <n v="7243.8009999999995"/>
        <n v="6906.552999999999"/>
        <n v="4617.6709999999994"/>
        <n v="7795.6289999999999"/>
        <n v="5487.2550000000001"/>
        <n v="7347.764000000001"/>
        <n v="4146.6619999999994"/>
        <n v="6283.2460000000001"/>
        <n v="10516.311"/>
        <n v="6883.232"/>
        <n v="3113.4809999999998"/>
        <n v="9662.9889999999996"/>
        <n v="4111.7039999999997"/>
        <n v="9318.5720000000001"/>
        <n v="7453.6260000000002"/>
        <n v="12278.268000000002"/>
        <n v="3364.3010000000004"/>
        <n v="2818.4319999999998"/>
        <n v="73.849999999999994"/>
        <n v="14291.882000000003"/>
        <n v="4788.6959999999999"/>
        <n v="9717.43"/>
        <n v="5898.692"/>
        <n v="10327.111000000003"/>
        <n v="646.37400000000002"/>
        <n v="1089.902"/>
        <n v="601.95000000000005"/>
        <n v="467.57399999999996"/>
        <n v="771.75799999999992"/>
        <n v="872.45499999999993"/>
        <n v="874.74599999999998"/>
        <n v="336.59000000000003"/>
        <n v="2685.3939999999993"/>
        <n v="4863.2499999999991"/>
        <n v="17585.641999999996"/>
        <n v="7948.1029999999992"/>
        <n v="6348.2379999999985"/>
        <n v="6088.6459999999997"/>
        <n v="4762.469000000001"/>
        <n v="5872.6419999999998"/>
        <n v="117.86"/>
        <n v="1.367"/>
        <n v="8033.46"/>
        <n v="7653.4960000000001"/>
        <n v="11613.352000000001"/>
        <n v="3551.3829999999994"/>
        <n v="7815.8009999999995"/>
        <n v="5709.4800000000005"/>
        <n v="5439.0690000000004"/>
        <n v="16220.757"/>
        <n v="10647.372000000001"/>
        <n v="11155.528"/>
        <n v="14047.84"/>
        <n v="10405.618000000002"/>
        <n v="4299.9949999999999"/>
        <n v="4214.1330000000007"/>
        <n v="7897.0460000000003"/>
        <n v="8260.51"/>
        <n v="10072.91"/>
        <n v="8244.9510000000009"/>
        <n v="5275.4529999999995"/>
        <n v="4035.6390000000001"/>
        <n v="4939.1290000000008"/>
        <n v="5555.7709999999988"/>
        <n v="3190.9029999999998"/>
        <n v="13581.793"/>
        <n v="5370.9679999999989"/>
        <n v="315.95"/>
        <n v="5152.9820000000009"/>
        <n v="4271.6380000000008"/>
        <n v="4427.3240000000005"/>
        <n v="7764.4539999999997"/>
        <n v="8847.6959999999999"/>
        <n v="8392.358000000002"/>
        <n v="5010.7839999999987"/>
        <n v="4185.777"/>
        <n v="3993.56"/>
        <n v="4197.6630000000005"/>
        <n v="4828.1850000000004"/>
        <n v="4002.7149999999997"/>
        <n v="5636.2979999999989"/>
        <n v="8151.6309999999994"/>
        <n v="4356.9269999999988"/>
        <n v="5406.6040000000003"/>
        <n v="3469.4740000000006"/>
        <n v="3303.5080000000007"/>
        <n v="6157.9110000000001"/>
        <n v="17802.287"/>
        <n v="11795.869000000001"/>
        <n v="10887.706999999999"/>
        <n v="4602.47"/>
        <n v="11045.518999999998"/>
        <n v="8807.6220000000012"/>
        <n v="5059.4060000000009"/>
        <n v="866.73299999999995"/>
        <n v="8208.7149999999983"/>
        <n v="7659.6030000000001"/>
        <n v="4338.5410000000002"/>
        <n v="5153.6919999999991"/>
        <n v="9576.0819999999985"/>
        <n v="7578.9160000000011"/>
        <n v="7496.2069999999985"/>
        <n v="168.98"/>
        <n v="4040.7029999999991"/>
        <n v="5598.6689999999999"/>
        <n v="6700.5420000000022"/>
        <n v="13404.269999999997"/>
        <n v="12176.026999999998"/>
        <n v="4864.4279999999999"/>
        <n v="7232.5460000000012"/>
        <n v="7328.2819999999992"/>
        <n v="4774.7290000000021"/>
        <n v="9088.6939999999995"/>
        <n v="8470.1710000000021"/>
        <n v="7048.558"/>
        <n v="5247.5490000000009"/>
        <n v="5389.2180000000008"/>
        <n v="1411862.4579999994"/>
        <n v="5592.3190000000004" u="1"/>
        <n v="17567.763000000003" u="1"/>
        <n v="5763.5909999999985" u="1"/>
        <n v="5660.2429999999995" u="1"/>
        <n v="2190.8910000000001" u="1"/>
        <n v="3578.5330000000004" u="1"/>
        <n v="3928.0660000000003" u="1"/>
        <n v="2347.0409999999997" u="1"/>
        <n v="4357.2550000000001" u="1"/>
        <n v="6728.692" u="1"/>
        <n v="1.37" u="1"/>
        <n v="13655.618000000002" u="1"/>
        <n v="1424403.4609999994" u="1"/>
        <n v="226.53899999999999" u="1"/>
        <n v="100" u="1"/>
        <n v="101.367" u="1"/>
        <n v="1424829.9969999993" u="1"/>
        <n v="76.95" u="1"/>
        <n v="9011.0730000000021" u="1"/>
        <n v="4461.8489999999993" u="1"/>
        <n v="7265.9529999999995" u="1"/>
        <n v="5178.7139999999999" u="1"/>
        <n v="11106.759" u="1"/>
        <n v="5482.6939999999995" u="1"/>
        <n v="10247.264999999999" u="1"/>
        <n v="14982.070000000002" u="1"/>
        <n v="2941.1260000000002" u="1"/>
        <n v="13414.870000000003" u="1"/>
        <n v="4069.2950000000005" u="1"/>
        <n v="5689.1640000000007" u="1"/>
        <n v="4485.2510000000002" u="1"/>
        <n v="3643.4300000000003" u="1"/>
        <n v="9771.1889999999985" u="1"/>
        <n v="5742.6589999999969" u="1"/>
        <n v="5070.8720000000003" u="1"/>
        <n v="10326.379999999997" u="1"/>
        <n v="3896.7589999999996" u="1"/>
        <n v="7962.7209999999995" u="1"/>
        <n v="9101.5949999999975" u="1"/>
        <n v="5690.172999999998" u="1"/>
        <n v="5485.3780000000015" u="1"/>
        <n v="4355.4560000000001" u="1"/>
        <n v="4381.755000000001" u="1"/>
        <n v="5448.3909999999996" u="1"/>
        <n v="13384.078" u="1"/>
        <n v="6000.8799999999983" u="1"/>
        <n v="5770.8050000000003" u="1"/>
        <n v="4641.6710000000003" u="1"/>
        <n v="7039.7089999999998" u="1"/>
        <n v="6836.5920000000006" u="1"/>
        <n v="3506.2110000000007" u="1"/>
        <n v="5161.7489999999998" u="1"/>
        <n v="4469.8619999999992" u="1"/>
        <n v="5812.6020000000008" u="1"/>
        <n v="9227.2419999999984" u="1"/>
        <n v="5192.0659999999998" u="1"/>
        <n v="5868.76" u="1"/>
        <n v="4550.8" u="1"/>
        <n v="5438.1239999999998" u="1"/>
        <n v="4100.1419999999998" u="1"/>
        <n v="4721.1679999999997" u="1"/>
        <n v="11035.302000000001" u="1"/>
        <n v="5302.2230000000009" u="1"/>
        <n v="8018.8439999999991" u="1"/>
        <n v="6984.4440000000004" u="1"/>
        <n v="11023.624000000002" u="1"/>
        <n v="-3565.24" u="1"/>
        <n v="7060.786000000001" u="1"/>
        <n v="7804.5840000000007" u="1"/>
        <n v="5848.7119999999995" u="1"/>
        <n v="18210.132999999998" u="1"/>
        <n v="14912.046" u="1"/>
        <n v="5801.482" u="1"/>
        <n v="7985.3869999999997" u="1"/>
        <n v="4398.3460000000005" u="1"/>
        <n v="3912.3860000000004" u="1"/>
        <n v="6145.7879999999996" u="1"/>
        <n v="3926.1869999999999" u="1"/>
        <n v="4872.4719999999998" u="1"/>
        <n v="5739.39" u="1"/>
        <n v="3158.4990000000007" u="1"/>
        <n v="10343.922" u="1"/>
        <n v="7554.8470000000007" u="1"/>
        <n v="8354.4009999999998" u="1"/>
        <n v="6626.4170000000004" u="1"/>
        <n v="10039.617" u="1"/>
        <n v="2477.2199999999998" u="1"/>
        <n v="7900.04" u="1"/>
        <n v="6578.1019999999999" u="1"/>
        <n v="4118.7579999999989" u="1"/>
        <n v="4141.7020000000002" u="1"/>
        <n v="1568.4469999999997" u="1"/>
        <n v="5099.8040000000001" u="1"/>
        <n v="4093.4360000000001" u="1"/>
        <n v="9392.9540000000034" u="1"/>
        <n v="4534.3769999999995" u="1"/>
        <n v="3672.884" u="1"/>
        <n v="1456.0420000000001" u="1"/>
        <n v="2052.6260000000002" u="1"/>
        <n v="3120.5349999999999" u="1"/>
        <n v="2922.6569999999997" u="1"/>
        <n v="3052.884" u="1"/>
        <n v="6470.1659999999993" u="1"/>
        <n v="9014.8200000000015" u="1"/>
        <n v="3390.194" u="1"/>
        <n v="5524.9089999999987" u="1"/>
        <n v="7283.7090000000007" u="1"/>
        <n v="3519.873" u="1"/>
        <n v="18154.513999999999" u="1"/>
        <n v="15354.194999999998" u="1"/>
        <n v="5479.1329999999998" u="1"/>
        <n v="4943.7049999999999" u="1"/>
        <n v="6949.9570000000003" u="1"/>
        <n v="6546.6959999999999" u="1"/>
        <n v="4777.8900000000003" u="1"/>
        <n v="5837.56" u="1"/>
        <n v="7840.6770000000006" u="1"/>
        <n v="6777.366" u="1"/>
        <n v="3290.0210000000002" u="1"/>
        <n v="4236.1949999999997" u="1"/>
        <n v="11693.702999999998" u="1"/>
        <n v="6443.2879999999996" u="1"/>
        <n v="3254.4839999999999" u="1"/>
        <n v="8832.5779999999995" u="1"/>
        <n v="4817.4779999999992" u="1"/>
        <n v="7107.4030000000002" u="1"/>
        <n v="4912.9589999999989" u="1"/>
        <n v="8896.24" u="1"/>
        <n v="5359.7239999999993" u="1"/>
        <n v="250.96200000000044" u="1"/>
        <n v="84.545999999999992" u="1"/>
        <n v="11293.097" u="1"/>
        <n v="5678.0090000000009" u="1"/>
        <n v="4456.8899999999994" u="1"/>
        <n v="8905.6619999999984" u="1"/>
        <n v="8436.9740000000002" u="1"/>
        <n v="1187.4960000000001" u="1"/>
        <n v="1545.6210000000001" u="1"/>
        <n v="1090.5999999999999" u="1"/>
        <n v="1064.117" u="1"/>
        <n v="1045.18" u="1"/>
        <n v="1716.4740000000002" u="1"/>
        <n v="1863.894" u="1"/>
        <n v="667.8" u="1"/>
        <n v="4679.5770000000002" u="1"/>
        <n v="4830.2629999999999" u="1"/>
        <n v="8644.3199999999979" u="1"/>
        <n v="8663.2710000000025" u="1"/>
        <n v="3740.26" u="1"/>
        <n v="6000.8210000000008" u="1"/>
        <n v="6114.384" u="1"/>
        <n v="4722.6670000000004" u="1"/>
        <n v="545.77199999999993" u="1"/>
        <n v="401.49800000000005" u="1"/>
        <n v="2.84" u="1"/>
        <n v="401.608" u="1"/>
        <n v="5012.0330000000004" u="1"/>
        <n v="5451.0079999999998" u="1"/>
        <n v="9362.7729999999992" u="1"/>
        <n v="3822.9489999999996" u="1"/>
        <n v="7566.4090000000006" u="1"/>
        <n v="5020.4100000000017" u="1"/>
        <n v="7083.8789999999999" u="1"/>
        <n v="8562.17" u="1"/>
        <n v="6550.2579999999998" u="1"/>
        <n v="8509.7970000000005" u="1"/>
        <n v="10974.778000000002" u="1"/>
        <n v="11125.67" u="1"/>
        <n v="6675.8820000000005" u="1"/>
        <n v="3803.7739999999999" u="1"/>
        <n v="7080.9350000000004" u="1"/>
        <n v="7983.5540000000001" u="1"/>
        <n v="12661.678000000002" u="1"/>
        <n v="10971.162999999999" u="1"/>
        <n v="6305.1180000000013" u="1"/>
        <n v="4546.3499999999995" u="1"/>
        <n v="6461.9320000000007" u="1"/>
        <n v="7702.7429999999986" u="1"/>
        <n v="3552.0939999999996" u="1"/>
        <n v="9352.6679999999978" u="1"/>
        <n v="5799.7349999999997" u="1"/>
        <n v="224.94" u="1"/>
        <n v="3120.7659999999996" u="1"/>
        <n v="4859.4059999999999" u="1"/>
        <n v="7635.1969999999992" u="1"/>
        <n v="6742.89" u="1"/>
        <n v="9316.3970000000008" u="1"/>
        <n v="8840.2450000000026" u="1"/>
        <n v="4840.6469999999999" u="1"/>
        <n v="5168.8140000000003" u="1"/>
        <n v="4213.9210000000012" u="1"/>
        <n v="3887.4210000000003" u="1"/>
        <n v="4996.3820000000014" u="1"/>
        <n v="5598.7050000000008" u="1"/>
        <n v="5719.741" u="1"/>
        <n v="7897.0029999999997" u="1"/>
        <n v="4424.2520000000013" u="1"/>
        <n v="5497.8689999999997" u="1"/>
        <n v="3677.2230000000009" u="1"/>
        <n v="3166.6890000000008" u="1"/>
        <n v="6650.4140000000007" u="1"/>
        <n v="6623.2959999999985" u="1"/>
        <n v="14149.030000000004" u="1"/>
        <n v="8792.83" u="1"/>
        <n v="5384.277" u="1"/>
        <n v="6850.3760000000002" u="1"/>
        <n v="12971.722" u="1"/>
        <n v="5891.4610000000002" u="1"/>
        <n v="1812.634" u="1"/>
        <n v="7134.5130000000008" u="1"/>
        <n v="5706.4850000000015" u="1"/>
        <n v="4574.0009999999993" u="1"/>
        <n v="7298.6530000000002" u="1"/>
        <n v="13479.52" u="1"/>
        <n v="8021.7300000000005" u="1"/>
        <n v="6794.817" u="1"/>
        <n v="7464.6360000000004" u="1"/>
        <n v="7275.6750000000002" u="1"/>
        <n v="4802.8069999999998" u="1"/>
        <n v="12068.847999999998" u="1"/>
        <n v="18368.308000000001" u="1"/>
        <n v="4175.8599999999997" u="1"/>
        <n v="7422.6009999999997" u="1"/>
        <n v="5370.7880000000005" u="1"/>
        <n v="4748.9919999999993" u="1"/>
        <n v="6230.8280000000004" u="1"/>
        <n v="8014.7459999999983" u="1"/>
        <n v="7474.5460000000003" u="1"/>
        <n v="4560.41" u="1"/>
        <n v="6910.5949999999984" u="1"/>
        <n v="1322227.026000001" u="1"/>
      </sharedItems>
    </cacheField>
    <cacheField name="%14" numFmtId="10">
      <sharedItems containsSemiMixedTypes="0" containsString="0" containsNumber="1" minValue="0" maxValue="976.09183673469386"/>
    </cacheField>
    <cacheField name="Total Costos" numFmtId="164">
      <sharedItems containsString="0" containsBlank="1" containsNumber="1" minValue="-181.214" maxValue="6580207.106999997" count="423">
        <m/>
        <n v="22717.277999999998"/>
        <n v="29078.434000000001"/>
        <n v="60262.727000000006"/>
        <n v="41163.746000000006"/>
        <n v="6022.5019999999995"/>
        <n v="5543.3280000000004"/>
        <n v="49343.272000000012"/>
        <n v="-181.214"/>
        <n v="7697.8409999999994"/>
        <n v="-32.067999999999998"/>
        <n v="18339.909999999996"/>
        <n v="24877.791000000005"/>
        <n v="22589.678"/>
        <n v="17173.338"/>
        <n v="16467.36"/>
        <n v="38567.289000000012"/>
        <n v="23941.995999999999"/>
        <n v="24201.918999999998"/>
        <n v="815.36100000000022"/>
        <n v="63765.98599999999"/>
        <n v="19262.202999999998"/>
        <n v="32236.413999999997"/>
        <n v="69758.570999999996"/>
        <n v="28294.647999999997"/>
        <n v="65230.390999999996"/>
        <n v="18863.316000000003"/>
        <n v="33010.968999999997"/>
        <n v="35349.548999999992"/>
        <n v="84387.512999999992"/>
        <n v="43333.13"/>
        <n v="12712.480000000001"/>
        <n v="18104.009000000002"/>
        <n v="36033.336999999992"/>
        <n v="20686.388000000003"/>
        <n v="25348.269"/>
        <n v="34707.770000000004"/>
        <n v="22041.84"/>
        <n v="13100.161000000002"/>
        <n v="24757.957999999999"/>
        <n v="28645.457999999999"/>
        <n v="2363.826"/>
        <n v="266.303"/>
        <n v="19736.182000000004"/>
        <n v="10575.546"/>
        <n v="28951.562000000002"/>
        <n v="82692.782000000007"/>
        <n v="27746.663000000004"/>
        <n v="47243.147999999994"/>
        <n v="30474.522000000001"/>
        <n v="71880.751999999979"/>
        <n v="25911.398999999998"/>
        <n v="48175.151000000005"/>
        <n v="35442.021000000001"/>
        <n v="35552.532999999996"/>
        <n v="72373.637000000017"/>
        <n v="66640.881999999998"/>
        <n v="92403.5"/>
        <n v="84520.887999999992"/>
        <n v="17531.842000000001"/>
        <n v="32713.817000000003"/>
        <n v="57872.627999999997"/>
        <n v="27743.760999999999"/>
        <n v="20296.177999999996"/>
        <n v="24390.818999999996"/>
        <n v="15333.599"/>
        <n v="48145.638999999996"/>
        <n v="13458.454"/>
        <n v="32697.884000000002"/>
        <n v="12047.007000000001"/>
        <n v="56386.210000000014"/>
        <n v="11018.409"/>
        <n v="56365.671999999991"/>
        <n v="31423.222999999998"/>
        <n v="19191.458999999995"/>
        <n v="16865.696"/>
        <n v="90107.962"/>
        <n v="18903.991000000002"/>
        <n v="15509.833000000001"/>
        <n v="14731.397999999999"/>
        <n v="21656.617000000002"/>
        <n v="31638.087"/>
        <n v="11012.561"/>
        <n v="19652.865000000002"/>
        <n v="13109.82"/>
        <n v="9208.0939999999991"/>
        <n v="4388.0879999999997"/>
        <n v="38585.935999999994"/>
        <n v="75540.245999999999"/>
        <n v="19191.915999999997"/>
        <n v="16390.728000000003"/>
        <n v="47792.077999999994"/>
        <n v="13106.495999999999"/>
        <n v="24547.796999999999"/>
        <n v="69897.668000000005"/>
        <n v="52479.521000000001"/>
        <n v="25816.780999999999"/>
        <n v="63244.212999999996"/>
        <n v="20221.863000000001"/>
        <n v="13236.725"/>
        <n v="15647.03"/>
        <n v="11652.525"/>
        <n v="13463.954000000002"/>
        <n v="11932.495999999999"/>
        <n v="13400.297"/>
        <n v="35314.786"/>
        <n v="15926.401"/>
        <n v="16405.623"/>
        <n v="29007.708000000002"/>
        <n v="21910.65"/>
        <n v="37700.548000000003"/>
        <n v="22756.239000000001"/>
        <n v="49632.912000000004"/>
        <n v="14395.514000000001"/>
        <n v="20249.29"/>
        <n v="35849.849000000009"/>
        <n v="35267.780000000006"/>
        <n v="20534.973000000002"/>
        <n v="28387.058999999997"/>
        <n v="59392.158000000003"/>
        <n v="1886.1869999999999"/>
        <n v="6852.3779999999997"/>
        <n v="2019.3230000000001"/>
        <n v="2459.6480000000001"/>
        <n v="1775.6740000000002"/>
        <n v="50.454999999999998"/>
        <n v="498.01300000000003"/>
        <n v="1227.4000000000001"/>
        <n v="23651.610000000004"/>
        <n v="18326.455000000002"/>
        <n v="83107.282999999981"/>
        <n v="52878.370999999999"/>
        <n v="21217.678"/>
        <n v="27039.458000000006"/>
        <n v="13146.991999999998"/>
        <n v="46064.281000000003"/>
        <n v="183.98099999999999"/>
        <n v="-14.718999999999999"/>
        <n v="-5.0540000000000003"/>
        <n v="-53.36699999999999"/>
        <n v="-9.718"/>
        <n v="50.291000000000004"/>
        <n v="47496.539000000004"/>
        <n v="22307.844999999998"/>
        <n v="43266.657999999996"/>
        <n v="15009.564"/>
        <n v="25118.36"/>
        <n v="26872.552999999996"/>
        <n v="32499.891"/>
        <n v="56094.024999999994"/>
        <n v="29966.565999999999"/>
        <n v="67358.516000000003"/>
        <n v="65579.53"/>
        <n v="65753.803"/>
        <n v="37024.881000000001"/>
        <n v="13153.955"/>
        <n v="56959.794999999998"/>
        <n v="41939.822"/>
        <n v="27928.405999999999"/>
        <n v="34403.311999999998"/>
        <n v="17832.716"/>
        <n v="24777.492999999995"/>
        <n v="16655.7"/>
        <n v="17863.361000000001"/>
        <n v="15004.637000000001"/>
        <n v="55777.715000000004"/>
        <n v="42070.286"/>
        <n v="19762.802999999996"/>
        <n v="11268.906000000001"/>
        <n v="32173.156999999996"/>
        <n v="41009.258999999998"/>
        <n v="27366.421999999999"/>
        <n v="50267.971000000005"/>
        <n v="20726.248000000003"/>
        <n v="16181.528"/>
        <n v="12278.176000000001"/>
        <n v="29358.592000000004"/>
        <n v="21095.880999999998"/>
        <n v="27731.592000000001"/>
        <n v="28740.658000000003"/>
        <n v="72739.899000000005"/>
        <n v="33923.412999999993"/>
        <n v="16191.048000000001"/>
        <n v="19610.861999999997"/>
        <n v="24404.089000000004"/>
        <n v="64615.783999999992"/>
        <n v="32764.287999999997"/>
        <n v="114400.234"/>
        <n v="55930.32"/>
        <n v="38160.711999999992"/>
        <n v="34319.898000000001"/>
        <n v="17461.64"/>
        <n v="14612.873000000001"/>
        <n v="46511.872999999992"/>
        <n v="23110.182000000001"/>
        <n v="14235.841"/>
        <n v="38294.762000000002"/>
        <n v="70236.793000000005"/>
        <n v="35403.601999999992"/>
        <n v="31458.660000000003"/>
        <n v="23254.953000000001"/>
        <n v="36214.627"/>
        <n v="23043.811000000002"/>
        <n v="20089.487999999998"/>
        <n v="157609.179"/>
        <n v="19767.578000000005"/>
        <n v="42169.816000000013"/>
        <n v="21218.465000000004"/>
        <n v="20254.492999999999"/>
        <n v="49794.681999999993"/>
        <n v="135.72"/>
        <n v="43425.085000000006"/>
        <n v="69260.038"/>
        <n v="21909.735000000001"/>
        <n v="41189.403999999995"/>
        <n v="6580207.106999997"/>
        <n v="13372.939000000002" u="1"/>
        <n v="21863.13" u="1"/>
        <n v="47269.331999999988" u="1"/>
        <n v="28590.646999999997" u="1"/>
        <n v="1971.116" u="1"/>
        <n v="15725.371999999999" u="1"/>
        <n v="35885.563000000002" u="1"/>
        <n v="4731.5760000000009" u="1"/>
        <n v="3410.4690000000005" u="1"/>
        <n v="17898.882000000001" u="1"/>
        <n v="18964.955000000002" u="1"/>
        <n v="12801.267000000003" u="1"/>
        <n v="13437.409000000001" u="1"/>
        <n v="12094.557000000003" u="1"/>
        <n v="26534.655999999999" u="1"/>
        <n v="15735.919" u="1"/>
        <n v="17703.056" u="1"/>
        <n v="41805.888999999996" u="1"/>
        <n v="16533.545999999998" u="1"/>
        <n v="20849.404000000002" u="1"/>
        <n v="47899.739000000001" u="1"/>
        <n v="18926.732000000004" u="1"/>
        <n v="43388.194000000003" u="1"/>
        <n v="14821.366000000002" u="1"/>
        <n v="21560.017000000003" u="1"/>
        <n v="28118.723000000002" u="1"/>
        <n v="47663.787000000004" u="1"/>
        <n v="32493.573999999997" u="1"/>
        <n v="9549.641999999998" u="1"/>
        <n v="12664.019" u="1"/>
        <n v="33234.757000000005" u="1"/>
        <n v="13285.660000000002" u="1"/>
        <n v="17655.945" u="1"/>
        <n v="16450.302999999996" u="1"/>
        <n v="21309.565000000002" u="1"/>
        <n v="7559.6390000000001" u="1"/>
        <n v="15625.511000000002" u="1"/>
        <n v="21238.569" u="1"/>
        <n v="4759.5530000000008" u="1"/>
        <n v="353.43799999999993" u="1"/>
        <n v="15753.535" u="1"/>
        <n v="7916.612000000001" u="1"/>
        <n v="18845.944000000003" u="1"/>
        <n v="58402.776999999995" u="1"/>
        <n v="16346.543" u="1"/>
        <n v="37172.781999999992" u="1"/>
        <n v="38305.056999999993" u="1"/>
        <n v="47871.82499999999" u="1"/>
        <n v="20198.631000000001" u="1"/>
        <n v="30305.037" u="1"/>
        <n v="24128.069000000003" u="1"/>
        <n v="22598.143000000004" u="1"/>
        <n v="53191.556000000004" u="1"/>
        <n v="44599.919000000009" u="1"/>
        <n v="51862.345000000008" u="1"/>
        <n v="60669.588000000003" u="1"/>
        <n v="12705.705000000002" u="1"/>
        <n v="21072.514999999999" u="1"/>
        <n v="36214.635000000002" u="1"/>
        <n v="22113.115999999998" u="1"/>
        <n v="17403.943999999996" u="1"/>
        <n v="16342.192000000001" u="1"/>
        <n v="5882.9460000000008" u="1"/>
        <n v="26125.260000000002" u="1"/>
        <n v="77904.979000000007" u="1"/>
        <n v="25767.854000000003" u="1"/>
        <n v="7884.59" u="1"/>
        <n v="34057.881000000001" u="1"/>
        <n v="4345.2389999999996" u="1"/>
        <n v="38484.728000000003" u="1"/>
        <n v="22487.179000000004" u="1"/>
        <n v="12574.249" u="1"/>
        <n v="11655.021999999999" u="1"/>
        <n v="111718.43799999999" u="1"/>
        <n v="15901.692000000001" u="1"/>
        <n v="11649.09" u="1"/>
        <n v="15969.137999999999" u="1"/>
        <n v="13445.592000000002" u="1"/>
        <n v="22402.274000000001" u="1"/>
        <n v="6973.3549999999996" u="1"/>
        <n v="12031.852999999999" u="1"/>
        <n v="12557.839" u="1"/>
        <n v="6629.2109999999993" u="1"/>
        <n v="2755.9120000000003" u="1"/>
        <n v="26590.646000000001" u="1"/>
        <n v="50034.332999999999" u="1"/>
        <n v="15042.221" u="1"/>
        <n v="12509.962" u="1"/>
        <n v="31788.544000000002" u="1"/>
        <n v="9430.0220000000008" u="1"/>
        <n v="21823.598000000002" u="1"/>
        <n v="25882.403000000002" u="1"/>
        <n v="31316.769" u="1"/>
        <n v="14373.128000000001" u="1"/>
        <n v="38857.083999999995" u="1"/>
        <n v="14742.664000000001" u="1"/>
        <n v="8783.7840000000015" u="1"/>
        <n v="13578.761" u="1"/>
        <n v="7839.3829999999989" u="1"/>
        <n v="12325.033000000001" u="1"/>
        <n v="13754.682999999999" u="1"/>
        <n v="10816.26" u="1"/>
        <n v="24246.076999999997" u="1"/>
        <n v="11167.043" u="1"/>
        <n v="9241.5120000000006" u="1"/>
        <n v="17905.945" u="1"/>
        <n v="13209.913" u="1"/>
        <n v="21845.623000000003" u="1"/>
        <n v="15596.310999999998" u="1"/>
        <n v="37889.012999999999" u="1"/>
        <n v="11760.106" u="1"/>
        <n v="16084.241999999998" u="1"/>
        <n v="23349.734000000004" u="1"/>
        <n v="20892.794000000005" u="1"/>
        <n v="19370.956999999999" u="1"/>
        <n v="17347.573" u="1"/>
        <n v="41545.960000000006" u="1"/>
        <n v="1830.414" u="1"/>
        <n v="2623.1599999999994" u="1"/>
        <n v="1609.799" u="1"/>
        <n v="1298.365" u="1"/>
        <n v="1149.588" u="1"/>
        <n v="2745.5360000000001" u="1"/>
        <n v="829.42500000000007" u="1"/>
        <n v="125.503" u="1"/>
        <n v="15770.811000000002" u="1"/>
        <n v="10602.344999999998" u="1"/>
        <n v="56647.55" u="1"/>
        <n v="41468.806999999993" u="1"/>
        <n v="14263.326000000001" u="1"/>
        <n v="23514.436000000002" u="1"/>
        <n v="11623.383000000002" u="1"/>
        <n v="37798.727999999996" u="1"/>
        <n v="33001.238999999994" u="1"/>
        <n v="16474.654999999999" u="1"/>
        <n v="35168.094000000005" u="1"/>
        <n v="10472.574000000001" u="1"/>
        <n v="12476.651999999998" u="1"/>
        <n v="22552.630000000005" u="1"/>
        <n v="22489.075000000004" u="1"/>
        <n v="42713.718999999997" u="1"/>
        <n v="30742.489999999998" u="1"/>
        <n v="46860.631999999998" u="1"/>
        <n v="44215.286999999997" u="1"/>
        <n v="43677.923000000003" u="1"/>
        <n v="20215.056" u="1"/>
        <n v="6787.5010000000011" u="1"/>
        <n v="31822.976999999999" u="1"/>
        <n v="37019.483" u="1"/>
        <n v="21049.037" u="1"/>
        <n v="25939.198" u="1"/>
        <n v="12925.707999999999" u="1"/>
        <n v="19346.609999999997" u="1"/>
        <n v="9512.3130000000001" u="1"/>
        <n v="15702.038" u="1"/>
        <n v="12302.593999999999" u="1"/>
        <n v="51616.171000000009" u="1"/>
        <n v="22928.004000000001" u="1"/>
        <n v="9711.0589999999993" u="1"/>
        <n v="8822.2360000000008" u="1"/>
        <n v="29177.787999999997" u="1"/>
        <n v="35989.667000000001" u="1"/>
        <n v="24879.646000000001" u="1"/>
        <n v="37762.442999999999" u="1"/>
        <n v="13764.269" u="1"/>
        <n v="13391.502999999999" u="1"/>
        <n v="8535.7369999999992" u="1"/>
        <n v="28080.236000000001" u="1"/>
        <n v="15245.507" u="1"/>
        <n v="17645.759000000002" u="1"/>
        <n v="18266.253000000001" u="1"/>
        <n v="54620.178" u="1"/>
        <n v="24375.88" u="1"/>
        <n v="13284.803" u="1"/>
        <n v="15489.819" u="1"/>
        <n v="14382.98" u="1"/>
        <n v="43293.881000000001" u="1"/>
        <n v="25428.920000000002" u="1"/>
        <n v="66249.31" u="1"/>
        <n v="28761.877000000004" u="1"/>
        <n v="26101.216" u="1"/>
        <n v="24613.824000000001" u="1"/>
        <n v="10018.483" u="1"/>
        <n v="11793.82" u="1"/>
        <n v="1881.511" u="1"/>
        <n v="34325.816000000006" u="1"/>
        <n v="23836.875" u="1"/>
        <n v="8699.7949999999983" u="1"/>
        <n v="23245.167000000001" u="1"/>
        <n v="42023.054999999993" u="1"/>
        <n v="28611.977999999999" u="1"/>
        <n v="19427.800999999999" u="1"/>
        <n v="18663.510999999995" u="1"/>
        <n v="26979.675999999996" u="1"/>
        <n v="14396.772999999997" u="1"/>
        <n v="14027.734" u="1"/>
        <n v="50729.567000000003" u="1"/>
        <n v="14373.269999999999" u="1"/>
        <n v="27903.195" u="1"/>
        <n v="13349.932999999999" u="1"/>
        <n v="16089.688999999998" u="1"/>
        <n v="33678.563000000002" u="1"/>
        <n v="31259.688000000002" u="1"/>
        <n v="38766.019" u="1"/>
        <n v="12414.994000000001" u="1"/>
        <n v="28240.387000000002" u="1"/>
        <n v="4664430.2160000028" u="1"/>
      </sharedItems>
    </cacheField>
    <cacheField name="%15" numFmtId="10">
      <sharedItems containsSemiMixedTypes="0" containsString="0" containsNumber="1" minValue="0" maxValue="1961.8737609329444"/>
    </cacheField>
    <cacheField name="Ingresos" numFmtId="164">
      <sharedItems containsSemiMixedTypes="0" containsString="0" containsNumber="1" minValue="-11521842.824000003" maxValue="0"/>
    </cacheField>
    <cacheField name="Otros Ingresos" numFmtId="164">
      <sharedItems containsSemiMixedTypes="0" containsString="0" containsNumber="1" minValue="-1582212.3410000005" maxValue="0"/>
    </cacheField>
    <cacheField name="Total Ingresos" numFmtId="164">
      <sharedItems containsSemiMixedTypes="0" containsString="0" containsNumber="1" minValue="-13104635.166999996" maxValue="0" count="416">
        <n v="0"/>
        <n v="-49113.270000000004"/>
        <n v="-56941.822"/>
        <n v="-118897.04300000002"/>
        <n v="-84148.310000000012"/>
        <n v="-19329.090999999997"/>
        <n v="-11500.960999999999"/>
        <n v="-93567.61099999999"/>
        <n v="-40122.601999999992"/>
        <n v="-44264.450000000004"/>
        <n v="-45183.114000000001"/>
        <n v="-33002.995000000003"/>
        <n v="-32495.697"/>
        <n v="-79400.272000000012"/>
        <n v="-48454.733000000007"/>
        <n v="-48640.194000000003"/>
        <n v="-2708.0799999999995"/>
        <n v="-119536.24400000002"/>
        <n v="-38487.901999999995"/>
        <n v="-69038.893000000011"/>
        <n v="-123560.45299999999"/>
        <n v="-48864.91"/>
        <n v="-111554.00900000001"/>
        <n v="-34799.553999999996"/>
        <n v="-59284.434999999998"/>
        <n v="-73461.108999999997"/>
        <n v="-169481.66800000001"/>
        <n v="-85404.812999999995"/>
        <n v="-25744.162999999997"/>
        <n v="-41022.732000000004"/>
        <n v="-75283.206999999995"/>
        <n v="-47619.011999999995"/>
        <n v="-45967.428"/>
        <n v="-66355.384999999995"/>
        <n v="-45126.978999999999"/>
        <n v="-29754.870999999999"/>
        <n v="-53673.698999999993"/>
        <n v="-59348.367000000006"/>
        <n v="-5875.665"/>
        <n v="-1301.5159999999998"/>
        <n v="-49112.364000000001"/>
        <n v="-20878.606999999996"/>
        <n v="-60254.909"/>
        <n v="-157208.94100000002"/>
        <n v="-56313.508999999991"/>
        <n v="-99783.665999999968"/>
        <n v="-54482.853999999999"/>
        <n v="-134364.39499999999"/>
        <n v="-50781.631000000001"/>
        <n v="-102073.37699999998"/>
        <n v="-69145.92300000001"/>
        <n v="-69539.893999999986"/>
        <n v="-155358.14300000001"/>
        <n v="-128144.071"/>
        <n v="-151844.61400000003"/>
        <n v="-149890.22999999998"/>
        <n v="-35530.021999999997"/>
        <n v="-70211.45"/>
        <n v="-111957.11"/>
        <n v="-57594.608000000007"/>
        <n v="-40628.633000000002"/>
        <n v="-50300.204000000005"/>
        <n v="-28187.351999999995"/>
        <n v="-96366.224000000002"/>
        <n v="-6.86"/>
        <n v="-70396.739000000001"/>
        <n v="-34007.715999999993"/>
        <n v="-114094.91899999999"/>
        <n v="-21226.928999999996"/>
        <n v="-114929.007"/>
        <n v="-62005.021000000001"/>
        <n v="-40596.277999999998"/>
        <n v="-41082.104000000007"/>
        <n v="-161703.06099999999"/>
        <n v="-39879.877999999997"/>
        <n v="-30930.179999999997"/>
        <n v="-26092.844999999998"/>
        <n v="-45581.902999999998"/>
        <n v="-54528.003999999994"/>
        <n v="-23579.565999999999"/>
        <n v="-41004.46100000001"/>
        <n v="-30040.281999999999"/>
        <n v="-19222.592000000001"/>
        <n v="-9551.5170000000016"/>
        <n v="-76661.239999999991"/>
        <n v="-142570.28700000001"/>
        <n v="-39239.614000000001"/>
        <n v="-30671.963000000003"/>
        <n v="-91350.183999999994"/>
        <n v="-29652.725000000006"/>
        <n v="-46199.879000000008"/>
        <n v="-143314.70200000002"/>
        <n v="-105200.476"/>
        <n v="-61301.741000000002"/>
        <n v="-117384.57199999999"/>
        <n v="-40636.54"/>
        <n v="-29765.953000000001"/>
        <n v="-40292.366999999991"/>
        <n v="-31797.513000000003"/>
        <n v="-57206.434000000008"/>
        <n v="-25098.575000000001"/>
        <n v="-23046.213"/>
        <n v="-78368.86"/>
        <n v="-37549.590000000004"/>
        <n v="-31821.146999999997"/>
        <n v="-59533.32"/>
        <n v="-42590.563999999984"/>
        <n v="-78148.167999999991"/>
        <n v="-43578.559000000001"/>
        <n v="-100690.25100000003"/>
        <n v="-30352.009999999995"/>
        <n v="-41936.214"/>
        <n v="-65356.608000000007"/>
        <n v="-67128.274000000005"/>
        <n v="-37521.305999999997"/>
        <n v="-62085.837999999989"/>
        <n v="-129373.49000000002"/>
        <n v="-3000.0099999999998"/>
        <n v="-10597.27"/>
        <n v="-3372.5350000000003"/>
        <n v="-4555.4500000000007"/>
        <n v="-2718.0689999999995"/>
        <n v="-1244.3050000000003"/>
        <n v="-2104.8680000000004"/>
        <n v="-50712.775999999991"/>
        <n v="-35385.258000000002"/>
        <n v="-155192.36200000002"/>
        <n v="-103454.765"/>
        <n v="-40292.698999999993"/>
        <n v="-62081.191999999995"/>
        <n v="-25257.788"/>
        <n v="-101147.85200000001"/>
        <n v="-82985.009999999995"/>
        <n v="-49007.881000000001"/>
        <n v="-92857.286000000007"/>
        <n v="-37109.968000000008"/>
        <n v="-54494.338000000003"/>
        <n v="-59130.525000000009"/>
        <n v="-66242.593000000008"/>
        <n v="-112803.24799999999"/>
        <n v="-54619.353000000003"/>
        <n v="-128836.266"/>
        <n v="-131336.48499999999"/>
        <n v="-128160.52800000002"/>
        <n v="-31119.546000000006"/>
        <n v="-29192.04"/>
        <n v="-110422.49900000001"/>
        <n v="-101408.83199999999"/>
        <n v="-69216.711999999985"/>
        <n v="-82919.549000000014"/>
        <n v="-38981.989000000001"/>
        <n v="-47557.74"/>
        <n v="-35248.028999999995"/>
        <n v="-38331.433999999994"/>
        <n v="-27432.326000000001"/>
        <n v="-116418.42200000002"/>
        <n v="-82342.433999999994"/>
        <n v="-39284.230000000003"/>
        <n v="-20415.726999999999"/>
        <n v="-60935.637000000002"/>
        <n v="-84399.549999999988"/>
        <n v="-57885.144"/>
        <n v="-104563.455"/>
        <n v="-41225.836999999985"/>
        <n v="-33010.324999999997"/>
        <n v="-27242.861000000001"/>
        <n v="-41388.572999999997"/>
        <n v="-39501.284"/>
        <n v="-54203.22600000001"/>
        <n v="-65878.804000000004"/>
        <n v="-134277.98700000002"/>
        <n v="-69029.558000000005"/>
        <n v="-33425.374000000003"/>
        <n v="-43760.445000000007"/>
        <n v="-50439.567000000003"/>
        <n v="-127079.16700000002"/>
        <n v="-65210.983000000007"/>
        <n v="-222852.10400000002"/>
        <n v="-101838.99600000001"/>
        <n v="-78055.547000000006"/>
        <n v="-77181.331000000006"/>
        <n v="-34937.811999999998"/>
        <n v="-29900.852999999999"/>
        <n v="-95041.141999999978"/>
        <n v="-41968.786999999997"/>
        <n v="-33340.743999999999"/>
        <n v="-77568.847000000009"/>
        <n v="-140141.549"/>
        <n v="-71465.280000000013"/>
        <n v="-66709.025000000009"/>
        <n v="-48943.320999999996"/>
        <n v="-78047.974000000017"/>
        <n v="-54235.847999999991"/>
        <n v="-37145.087"/>
        <n v="-292432.484"/>
        <n v="-43567.824000000001"/>
        <n v="-81078.286000000007"/>
        <n v="-50622.907999999996"/>
        <n v="-42393.779999999992"/>
        <n v="-97748.102999999988"/>
        <n v="-16.378999999999998"/>
        <n v="-87088.04399999998"/>
        <n v="-135055.361"/>
        <n v="-47201.748999999996"/>
        <n v="-78871.005000000005"/>
        <n v="-13104055.164999995"/>
        <n v="-31419.547000000002" u="1"/>
        <n v="-41668.573999999993" u="1"/>
        <n v="-13104635.166999996" u="1"/>
        <n v="-30344.077999999994" u="1"/>
        <n v="-40945.947000000007" u="1"/>
        <n v="-100610.84299999998" u="1"/>
        <n v="-59430.517000000007" u="1"/>
        <n v="-6671.5659999999998" u="1"/>
        <n v="-38958.955999999998" u="1"/>
        <n v="-69071.336999999985" u="1"/>
        <n v="-5751.5169999999989" u="1"/>
        <n v="-9890.1260000000002" u="1"/>
        <n v="-34956.864999999998" u="1"/>
        <n v="-37081.29" u="1"/>
        <n v="-28903.359000000004" u="1"/>
        <n v="-25945.121999999999" u="1"/>
        <n v="-26515.86" u="1"/>
        <n v="-58416.165000000001" u="1"/>
        <n v="-33958.270000000004" u="1"/>
        <n v="-35907.010999999999" u="1"/>
        <n v="-87792.081000000035" u="1"/>
        <n v="-32436.439999999995" u="1"/>
        <n v="-48915.387000000002" u="1"/>
        <n v="-87510.901000000013" u="1"/>
        <n v="-35975.934000000001" u="1"/>
        <n v="-77688.878999999986" u="1"/>
        <n v="-27815.341000000004" u="1"/>
        <n v="-39359.819000000003" u="1"/>
        <n v="-65390.089" u="1"/>
        <n v="-107343.064" u="1"/>
        <n v="-73234.274000000005" u="1"/>
        <n v="-18433.898000000001" u="1"/>
        <n v="-31956.067999999996" u="1"/>
        <n v="-72217.281000000017" u="1"/>
        <n v="-31463.900999999991" u="1"/>
        <n v="-35490.911999999997" u="1"/>
        <n v="-34459.975000000006" u="1"/>
        <n v="-46242.341" u="1"/>
        <n v="-20175.017" u="1"/>
        <n v="-40318.781000000003" u="1"/>
        <n v="-45146.897999999994" u="1"/>
        <n v="-13944.828" u="1"/>
        <n v="-944.71899999999994" u="1"/>
        <n v="-42775.644999999997" u="1"/>
        <n v="-18081.936999999998" u="1"/>
        <n v="-41090.741000000009" u="1"/>
        <n v="-113876.75300000001" u="1"/>
        <n v="-37299.551999999996" u="1"/>
        <n v="-85203.33100000002" u="1"/>
        <n v="-69548.622000000003" u="1"/>
        <n v="-95205.31700000001" u="1"/>
        <n v="-44190.030999999995" u="1"/>
        <n v="-71712.016000000003" u="1"/>
        <n v="-50577.614000000001" u="1"/>
        <n v="-48046.026000000005" u="1"/>
        <n v="-123895.041" u="1"/>
        <n v="-94551.530000000013" u="1"/>
        <n v="-99962.239000000001" u="1"/>
        <n v="-119091.25499999999" u="1"/>
        <n v="-26646.910999999996" u="1"/>
        <n v="-46112.743999999992" u="1"/>
        <n v="-77072.991999999998" u="1"/>
        <n v="-47769.539999999994" u="1"/>
        <n v="-35987.475999999995" u="1"/>
        <n v="-38062.239000000001" u="1"/>
        <n v="-11316.668999999998" u="1"/>
        <n v="-55705.506000000001" u="1"/>
        <n v="-68011.59" u="1"/>
        <n v="-54840.582999999991" u="1"/>
        <n v="-24488.640999999996" u="1"/>
        <n v="-67105.334999999992" u="1"/>
        <n v="-8495.0529999999999" u="1"/>
        <n v="-84741.182000000001" u="1"/>
        <n v="-48009.788" u="1"/>
        <n v="-26351.985000000001" u="1"/>
        <n v="-30730.884000000002" u="1"/>
        <n v="-196066.01300000001" u="1"/>
        <n v="-33472.942000000003" u="1"/>
        <n v="-22398.955999999998" u="1"/>
        <n v="-26278.235999999997" u="1"/>
        <n v="-30244.763000000003" u="1"/>
        <n v="-40269.61" u="1"/>
        <n v="-16557.211000000003" u="1"/>
        <n v="-26297.021000000001" u="1"/>
        <n v="-27449.635999999999" u="1"/>
        <n v="-14401.18" u="1"/>
        <n v="-7425.0239999999994" u="1"/>
        <n v="-58312.833000000006" u="1"/>
        <n v="-101813.43200000002" u="1"/>
        <n v="-32889.32" u="1"/>
        <n v="-22487.296999999999" u="1"/>
        <n v="-66011.576000000001" u="1"/>
        <n v="-20833.264999999999" u="1"/>
        <n v="-41799.393000000004" u="1"/>
        <n v="-62601.935999999987" u="1"/>
        <n v="-72036.114999999991" u="1"/>
        <n v="-39607.374999999993" u="1"/>
        <n v="-77109.186000000002" u="1"/>
        <n v="-31301.379999999997" u="1"/>
        <n v="-19752.513999999999" u="1"/>
        <n v="-36666.641000000003" u="1"/>
        <n v="-26695.495999999992" u="1"/>
        <n v="-32700.682999999997" u="1"/>
        <n v="-25245.826000000001" u="1"/>
        <n v="-17570.972000000002" u="1"/>
        <n v="-58950.500999999989" u="1"/>
        <n v="-26702.664000000004" u="1"/>
        <n v="-19526.954000000002" u="1"/>
        <n v="-41272.22" u="1"/>
        <n v="-28176.019" u="1"/>
        <n v="-47989.65" u="1"/>
        <n v="-30809.362000000005" u="1"/>
        <n v="-80361.72600000001" u="1"/>
        <n v="-23947.954999999998" u="1"/>
        <n v="-34240.612999999998" u="1"/>
        <n v="-53773.209000000003" u="1"/>
        <n v="-43557.754000000001" u="1"/>
        <n v="-36158.977000000006" u="1"/>
        <n v="-43599.822999999997" u="1"/>
        <n v="-93967.760000000009" u="1"/>
        <n v="-4050.9360000000001" u="1"/>
        <n v="-4680.49" u="1"/>
        <n v="-3135.3440000000001" u="1"/>
        <n v="-2687.3939999999998" u="1"/>
        <n v="-1928.8519999999999" u="1"/>
        <n v="-4839.8009999999995" u="1"/>
        <n v="-1571.9870000000001" u="1"/>
        <n v="-381.53999999999996" u="1"/>
        <n v="-35052.221000000005" u="1"/>
        <n v="-22144.376999999997" u="1"/>
        <n v="-115738.77099999999" u="1"/>
        <n v="-91035.150999999983" u="1"/>
        <n v="-27797.717999999993" u="1"/>
        <n v="-54964.803999999989" u="1"/>
        <n v="-22464.031999999996" u="1"/>
        <n v="-81143.099000000017" u="1"/>
        <n v="-63999.902000000002" u="1"/>
        <n v="-36578.756000000001" u="1"/>
        <n v="-78606.508999999991" u="1"/>
        <n v="-23929.491999999995" u="1"/>
        <n v="-31027.236000000004" u="1"/>
        <n v="-51207.108999999997" u="1"/>
        <n v="-48250.730999999992" u="1"/>
        <n v="-92539.705999999991" u="1"/>
        <n v="-57213.070999999989" u="1"/>
        <n v="-94138.531999999992" u="1"/>
        <n v="-93308.334999999992" u="1"/>
        <n v="-91137.902999999977" u="1"/>
        <n v="-43742.337000000007" u="1"/>
        <n v="-17791.457999999999" u="1"/>
        <n v="-69874.31700000001" u="1"/>
        <n v="-78148.572999999989" u="1"/>
        <n v="-51425.062000000005" u="1"/>
        <n v="-66570.063999999998" u="1"/>
        <n v="-29200.844999999998" u="1"/>
        <n v="-41648.07" u="1"/>
        <n v="-23830.244999999999" u="1"/>
        <n v="-35135.582999999999" u="1"/>
        <n v="-21705.98" u="1"/>
        <n v="-109302.05900000001" u="1"/>
        <n v="-46754.165000000001" u="1"/>
        <n v="-22300.583000000002" u="1"/>
        <n v="-16827.339999999997" u="1"/>
        <n v="-54441.469999999994" u="1"/>
        <n v="-71730.419000000009" u="1"/>
        <n v="-49820.817999999999" u="1"/>
        <n v="-83275.735000000001" u="1"/>
        <n v="-30944.598000000002" u="1"/>
        <n v="-27628.395" u="1"/>
        <n v="-19122.145999999997" u="1"/>
        <n v="-52819.262000000002" u="1"/>
        <n v="-29932.823999999997" u="1"/>
        <n v="-37707.196000000004" u="1"/>
        <n v="-40553.535999999993" u="1"/>
        <n v="-108048.681" u="1"/>
        <n v="-53317.979000000007" u="1"/>
        <n v="-30611.549000000003" u="1"/>
        <n v="-32601.793999999994" u="1"/>
        <n v="-32217.529000000002" u="1"/>
        <n v="-90271.42" u="1"/>
        <n v="-54860.171000000002" u="1"/>
        <n v="-142276.19200000004" u="1"/>
        <n v="-63366.875999999997" u="1"/>
        <n v="-57531.119000000006" u="1"/>
        <n v="-58655.969999999994" u="1"/>
        <n v="-20673.888999999999" u="1"/>
        <n v="-26003.501000000004" u="1"/>
        <n v="-3982.6929999999998" u="1"/>
        <n v="-75033.786000000007" u="1"/>
        <n v="-41675.186000000009" u="1"/>
        <n v="-22605.297000000002" u="1"/>
        <n v="-48486.099000000002" u="1"/>
        <n v="-88524.128000000026" u="1"/>
        <n v="-60391.661999999989" u="1"/>
        <n v="-44479.266999999993" u="1"/>
        <n v="-41285.839999999997" u="1"/>
        <n v="-60614.963000000003" u="1"/>
        <n v="-33484.073000000004" u="1"/>
        <n v="-32422.575000000001" u="1"/>
        <n v="-101724.939" u="1"/>
        <n v="-32827.558999999994" u="1"/>
        <n v="-59543.405000000006" u="1"/>
        <n v="-34861.130000000005" u="1"/>
        <n v="-34092.921999999999" u="1"/>
        <n v="-77659.786999999997" u="1"/>
        <n v="-66045.906999999992" u="1"/>
        <n v="-83409.168999999994" u="1"/>
        <n v="-29509.094999999998" u="1"/>
        <n v="-59355.492999999995" u="1"/>
        <n v="-9823741.9680000022" u="1"/>
      </sharedItems>
    </cacheField>
    <cacheField name="Ingreso Bruto" numFmtId="164">
      <sharedItems containsSemiMixedTypes="0" containsString="0" containsNumber="1" minValue="0" maxValue="13104055.164999995"/>
    </cacheField>
    <cacheField name="% impacto sobre ingresos generales" numFmtId="165">
      <sharedItems containsSemiMixedTypes="0" containsString="0" containsNumber="1" minValue="0" maxValue="1.0000000000000009" count="618">
        <n v="0"/>
        <n v="3.7479443868015817E-3"/>
        <n v="4.3453588437331655E-3"/>
        <n v="9.0733014706444164E-3"/>
        <n v="6.4215472951269469E-3"/>
        <n v="1.4750465223640566E-3"/>
        <n v="8.7766426920410508E-4"/>
        <n v="7.1403553954742542E-3"/>
        <n v="3.0618462372750555E-3"/>
        <n v="3.3779199982481162E-3"/>
        <n v="3.4480253197255229E-3"/>
        <n v="2.5185329720030995E-3"/>
        <n v="2.4798199176384503E-3"/>
        <n v="6.0592138082623858E-3"/>
        <n v="3.6976899432947423E-3"/>
        <n v="3.7118428904294085E-3"/>
        <n v="2.0665969166804864E-4"/>
        <n v="9.1220803403875214E-3"/>
        <n v="2.9370985939374292E-3"/>
        <n v="5.268513611297823E-3"/>
        <n v="9.4291768039882207E-3"/>
        <n v="3.7289914751362403E-3"/>
        <n v="8.5129379871623917E-3"/>
        <n v="2.6556324406315952E-3"/>
        <n v="4.5241289244832032E-3"/>
        <n v="5.6059828865960074E-3"/>
        <n v="1.2933528275481741E-2"/>
        <n v="6.5174338725397163E-3"/>
        <n v="1.9645951330211761E-3"/>
        <n v="3.1305371874172827E-3"/>
        <n v="5.7450312939063414E-3"/>
        <n v="3.6339141891883215E-3"/>
        <n v="3.5078780897363549E-3"/>
        <n v="5.0637290643609726E-3"/>
        <n v="3.4437415312880372E-3"/>
        <n v="2.2706613048663862E-3"/>
        <n v="4.0959610078076169E-3"/>
        <n v="4.5290077195733495E-3"/>
        <n v="4.4838524609492529E-4"/>
        <n v="9.932162094954064E-5"/>
        <n v="3.747875247898502E-3"/>
        <n v="1.5932935825671186E-3"/>
        <n v="4.5981879838949856E-3"/>
        <n v="1.199696880244323E-2"/>
        <n v="4.2974108618230936E-3"/>
        <n v="7.6147165700671867E-3"/>
        <n v="4.157709450546259E-3"/>
        <n v="1.0253649981486477E-2"/>
        <n v="3.8752607769565977E-3"/>
        <n v="7.7894495799003313E-3"/>
        <n v="5.2766813119563081E-3"/>
        <n v="5.3067461273923911E-3"/>
        <n v="1.1855730233412831E-2"/>
        <n v="9.7789630298767173E-3"/>
        <n v="1.1587604912223375E-2"/>
        <n v="1.1438461461940896E-2"/>
        <n v="2.7113761009567613E-3"/>
        <n v="5.3579940801477864E-3"/>
        <n v="8.5436995334871244E-3"/>
        <n v="4.3951744154611871E-3"/>
        <n v="3.1004626040125509E-3"/>
        <n v="3.8385219969424649E-3"/>
        <n v="2.1510403951355774E-3"/>
        <n v="7.3539238645291549E-3"/>
        <n v="5.2350206967401782E-7"/>
        <n v="5.3721339015745835E-3"/>
        <n v="2.5952054972137326E-3"/>
        <n v="8.7068405591529761E-3"/>
        <n v="1.6198748198722197E-3"/>
        <n v="8.7704916953468912E-3"/>
        <n v="4.7317429772129639E-3"/>
        <n v="3.0979935210002614E-3"/>
        <n v="3.1350679986243803E-3"/>
        <n v="1.2339925234128853E-2"/>
        <n v="3.0433234214792024E-3"/>
        <n v="2.3603517850422609E-3"/>
        <n v="1.9912038427380967E-3"/>
        <n v="3.4784578076064603E-3"/>
        <n v="4.1611549488619701E-3"/>
        <n v="1.7994098546669241E-3"/>
        <n v="3.1291428862051823E-3"/>
        <n v="2.2924416618937526E-3"/>
        <n v="1.4669193435130053E-3"/>
        <n v="7.2889780146159853E-4"/>
        <n v="5.8501920996758879E-3"/>
        <n v="1.0879860104740338E-2"/>
        <n v="2.9944634318089742E-3"/>
        <n v="2.3406466634788479E-3"/>
        <n v="6.9711385406854721E-3"/>
        <n v="2.2628663132615878E-3"/>
        <n v="3.5256169497360343E-3"/>
        <n v="1.093666809208675E-2"/>
        <n v="8.0280855563690714E-3"/>
        <n v="4.6780740944782203E-3"/>
        <n v="8.9578813979298462E-3"/>
        <n v="3.1010660050132667E-3"/>
        <n v="2.2715069972769008E-3"/>
        <n v="3.0748013872543864E-3"/>
        <n v="2.4265399221554645E-3"/>
        <n v="4.3655519821676533E-3"/>
        <n v="1.915328856905038E-3"/>
        <n v="1.7587084844968301E-3"/>
        <n v="5.9805044326520914E-3"/>
        <n v="2.8654938892727117E-3"/>
        <n v="2.4283434859914228E-3"/>
        <n v="4.5431219000824485E-3"/>
        <n v="3.2501819828839218E-3"/>
        <n v="5.963662928459598E-3"/>
        <n v="3.3255781093165151E-3"/>
        <n v="7.6839001158157949E-3"/>
        <n v="2.3162303285373881E-3"/>
        <n v="3.2002470587889969E-3"/>
        <n v="4.9875101391943831E-3"/>
        <n v="5.122709966857807E-3"/>
        <n v="2.8633354734507494E-3"/>
        <n v="4.7379103047297047E-3"/>
        <n v="9.8727827661735934E-3"/>
        <n v="2.2893752828611515E-4"/>
        <n v="8.0870157112162948E-4"/>
        <n v="2.5736575110030084E-4"/>
        <n v="3.476366622881202E-4"/>
        <n v="2.0742197478378828E-4"/>
        <n v="9.4955720525616454E-5"/>
        <n v="1.6062722367210069E-4"/>
        <n v="3.8700062966348179E-3"/>
        <n v="2.7003288336660491E-3"/>
        <n v="1.1843079111457638E-2"/>
        <n v="7.8948664132855884E-3"/>
        <n v="3.0748267229230644E-3"/>
        <n v="4.7375557579927216E-3"/>
        <n v="1.9274787599690335E-3"/>
        <n v="7.7188206800409978E-3"/>
        <n v="6.3327732488220202E-3"/>
        <n v="3.7399019145536402E-3"/>
        <n v="7.0861488929026524E-3"/>
        <n v="2.8319453430811332E-3"/>
        <n v="4.1585858204833057E-3"/>
        <n v="4.5123837053077627E-3"/>
        <n v="5.0551216524888642E-3"/>
        <n v="8.6082702323544459E-3"/>
        <n v="4.1681259970489468E-3"/>
        <n v="9.8317859912641827E-3"/>
        <n v="1.0022583341284341E-2"/>
        <n v="9.7802189006581507E-3"/>
        <n v="2.3748027315329159E-3"/>
        <n v="2.2277104020417952E-3"/>
        <n v="8.4265899074456498E-3"/>
        <n v="7.738736652365125E-3"/>
        <n v="5.282083380179361E-3"/>
        <n v="6.3277777722938978E-3"/>
        <n v="2.9748034871005533E-3"/>
        <n v="3.6292383846966213E-3"/>
        <n v="2.6898565792171716E-3"/>
        <n v="2.9251581680135585E-3"/>
        <n v="2.0934226584507828E-3"/>
        <n v="8.8841523127089241E-3"/>
        <n v="6.2837368252181055E-3"/>
        <n v="2.9978681793804869E-3"/>
        <n v="1.5579701659474818E-3"/>
        <n v="4.6501358726537398E-3"/>
        <n v="6.4407199860868425E-3"/>
        <n v="4.4173458727957068E-3"/>
        <n v="7.9794730473419853E-3"/>
        <n v="3.1460365879801299E-3"/>
        <n v="2.5190923408326487E-3"/>
        <n v="2.0789641570468777E-3"/>
        <n v="3.1584553391186833E-3"/>
        <n v="3.0144320595890907E-3"/>
        <n v="4.136370407289874E-3"/>
        <n v="5.0273600935348342E-3"/>
        <n v="1.024705599215173E-2"/>
        <n v="5.2678012363968881E-3"/>
        <n v="2.5507656659807731E-3"/>
        <n v="3.3394582401393624E-3"/>
        <n v="3.849157101743628E-3"/>
        <n v="9.6976978042201383E-3"/>
        <n v="4.9763971670520688E-3"/>
        <n v="1.7006346599884762E-2"/>
        <n v="7.7715634372484002E-3"/>
        <n v="5.9565948110841946E-3"/>
        <n v="5.8898814167194502E-3"/>
        <n v="2.6661832203909233E-3"/>
        <n v="2.2818015204837555E-3"/>
        <n v="7.2528038689769975E-3"/>
        <n v="3.2027327778728879E-3"/>
        <n v="2.5443073598355086E-3"/>
        <n v="5.9194536365491587E-3"/>
        <n v="1.0694517631023729E-2"/>
        <n v="5.4536766749027979E-3"/>
        <n v="5.0907161302384549E-3"/>
        <n v="3.7349751953673202E-3"/>
        <n v="5.9560168983766671E-3"/>
        <n v="4.1388598656742614E-3"/>
        <n v="2.8346253531663923E-3"/>
        <n v="2.2316182305235289E-2"/>
        <n v="3.324758897258505E-3"/>
        <n v="6.1872668406154439E-3"/>
        <n v="3.8631482668975785E-3"/>
        <n v="3.2351649520852735E-3"/>
        <n v="7.4593781672316409E-3"/>
        <n v="1.2499184255380081E-6"/>
        <n v="6.6458850259273929E-3"/>
        <n v="1.0306379155112481E-2"/>
        <n v="3.6020719087075069E-3"/>
        <n v="6.0188242499664441E-3"/>
        <n v="1.0000000000000009"/>
        <n v="3.7477785054006473E-3" u="1"/>
        <n v="4.3451665211856122E-3" u="1"/>
        <n v="9.0728998926582673E-3" u="1"/>
        <n v="6.4212630819285776E-3" u="1"/>
        <n v="1.4749812378351732E-3" u="1"/>
        <n v="8.7762542439652513E-4" u="1"/>
        <n v="7.1400393683313914E-3" u="1"/>
        <n v="3.0617107220990369E-3" u="1"/>
        <n v="3.3777704938681885E-3" u="1"/>
        <n v="3.4478727125330294E-3" u="1"/>
        <n v="2.518421503492743E-3" u="1"/>
        <n v="2.4797101625408423E-3" u="1"/>
        <n v="6.0589456316910862E-3" u="1"/>
        <n v="3.6975262861203791E-3" u="1"/>
        <n v="3.7116786068554898E-3" u="1"/>
        <n v="2.0665054505442993E-4" u="1"/>
        <n v="9.1216766034826653E-3" u="1"/>
        <n v="2.9369686000049792E-3" u="1"/>
        <n v="5.2682804305650022E-3" u="1"/>
        <n v="9.4287594752083675E-3" u="1"/>
        <n v="3.7288264325779394E-3" u="1"/>
        <n v="8.512561210472655E-3" u="1"/>
        <n v="2.6555149041945095E-3" u="1"/>
        <n v="4.5239286896967311E-3" u="1"/>
        <n v="5.605734769708757E-3" u="1"/>
        <n v="1.2932955846553256E-2" u="1"/>
        <n v="6.5171454154684004E-3" u="1"/>
        <n v="1.9645081814126941E-3" u="1"/>
        <n v="3.130398632027786E-3" u="1"/>
        <n v="5.7447770228336963E-3" u="1"/>
        <n v="3.6337533546842932E-3" u="1"/>
        <n v="3.5077228335020625E-3" u="1"/>
        <n v="5.0635049472491749E-3" u="1"/>
        <n v="3.443589113693028E-3" u="1"/>
        <n v="2.2705608069828998E-3" u="1"/>
        <n v="4.0957797234340981E-3" u="1"/>
        <n v="4.5288072688548144E-3" u="1"/>
        <n v="4.4836540087709275E-4" u="1"/>
        <n v="9.9317225043965259E-5" u="1"/>
        <n v="3.7477093695576073E-3" u="1"/>
        <n v="1.5932230645059363E-3" u="1"/>
        <n v="4.5979844713062677E-3" u="1"/>
        <n v="1.1996437824982912E-2" u="1"/>
        <n v="4.2972206614197315E-3" u="1"/>
        <n v="7.6143795480300381E-3" u="1"/>
        <n v="4.1575254332297902E-3" u="1"/>
        <n v="1.0253196162099614E-2" u="1"/>
        <n v="3.8750892606211553E-3" u="1"/>
        <n v="7.7891048243022036E-3" u="1"/>
        <n v="5.2764477697267616E-3" u="1"/>
        <n v="5.3065112545151111E-3" u="1"/>
        <n v="1.1855205507072936E-2" u="1"/>
        <n v="9.7785302198028015E-3" u="1"/>
        <n v="1.1587092052922932E-2" u="1"/>
        <n v="1.1437955203625397E-2" u="1"/>
        <n v="2.7112560973442021E-3" u="1"/>
        <n v="5.3577569390719096E-3" u="1"/>
        <n v="8.5433213953128306E-3" u="1"/>
        <n v="4.3949798881112202E-3" u="1"/>
        <n v="3.1003253797031111E-3" u="1"/>
        <n v="3.8383521066397666E-3" u="1"/>
        <n v="2.1509451915900104E-3" u="1"/>
        <n v="7.3535983849950118E-3" u="1"/>
        <n v="5.2347889983803645E-7" u="1"/>
        <n v="5.3718961346800858E-3" u="1"/>
        <n v="2.5950906352309598E-3" u="1"/>
        <n v="8.7064552004708275E-3" u="1"/>
        <n v="1.6198031253440391E-3" u="1"/>
        <n v="8.7701035195099104E-3" u="1"/>
        <n v="4.7315335535735191E-3" u="1"/>
        <n v="3.0978564059707114E-3" u="1"/>
        <n v="3.1349292427043434E-3" u="1"/>
        <n v="1.2339379077656396E-2" u="1"/>
        <n v="3.043188726110074E-3" u="1"/>
        <n v="2.3602473175207629E-3" u="1"/>
        <n v="1.9911157134467066E-3" u="1"/>
        <n v="3.4783038534933076E-3" u="1"/>
        <n v="4.1609707790501525E-3" u="1"/>
        <n v="1.7993302140434939E-3" u="1"/>
        <n v="3.129004392526483E-3" u="1"/>
        <n v="2.2923402000268756E-3" u="1"/>
        <n v="1.4668544186873819E-3" u="1"/>
        <n v="7.2886554095397994E-4" u="1"/>
        <n v="5.8499331742594262E-3" u="1"/>
        <n v="1.0879378569730773E-2" u="1"/>
        <n v="2.9943308989488645E-3" u="1"/>
        <n v="2.340543068092268E-3" u="1"/>
        <n v="6.9708300029624184E-3" u="1"/>
        <n v="2.2627661603789855E-3" u="1"/>
        <n v="3.5254609083921872E-3" u="1"/>
        <n v="1.0936184042795342E-2" u="1"/>
        <n v="8.0277302389092919E-3" u="1"/>
        <n v="4.6778670461860425E-3" u="1"/>
        <n v="8.9574849283555052E-3" u="1"/>
        <n v="3.1009287539977199E-3" u="1"/>
        <n v="2.2714064619636589E-3" u="1"/>
        <n v="3.0746652986924777E-3" u="1"/>
        <n v="2.4264325251932453E-3" u="1"/>
        <n v="4.3653587658858952E-3" u="1"/>
        <n v="1.9152440857875283E-3" u="1"/>
        <n v="1.7586306452876169E-3" u="1"/>
        <n v="5.9802397397027834E-3" u="1"/>
        <n v="2.8653670645144803E-3" u="1"/>
        <n v="2.4282360092047275E-3" u="1"/>
        <n v="4.5429208246801408E-3" u="1"/>
        <n v="3.2500381320993395E-3" u="1"/>
        <n v="5.9633989809035034E-3" u="1"/>
        <n v="3.3254309215520351E-3" u="1"/>
        <n v="7.6835600317632308E-3" u="1"/>
        <n v="2.3161278138007398E-3" u="1"/>
        <n v="3.2001054180892797E-3" u="1"/>
        <n v="4.9872893954789809E-3" u="1"/>
        <n v="5.1224832392924588E-3" u="1"/>
        <n v="2.8632087442224943E-3" u="1"/>
        <n v="4.7377006081286517E-3" u="1"/>
        <n v="9.8723458037036759E-3" u="1"/>
        <n v="2.2892739567100692E-4" u="1"/>
        <n v="8.0866577855490205E-4" u="1"/>
        <n v="2.5735436027190557E-4" u="1"/>
        <n v="3.4762127613224245E-4" u="1"/>
        <n v="2.0741279443205123E-4" u="1"/>
        <n v="9.4951517851744606E-5" u="1"/>
        <n v="1.6062011442336563E-4" u="1"/>
        <n v="3.8698350128590045E-3" u="1"/>
        <n v="2.7002093189978245E-3" u="1"/>
        <n v="1.1842554945047564E-2" u="1"/>
        <n v="7.8945169920120392E-3" u="1"/>
        <n v="3.0746906332398171E-3" u="1"/>
        <n v="4.7373460770836597E-3" u="1"/>
        <n v="1.9273934511052999E-3" u="1"/>
        <n v="7.7184790504286494E-3" u="1"/>
        <n v="6.3324929647009393E-3" u="1"/>
        <n v="3.7397363891069108E-3" u="1"/>
        <n v="7.0858352649017346E-3" u="1"/>
        <n v="2.8318200031581253E-3" u="1"/>
        <n v="4.158401764379315E-3" u="1"/>
        <n v="4.5121839903564881E-3" u="1"/>
        <n v="5.0548979163351042E-3" u="1"/>
        <n v="8.6078892363261189E-3" u="1"/>
        <n v="4.1679415187034045E-3" u="1"/>
        <n v="9.8313508432828888E-3" u="1"/>
        <n v="1.0022139748745593E-2" u="1"/>
        <n v="9.7797860350002722E-3" u="1"/>
        <n v="2.3975903639897197E-3" u="1"/>
        <n v="2.2276118051352701E-3" u="1"/>
        <n v="8.426216952461615E-3" u="1"/>
        <n v="7.7383941412857513E-3" u="1"/>
        <n v="5.2818495988580473E-3" u="1"/>
        <n v="6.3274977092691188E-3" u="1"/>
        <n v="2.9746718243758657E-3" u="1"/>
        <n v="3.6290777571404338E-3" u="1"/>
        <n v="2.6897375280436151E-3" u="1"/>
        <n v="2.9250287025560204E-3" u="1"/>
        <n v="2.0933300050260005E-3" u="1"/>
        <n v="8.8837591063323992E-3" u="1"/>
        <n v="6.2834587114148858E-3" u="1"/>
        <n v="2.9977354958286278E-3" u="1"/>
        <n v="1.5579012112760487E-3" u="1"/>
        <n v="4.6499300608877471E-3" u="1"/>
        <n v="6.4404349243185628E-3" u="1"/>
        <n v="4.417150364152524E-3" u="1"/>
        <n v="7.9791198814379051E-3" u="1"/>
        <n v="3.1458973465979894E-3" u="1"/>
        <n v="2.5189808475650187E-3" u="1"/>
        <n v="2.0788721435452693E-3" u="1"/>
        <n v="3.1796821101078431E-3" u="1"/>
        <n v="3.0142986429314619E-3" u="1"/>
        <n v="4.1361873344245561E-3" u="1"/>
        <n v="5.0271375860882848E-3" u="1"/>
        <n v="1.0246602464610228E-2" u="1"/>
        <n v="5.2675680871932832E-3" u="1"/>
        <n v="2.5506527708738934E-3" u="1"/>
        <n v="3.3393104380499859E-3" u="1"/>
        <n v="3.8489867407386193E-3" u="1"/>
        <n v="9.6972685908883541E-3" u="1"/>
        <n v="4.9761769151890518E-3" u="1"/>
        <n v="1.700559391086176E-2" u="1"/>
        <n v="7.771219473278454E-3" u="1"/>
        <n v="5.9563311763580389E-3" u="1"/>
        <n v="5.889620734681536E-3" u="1"/>
        <n v="2.6660652169836945E-3" u="1"/>
        <n v="2.2817005295421061E-3" u="1"/>
        <n v="7.2524828649432336E-3" u="1"/>
        <n v="3.2025910271569801E-3" u="1"/>
        <n v="2.5441947505687483E-3" u="1"/>
        <n v="5.9191916456654481E-3" u="1"/>
        <n v="1.0694044299142605E-2" u="1"/>
        <n v="5.4534352989821042E-3" u="1"/>
        <n v="5.0904908186979693E-3" u="1"/>
        <n v="3.7348098879737405E-3" u="1"/>
        <n v="5.9557532892285242E-3" u="1"/>
        <n v="4.1386766826272542E-3" u="1"/>
        <n v="2.83449989462801E-3" u="1"/>
        <n v="2.2315194606592446E-2" u="1"/>
        <n v="3.3246117457517784E-3" u="1"/>
        <n v="6.1869929965063658E-3" u="1"/>
        <n v="3.8629772866533717E-3" u="1"/>
        <n v="3.2350217659439864E-3" u="1"/>
        <n v="7.459048020363711E-3" u="1"/>
        <n v="1.2498631050214572E-6" u="1"/>
        <n v="6.6455908836977398E-3" u="1"/>
        <n v="1.030592300196922E-2" u="1"/>
        <n v="3.6019124835205731E-3" u="1"/>
        <n v="6.0185578610087859E-3" u="1"/>
        <n v="1.0000000000000004" u="1"/>
        <n v="3.0888512848610264E-3" u="1"/>
        <n v="4.1680601071748345E-3" u="1"/>
        <n v="1.0241600739079993E-2" u="1"/>
        <n v="6.049682208021121E-3" u="1"/>
        <n v="6.791267545230783E-4" u="1"/>
        <n v="3.9657959387477256E-3" u="1"/>
        <n v="7.0310618117814926E-3" u="1"/>
        <n v="5.8547109835896264E-4" u="1"/>
        <n v="1.0067575097367416E-3" u="1"/>
        <n v="3.5584062685959168E-3" u="1"/>
        <n v="3.7746604217404251E-3" u="1"/>
        <n v="2.9421944401787242E-3" u="1"/>
        <n v="2.6410630576936987E-3" u="1"/>
        <n v="2.6991608784486748E-3" u="1"/>
        <n v="5.9464270529789622E-3" u="1"/>
        <n v="3.4567550848359167E-3" u="1"/>
        <n v="3.6551256249364051E-3" u="1"/>
        <n v="8.9367250571091156E-3" u="1"/>
        <n v="3.3018416104228835E-3" u="1"/>
        <n v="4.9793029132216299E-3" u="1"/>
        <n v="8.9081025626547676E-3" u="1"/>
        <n v="3.6621415869012566E-3" u="1"/>
        <n v="7.9082776454292934E-3" u="1"/>
        <n v="2.8314405132592135E-3" u="1"/>
        <n v="4.0066014689933063E-3" u="1"/>
        <n v="6.6563320996217744E-3" u="1"/>
        <n v="1.0926901821084148E-2" u="1"/>
        <n v="7.4548246725692083E-3" u="1"/>
        <n v="1.8764639849099096E-3" u="1"/>
        <n v="3.2529425247623716E-3" u="1"/>
        <n v="7.3513006790326563E-3" u="1"/>
        <n v="3.2028427764583959E-3" u="1"/>
        <n v="3.6127691581892725E-3" u="1"/>
        <n v="3.507825746263534E-3" u="1"/>
        <n v="4.7072023217456715E-3" u="1"/>
        <n v="2.0536998086593062E-3" u="1"/>
        <n v="4.104218243041702E-3" u="1"/>
        <n v="4.595692572856875E-3" u="1"/>
        <n v="1.4195026747876808E-3" u="1"/>
        <n v="9.6166919192028984E-5" u="1"/>
        <n v="4.3543127597750423E-3" u="1"/>
        <n v="1.8406363948585333E-3" u="1"/>
        <n v="4.1827992972382193E-3" u="1"/>
        <n v="1.1591993496057183E-2" u="1"/>
        <n v="3.7968782284286467E-3" u="1"/>
        <n v="8.6732053099055906E-3" u="1"/>
        <n v="7.0796466587323527E-3" u="1"/>
        <n v="9.6913495193708434E-3" u="1"/>
        <n v="4.4982890576671531E-3" u="1"/>
        <n v="7.2998676302365997E-3" u="1"/>
        <n v="5.1485079885803444E-3" u="1"/>
        <n v="4.8908070017011666E-3" u="1"/>
        <n v="1.2611797154646109E-2" u="1"/>
        <n v="9.6247977917165908E-3" u="1"/>
        <n v="1.0175576610788275E-2" u="1"/>
        <n v="1.2122799579623483E-2" u="1"/>
        <n v="2.7125011107580008E-3" u="1"/>
        <n v="4.694010098209858E-3" u="1"/>
        <n v="7.8455839181300439E-3" u="1"/>
        <n v="4.8626623292432943E-3" u="1"/>
        <n v="3.6633164956109509E-3" u="1"/>
        <n v="3.8745153449657455E-3" u="1"/>
        <n v="1.1519713197743872E-3" u="1"/>
        <n v="5.6704976760847256E-3" u="1"/>
        <n v="6.9231857088207244E-3" u="1"/>
        <n v="5.5824535272443526E-3" u="1"/>
        <n v="2.4928017327582141E-3" u="1"/>
        <n v="6.8309342019151021E-3" u="1"/>
        <n v="8.647471633184083E-4" u="1"/>
        <n v="8.6261612200358214E-3" u="1"/>
        <n v="4.8871181833142372E-3" u="1"/>
        <n v="2.6824793531669841E-3" u="1"/>
        <n v="3.1282258939722995E-3" u="1"/>
        <n v="1.9958383845857134E-2" u="1"/>
        <n v="3.4073515070973202E-3" u="1"/>
        <n v="2.2800839102821184E-3" u="1"/>
        <n v="2.6749721323706486E-3" u="1"/>
        <n v="3.0787415934294413E-3" u="1"/>
        <n v="4.0992129202064558E-3" u="1"/>
        <n v="1.6854281244289293E-3" u="1"/>
        <n v="2.6768843365043882E-3" u="1"/>
        <n v="2.7942138636595747E-3" u="1"/>
        <n v="1.465956663653281E-3" u="1"/>
        <n v="7.558244123457618E-4" u="1"/>
        <n v="5.9359084542274284E-3" u="1"/>
        <n v="1.0364017329816738E-2" u="1"/>
        <n v="3.3479421698100523E-3" u="1"/>
        <n v="2.2890765121122321E-3" u="1"/>
        <n v="6.7195958744668835E-3" u="1"/>
        <n v="2.1207056402603587E-3" u="1"/>
        <n v="4.2549359639288105E-3" u="1"/>
        <n v="6.3725142826349095E-3" u="1"/>
        <n v="7.3328590301589211E-3" u="1"/>
        <n v="4.0318012351115923E-3" u="1"/>
        <n v="7.8492682575719685E-3" u="1"/>
        <n v="3.1862990805297574E-3" u="1"/>
        <n v="2.0106914518258035E-3" u="1"/>
        <n v="3.7324515565899884E-3" u="1"/>
        <n v="2.7174467821893412E-3" u="1"/>
        <n v="3.3287400164336229E-3" u="1"/>
        <n v="2.5698787775815077E-3" u="1"/>
        <n v="1.7886231190961588E-3" u="1"/>
        <n v="6.0008193610974507E-3" u="1"/>
        <n v="2.7181764430480406E-3" u="1"/>
        <n v="1.9877307510322829E-3" u="1"/>
        <n v="4.2012728076979951E-3" u="1"/>
        <n v="2.8681554433922399E-3" u="1"/>
        <n v="4.88506825162165E-3" u="1"/>
        <n v="3.1362144995622709E-3" u="1"/>
        <n v="8.1803579798585355E-3" u="1"/>
        <n v="2.4377630314404031E-3" u="1"/>
        <n v="3.4854959659502316E-3" u="1"/>
        <n v="5.4738010398849672E-3" u="1"/>
        <n v="4.4339269233542224E-3" u="1"/>
        <n v="3.680774303497056E-3" u="1"/>
        <n v="4.438209303748275E-3" u="1"/>
        <n v="9.5653733888870392E-3" u="1"/>
        <n v="4.1236180807634984E-4" u="1"/>
        <n v="4.7644675677010806E-4" u="1"/>
        <n v="3.1915984868221441E-4" u="1"/>
        <n v="2.7356113472381047E-4" u="1"/>
        <n v="1.9634595516485165E-4" u="1"/>
        <n v="4.9266369330192472E-4" u="1"/>
        <n v="1.6001916633403169E-4" u="1"/>
        <n v="3.8838560829756506E-5" u="1"/>
        <n v="3.568112956771423E-3" u="1"/>
        <n v="2.2541692434648029E-3" u="1"/>
        <n v="1.1781536137350628E-2" u="1"/>
        <n v="9.2668507882779482E-3" u="1"/>
        <n v="2.8296465939912385E-3" u="1"/>
        <n v="5.5950985051361419E-3" u="1"/>
        <n v="2.2867082699418056E-3" u="1"/>
        <n v="8.2598972229031165E-3" u="1"/>
        <n v="6.5148191196872027E-3" u="1"/>
        <n v="3.72350537291718E-3" u="1"/>
        <n v="8.0016870614124398E-3" u="1"/>
        <n v="2.43588360504055E-3" u="1"/>
        <n v="3.1583928100991014E-3" u="1"/>
        <n v="5.2125869314160293E-3" u="1"/>
        <n v="4.9116447843573878E-3" u="1"/>
        <n v="9.4200057678062148E-3" u="1"/>
        <n v="5.8239590561688882E-3" u="1"/>
        <n v="9.5827569887979754E-3" u="1"/>
        <n v="9.4982477455071504E-3" u="1"/>
        <n v="9.2773103463908036E-3" u="1"/>
        <n v="4.4527164030251322E-3" u="1"/>
        <n v="1.8110673160954501E-3" u="1"/>
        <n v="7.1128005222052459E-3" u="1"/>
        <n v="7.9550718305267248E-3" u="1"/>
        <n v="5.2347732836950257E-3" u="1"/>
        <n v="6.7764467162152956E-3" u="1"/>
        <n v="2.9724767909335616E-3" u="1"/>
        <n v="4.239532159503478E-3" u="1"/>
        <n v="2.4257808356148787E-3" u="1"/>
        <n v="3.5765987252567456E-3" u="1"/>
        <n v="2.20954296954311E-3" u="1"/>
        <n v="1.1126316158958786E-2" u="1"/>
        <n v="4.7593030387298131E-3" u="1"/>
        <n v="2.2700701089912825E-3" u="1"/>
        <n v="1.7129256911280462E-3" u="1"/>
        <n v="5.5418261368568537E-3" u="1"/>
        <n v="7.3017409489841752E-3" u="1"/>
        <n v="5.0714705417026469E-3" u="1"/>
        <n v="8.4769872082617378E-3" u="1"/>
        <n v="3.1499807406179213E-3" u="1"/>
        <n v="2.8124104938827923E-3" u="1"/>
        <n v="1.9465236426494863E-3" u="1"/>
        <n v="5.3766947637727278E-3" u="1"/>
        <n v="3.0469880110352661E-3" u="1"/>
        <n v="3.838374025175739E-3" u="1"/>
        <n v="4.1281149415466796E-3" u="1"/>
        <n v="1.0998729542363726E-2" u="1"/>
        <n v="5.4274612641169477E-3" u="1"/>
        <n v="3.1160782825642715E-3" u="1"/>
        <n v="3.3186736893332036E-3" u="1"/>
        <n v="3.2795577392958652E-3" u="1"/>
        <n v="9.1891073985912314E-3" u="1"/>
        <n v="5.5844474721244014E-3" u="1"/>
        <n v="1.4482891800645064E-2" u="1"/>
        <n v="6.4503807415150121E-3" u="1"/>
        <n v="5.8563344993590727E-3" u="1"/>
        <n v="5.9708378122172584E-3" u="1"/>
        <n v="2.1044820871052418E-3" u="1"/>
        <n v="2.6470057015650634E-3" u="1"/>
        <n v="4.0541506617063853E-4" u="1"/>
        <n v="7.6380045653088339E-3" u="1"/>
        <n v="4.2422924111558871E-3" u="1"/>
        <n v="2.3010882282570961E-3" u="1"/>
        <n v="4.9356038827097978E-3" u="1"/>
        <n v="9.0112431992167338E-3" u="1"/>
        <n v="6.147521198818195E-3" u="1"/>
        <n v="4.5277316062338965E-3" u="1"/>
        <n v="4.2026592447648855E-3" u="1"/>
        <n v="6.1702519465034866E-3" u="1"/>
        <n v="3.4084845783889177E-3" u="1"/>
        <n v="3.3004302337758628E-3" u="1"/>
        <n v="1.0355009255267521E-2" u="1"/>
        <n v="3.3416552579386711E-3" u="1"/>
        <n v="6.0611735521919801E-3" u="1"/>
        <n v="3.5486610004168626E-3" u="1"/>
        <n v="3.4704618780760704E-3" u="1"/>
        <n v="7.9053162484285615E-3" u="1"/>
        <n v="6.7230905713056063E-3" u="1"/>
        <n v="8.4905700161606659E-3" u="1"/>
        <n v="3.0038548545069025E-3" u="1"/>
        <n v="6.0420451996138977E-3" u="1"/>
        <n v="1" u="1"/>
      </sharedItems>
    </cacheField>
    <cacheField name="Gasto Aplicado por  Venta" numFmtId="164">
      <sharedItems containsSemiMixedTypes="0" containsString="0" containsNumber="1" minValue="0" maxValue="1766324.2432000011" count="618">
        <n v="0"/>
        <n v="6620.0850325729907"/>
        <n v="7675.3126710894094"/>
        <n v="16026.392353461442"/>
        <n v="11342.534666238109"/>
        <n v="2605.4104322994835"/>
        <n v="1550.2396760856218"/>
        <n v="12612.182840090096"/>
        <n v="5408.213237849629"/>
        <n v="5966.5019844957478"/>
        <n v="6090.3307133986209"/>
        <n v="4448.5458457476207"/>
        <n v="4380.1660392950216"/>
        <n v="10702.536244266046"/>
        <n v="6531.3193906783354"/>
        <n v="6556.318084315024"/>
        <n v="365.02802348551131"/>
        <n v="16112.551653644585"/>
        <n v="5187.8684511403126"/>
        <n v="9305.903317264525"/>
        <n v="16654.983582303485"/>
        <n v="6586.60804521927"/>
        <n v="15036.608747583141"/>
        <n v="4690.7079609159709"/>
        <n v="7991.0785986770225"/>
        <n v="9901.9834795588431"/>
        <n v="22844.804543096085"/>
        <n v="11511.901452519758"/>
        <n v="3470.1120115280314"/>
        <n v="5529.5437283742876"/>
        <n v="10147.588052369434"/>
        <n v="6418.6707300718026"/>
        <n v="6196.0501120914278"/>
        <n v="8944.1874073772378"/>
        <n v="6082.7641540287505"/>
        <n v="4010.7241108816434"/>
        <n v="7234.7952272924967"/>
        <n v="7999.6961327223526"/>
        <n v="791.99373047066456"/>
        <n v="175.4341869570946"/>
        <n v="6619.9629108523322"/>
        <n v="2814.2730814232818"/>
        <n v="8121.8909107446425"/>
        <n v="21190.536840669545"/>
        <n v="7590.6209882291341"/>
        <n v="13450.05848280642"/>
        <n v="7343.8629986816077"/>
        <n v="18111.270543586794"/>
        <n v="6844.9670590605056"/>
        <n v="13758.693634162008"/>
        <n v="9320.3301249488068"/>
        <n v="9373.434337320894"/>
        <n v="20941.063732116272"/>
        <n v="17272.819473027768"/>
        <n v="20467.467477083552"/>
        <n v="20204.031785135114"/>
        <n v="4789.1693395530174"/>
        <n v="9463.9548386871174"/>
        <n v="15090.943612614836"/>
        <n v="7763.3031231214827"/>
        <n v="5476.4222626023693"/>
        <n v="6780.0744612559511"/>
        <n v="3799.4347980304769"/>
        <n v="12989.414004564876"/>
        <n v="0.92467439703059306"/>
        <n v="9488.9303480677881"/>
        <n v="4583.9743858145248"/>
        <n v="15379.103561308943"/>
        <n v="2861.2241652895341"/>
        <n v="15491.532106275479"/>
        <n v="8357.7923332426017"/>
        <n v="5472.0610614192892"/>
        <n v="5537.5466100507465"/>
        <n v="21796.309100317227"/>
        <n v="5375.4959392570854"/>
        <n v="4169.1465804005402"/>
        <n v="3517.1116205813"/>
        <n v="6144.0843545236112"/>
        <n v="7349.948865886553"/>
        <n v="3178.3412497511763"/>
        <n v="5527.0809403410312"/>
        <n v="4049.195283524632"/>
        <n v="2591.0551992660494"/>
        <n v="1287.4698575368016"/>
        <n v="10333.336133034631"/>
        <n v="19217.360665627348"/>
        <n v="5289.1933549800597"/>
        <n v="4134.3409464678807"/>
        <n v="12313.291007118616"/>
        <n v="3996.9556282345475"/>
        <n v="6227.3826905555916"/>
        <n v="19317.701990884714"/>
        <n v="14180.202144698449"/>
        <n v="8262.9956845627657"/>
        <n v="15822.523080873791"/>
        <n v="5477.4880644183049"/>
        <n v="4012.2178778886255"/>
        <n v="5431.0962333324132"/>
        <n v="4286.0562915958371"/>
        <n v="7710.9803010525384"/>
        <n v="3383.0917936519118"/>
        <n v="3106.449432888282"/>
        <n v="10563.509965958448"/>
        <n v="5061.3913253638457"/>
        <n v="4289.2419701234485"/>
        <n v="8024.6263519284757"/>
        <n v="5740.875231179717"/>
        <n v="10533.762408811293"/>
        <n v="5874.0492371409791"/>
        <n v="13572.259056892724"/>
        <n v="4091.2137821306887"/>
        <n v="5652.6739641684999"/>
        <n v="8809.5600720648436"/>
        <n v="9048.366805343212"/>
        <n v="5057.5788631706073"/>
        <n v="8368.6858333511755"/>
        <n v="17438.535547739571"/>
        <n v="404.37790639005084"/>
        <n v="1428.429190586063"/>
        <n v="454.59136553783839"/>
        <n v="614.03906442463779"/>
        <n v="366.37446263302422"/>
        <n v="167.72259119492017"/>
        <n v="283.71975928994033"/>
        <n v="6835.685943082728"/>
        <n v="4769.6562835163222"/>
        <n v="20918.717748703137"/>
        <n v="13944.893942611763"/>
        <n v="5431.1409843382171"/>
        <n v="8368.0595888542939"/>
        <n v="3404.5524619863768"/>
        <n v="13633.940096069922"/>
        <n v="11185.730916082757"/>
        <n v="6605.8794188661886"/>
        <n v="12516.436580458792"/>
        <n v="5002.1337149015462"/>
        <n v="7345.4109521474247"/>
        <n v="7970.3327333057441"/>
        <n v="8928.9839271163255"/>
        <n v="15204.996403424551"/>
        <n v="7362.2619972997254"/>
        <n v="17366.121950324065"/>
        <n v="17703.131935202986"/>
        <n v="17275.037748035342"/>
        <n v="4194.6716375241695"/>
        <n v="3934.858889955241"/>
        <n v="14884.090041025693"/>
        <n v="13669.118160812928"/>
        <n v="9329.8719290146055"/>
        <n v="11176.907284784798"/>
        <n v="5254.4675180216045"/>
        <n v="6410.4117432416488"/>
        <n v="4751.1588866023103"/>
        <n v="5166.7777873568466"/>
        <n v="3697.6631928858101"/>
        <n v="15692.293610219118"/>
        <n v="11099.116692271338"/>
        <n v="5295.2072431575998"/>
        <n v="2751.8804742953635"/>
        <n v="8213.6477260422871"/>
        <n v="11376.399855087955"/>
        <n v="7802.4651057185192"/>
        <n v="14094.336691481127"/>
        <n v="5556.9206953435123"/>
        <n v="4449.5338724721441"/>
        <n v="3672.1247913357515"/>
        <n v="5578.8562365498065"/>
        <n v="5324.4644263315167"/>
        <n v="7306.1713292511613"/>
        <n v="8879.9480125067948"/>
        <n v="18099.623420365428"/>
        <n v="9304.6450322067558"/>
        <n v="4505.4792345440319"/>
        <n v="5898.5660487121622"/>
        <n v="6798.8595046952178"/>
        <n v="17129.278734821433"/>
        <n v="8789.9309599558674"/>
        <n v="30038.722287638338"/>
        <n v="13727.100906778569"/>
        <n v="10521.277821737334"/>
        <n v="10403.440335924724"/>
        <n v="4709.3440589895354"/>
        <n v="4030.4013438010779"/>
        <n v="12810.803304948824"/>
        <n v="5657.0645500481614"/>
        <n v="4494.0717718296437"/>
        <n v="10455.674464735179"/>
        <n v="18889.985761007039"/>
        <n v="9632.961325455175"/>
        <n v="8991.8553160894699"/>
        <n v="6597.177235327953"/>
        <n v="10520.257040511577"/>
        <n v="7310.5685199479421"/>
        <n v="5006.8674816871599"/>
        <n v="39417.613821407947"/>
        <n v="5872.6022430225948"/>
        <n v="10928.719419726527"/>
        <n v="6823.5724388972558"/>
        <n v="5714.3502856191835"/>
        <n v="13175.680495978029"/>
        <n v="2.2077612170501575"/>
        <n v="11738.787838815413"/>
        <n v="18204.407361286307"/>
        <n v="6362.4269380997657"/>
        <n v="10631.195188275786"/>
        <n v="1766324.2432000011"/>
        <n v="6618.19345853711" u="1"/>
        <n v="7673.1195841283725" u="1"/>
        <n v="16021.813090881658" u="1"/>
        <n v="11339.29373444189" u="1"/>
        <n v="2604.6659816312063" u="1"/>
        <n v="1549.7967220893743" u="1"/>
        <n v="12608.579128434021" u="1"/>
        <n v="5406.6679350792128" u="1"/>
        <n v="5964.7971604363338" u="1"/>
        <n v="6088.5905074359025" u="1"/>
        <n v="4447.2747512257465" u="1"/>
        <n v="4378.9144831122821" u="1"/>
        <n v="10699.478180875907" u="1"/>
        <n v="6529.4531798791295" u="1"/>
        <n v="6554.4447305743633" u="1"/>
        <n v="364.92372308329641" u="1"/>
        <n v="16107.947772544891" u="1"/>
        <n v="5186.3861080562801" u="1"/>
        <n v="9303.2443174165237" u="1"/>
        <n v="16650.224710724451" u="1"/>
        <n v="6584.7260366496585" u="1"/>
        <n v="15032.312298435632" u="1"/>
        <n v="4689.3676727859665" u="1"/>
        <n v="7988.7952870999707" u="1"/>
        <n v="9899.1541601828085" u="1"/>
        <n v="22838.277037948359" u="1"/>
        <n v="11508.612127113201" u="1"/>
        <n v="3469.1204874387931" u="1"/>
        <n v="5527.963757528687" u="1"/>
        <n v="10144.688555762934" u="1"/>
        <n v="6416.8367066660412" u="1"/>
        <n v="6194.2796986512103" u="1"/>
        <n v="8941.6317615526586" u="1"/>
        <n v="6081.0261100786302" u="1"/>
        <n v="4009.5781162976018" u="1"/>
        <n v="7232.7280105211839" u="1"/>
        <n v="7997.4103588349881" u="1"/>
        <n v="791.76743205157061" u="1"/>
        <n v="175.38405969265298" u="1"/>
        <n v="6618.0713717106073" u="1"/>
        <n v="2813.4689518895211" u="1"/>
        <n v="8119.570221826988" u="1"/>
        <n v="21184.482013715366" u="1"/>
        <n v="7588.4521004419084" u="1"/>
        <n v="13446.215362773677" u="1"/>
        <n v="7341.7646176935959" u="1"/>
        <n v="18106.095563363957" u="1"/>
        <n v="6843.011228900973" u="1"/>
        <n v="13754.762327008404" u="1"/>
        <n v="9317.6670028916978" u="1"/>
        <n v="9370.7560416596953" u="1"/>
        <n v="20935.080187759293" u="1"/>
        <n v="17267.884065600087" u="1"/>
        <n v="20461.619254610669" u="1"/>
        <n v="20198.25883482453" u="1"/>
        <n v="4787.8009177983777" u="1"/>
        <n v="9461.250678368704" u="1"/>
        <n v="15086.631638225666" u="1"/>
        <n v="7761.0848944207755" u="1"/>
        <n v="5474.8574702907163" u="1"/>
        <n v="6778.1371730263963" u="1"/>
        <n v="3798.3491756888279" u="1"/>
        <n v="12985.702505671517" u="1"/>
        <n v="0.92441018742113024" u="1"/>
        <n v="9486.2190514324157" u="1"/>
        <n v="4582.6645949452713" u="1"/>
        <n v="15374.709250231583" u="1"/>
        <n v="2860.4066203010234" u="1"/>
        <n v="15487.105670698889" u="1"/>
        <n v="8355.4042396007444" u="1"/>
        <n v="5470.4975152449415" u="1"/>
        <n v="5535.964352521044" u="1"/>
        <n v="21790.081184486942" u="1"/>
        <n v="5373.9599848851021" u="1"/>
        <n v="4167.9553193541233" u="1"/>
        <n v="3516.1066671720837" u="1"/>
        <n v="6142.3287893938441" u="1"/>
        <n v="7347.8487459679491" u="1"/>
        <n v="3177.4330940771001" u="1"/>
        <n v="5525.5016731942314" u="1"/>
        <n v="4048.0382964728278" u="1"/>
        <n v="2590.3148503556731" u="1"/>
        <n v="1287.101985441124" u="1"/>
        <n v="10330.383562148138" u="1"/>
        <n v="19211.869639410252" u="1"/>
        <n v="5287.6820600689216" u="1"/>
        <n v="4133.1596305253597" u="1"/>
        <n v="12309.772698599812" u="1"/>
        <n v="3995.8135677546993" u="1"/>
        <n v="6225.6033243766096" u="1"/>
        <n v="19312.182293880967" u="1"/>
        <n v="14176.150398826834" u="1"/>
        <n v="8260.6346774127669" u="1"/>
        <n v="15818.002070389086" u="1"/>
        <n v="5475.92296757234" u="1"/>
        <n v="4011.0714564866694" u="1"/>
        <n v="5429.544392144453" u="1"/>
        <n v="4284.8316256349599" u="1"/>
        <n v="7708.7770226872472" u="1"/>
        <n v="3382.1251340748236" u="1"/>
        <n v="3105.5618190491668" u="1"/>
        <n v="10560.491626906749" u="1"/>
        <n v="5059.9451209164135" u="1"/>
        <n v="4288.0163939103977" u="1"/>
        <n v="8022.3334546650303" u="1"/>
        <n v="5739.2348760366795" u="1"/>
        <n v="10530.752569606115" u="1"/>
        <n v="5872.370829844428" u="1"/>
        <n v="13568.381020173567" u="1"/>
        <n v="4090.0447890244909" u="1"/>
        <n v="5651.0588110018398" u="1"/>
        <n v="8807.0428936573371" u="1"/>
        <n v="9045.7813920695316" u="1"/>
        <n v="5056.1337480678667" u="1"/>
        <n v="8366.2946270813281" u="1"/>
        <n v="17433.552789828824" u="1"/>
        <n v="404.26236244391606" u="1"/>
        <n v="1428.0210418152069" u="1"/>
        <n v="454.46147397001766" u="1"/>
        <n v="613.86361345300111" u="1"/>
        <n v="366.26977750926579" u="1"/>
        <n v="167.67466738470111" u="1"/>
        <n v="283.63869130856261" u="1"/>
        <n v="6833.7327648404926" u="1"/>
        <n v="4768.2934372777036" u="1"/>
        <n v="20912.740589321849" u="1"/>
        <n v="13940.909431961949" u="1"/>
        <n v="5429.5891303634362" u="1"/>
        <n v="8365.6685615229107" u="1"/>
        <n v="3403.5796703969636" u="1"/>
        <n v="13630.044435067746" u="1"/>
        <n v="11182.534788228038" u="1"/>
        <n v="6603.9919038370908" u="1"/>
        <n v="12512.860226629371" u="1"/>
        <n v="5000.7044422845693" u="1"/>
        <n v="7343.3121288586608" u="1"/>
        <n v="7968.0553494985161" u="1"/>
        <n v="8926.432625421523" u="1"/>
        <n v="15200.651840436183" u="1"/>
        <n v="7360.1583591182025" u="1"/>
        <n v="17361.159883337987" u="1"/>
        <n v="17698.073573481404" u="1"/>
        <n v="17270.1017067742" u="1"/>
        <n v="4233.8993193814877" u="1"/>
        <n v="3933.7345725371906" u="1"/>
        <n v="14879.837171443085" u="1"/>
        <n v="13665.212448291237" u="1"/>
        <n v="9327.2060805531164" u="1"/>
        <n v="11173.713678129094" u="1"/>
        <n v="5252.9661454137658" u="1"/>
        <n v="6408.5800796975764" u="1"/>
        <n v="4749.8013256728027" u="1"/>
        <n v="5165.3014705627802" u="1"/>
        <n v="3696.6066500083884" u="1"/>
        <n v="15687.809810538225" u="1"/>
        <n v="11095.945312923035" u="1"/>
        <n v="5293.6942298826216" u="1"/>
        <n v="2751.0941723627734" u="1"/>
        <n v="8211.3008192122379" u="1"/>
        <n v="11373.149246903649" u="1"/>
        <n v="7800.2356871631355" u="1"/>
        <n v="14090.309480167771" u="1"/>
        <n v="5555.3329020062602" u="1"/>
        <n v="4448.2624956388363" u="1"/>
        <n v="3671.0755456119236" u="1"/>
        <n v="5614.993338325251" u="1"/>
        <n v="5322.9430533258437" u="1"/>
        <n v="7304.0837180014405" u="1"/>
        <n v="8877.4107219708312" u="1"/>
        <n v="18094.45176810526" u="1"/>
        <n v="9301.9863918918036" u="1"/>
        <n v="4504.1918722975761" u="1"/>
        <n v="5896.8806361635661" u="1"/>
        <n v="6796.9168489665681" u="1"/>
        <n v="17124.384341660512" u="1"/>
        <n v="8787.4193902253846" u="1"/>
        <n v="30030.13924574828" u="1"/>
        <n v="13723.178626696754" u="1"/>
        <n v="10518.271549785544" u="1"/>
        <n v="10400.467733982841" u="1"/>
        <n v="4707.99844591898" u="1"/>
        <n v="4029.2497267903291" u="1"/>
        <n v="12807.142840953093" u="1"/>
        <n v="5655.4481423480302" u="1"/>
        <n v="4492.7876690670437" u="1"/>
        <n v="10452.686937800434" u="1"/>
        <n v="18884.588276469021" u="1"/>
        <n v="9630.2088744757366" u="1"/>
        <n v="8989.2860499899216" u="1"/>
        <n v="6595.2922067962872" u="1"/>
        <n v="10517.251060230248" u="1"/>
        <n v="7308.4796522775396" u="1"/>
        <n v="5005.4368564787446" u="1"/>
        <n v="39406.350924557817" u="1"/>
        <n v="5870.9242491794184" u="1"/>
        <n v="10925.596728432069" u="1"/>
        <n v="6821.6227218779341" u="1"/>
        <n v="5712.7175095175144" u="1"/>
        <n v="13171.915774677831" u="1"/>
        <n v="2.2071303877216746" u="1"/>
        <n v="11735.433684574287" u="1"/>
        <n v="18199.205768839416" u="1"/>
        <n v="6360.6089853782996" u="1"/>
        <n v="10628.157509350276" u="1"/>
        <n v="1765897.7042000003" u="1"/>
        <n v="4489.7059334523037" u="1"/>
        <n v="6058.3571264456823" u="1"/>
        <n v="14886.367573492862" u="1"/>
        <n v="8793.3317599248894" u="1"/>
        <n v="987.12405944971067" u="1"/>
        <n v="5764.3621900229518" u="1"/>
        <n v="10219.786264732895" u="1"/>
        <n v="850.99372606581733" u="1"/>
        <n v="1463.3417889576644" u="1"/>
        <n v="5172.213313101528" u="1"/>
        <n v="5486.5429667385388" u="1"/>
        <n v="4276.5373328859123" u="1"/>
        <n v="3838.8369614507292" u="1"/>
        <n v="3923.2832835649392" u="1"/>
        <n v="8643.2483666179887" u="1"/>
        <n v="5024.4613235167471" u="1"/>
        <n v="5312.7967947893212" u="1"/>
        <n v="12989.705173306815" u="1"/>
        <n v="4799.2915496746891" u="1"/>
        <n v="7237.5144583735819" u="1"/>
        <n v="12948.101816158569" u="1"/>
        <n v="5322.9946331303436" u="1"/>
        <n v="11494.836686405766" u="1"/>
        <n v="4115.5543275593736" u="1"/>
        <n v="5823.6738286761838" u="1"/>
        <n v="9675.109277410711" u="1"/>
        <n v="15882.466139051925" u="1"/>
        <n v="10835.733895420117" u="1"/>
        <n v="2727.4772107840804" u="1"/>
        <n v="4728.2157694626712" u="1"/>
        <n v="10685.259740088082" u="1"/>
        <n v="4655.3948025461796" u="1"/>
        <n v="5251.2308395079126" u="1"/>
        <n v="5098.6935317038833" u="1"/>
        <n v="6842.0109111380743" u="1"/>
        <n v="2985.092957261747" u="1"/>
        <n v="5965.5617246061674" u="1"/>
        <n v="6679.9293037529742" u="1"/>
        <n v="2063.274982768362" u="1"/>
        <n v="139.78050345590094" u="1"/>
        <n v="6329.0790105321175" u="1"/>
        <n v="2675.4011058503988" u="1"/>
        <n v="6079.7808283267641" u="1"/>
        <n v="16849.189935063529" u="1"/>
        <n v="5518.8369845843645" u="1"/>
        <n v="12606.67405154313" u="1"/>
        <n v="10290.405292816329" u="1"/>
        <n v="14086.566631917687" u="1"/>
        <n v="6538.3513837573601" u="1"/>
        <n v="10610.500794752328" u="1"/>
        <n v="7483.4573545342319" u="1"/>
        <n v="7108.8839150427884" u="1"/>
        <n v="18331.494557291098" u="1"/>
        <n v="13989.832390293543" u="1"/>
        <n v="14790.400207891549" u="1"/>
        <n v="17620.726989819279" u="1"/>
        <n v="3942.6735729085412" u="1"/>
        <n v="6822.8357554501126" u="1"/>
        <n v="11403.710123976152" u="1"/>
        <n v="7067.9750815393763" u="1"/>
        <n v="5324.7023859868932" u="1"/>
        <n v="5631.6840564007161" u="1"/>
        <n v="1674.4129103614798" u="1"/>
        <n v="8242.179604671559" u="1"/>
        <n v="10062.986232981784" u="1"/>
        <n v="8114.2057072580537" u="1"/>
        <n v="3623.3362173628525" u="1"/>
        <n v="9928.8968580889014" u="1"/>
        <n v="1256.9269647636615" u="1"/>
        <n v="12538.294544100554" u="1"/>
        <n v="7103.5221451575253" u="1"/>
        <n v="3899.0363593432016" u="1"/>
        <n v="4546.9377001678722" u="1"/>
        <n v="29009.902423610853" u="1"/>
        <n v="4952.6522541731165" u="1"/>
        <n v="3314.1466897210421" u="1"/>
        <n v="3888.1244666540847" u="1"/>
        <n v="4475.0112986447875" u="1"/>
        <n v="5958.2863896807239" u="1"/>
        <n v="2449.8028402155364" u="1"/>
        <n v="3890.9038928722716" u="1"/>
        <n v="4061.4446621283396" u="1"/>
        <n v="2130.7967668259575" u="1"/>
        <n v="1098.6056095962369" u="1"/>
        <n v="8627.9593769998028" u="1"/>
        <n v="15064.302489452564" u="1"/>
        <n v="4866.2996170525121" u="1"/>
        <n v="3327.2176128799897" u="1"/>
        <n v="9767.0644151302859" u="1"/>
        <n v="3082.4872478802695" u="1"/>
        <n v="6184.6328883943925" u="1"/>
        <n v="9262.5745130500054" u="1"/>
        <n v="10658.454441698723" u="1"/>
        <n v="5860.3021830477255" u="1"/>
        <n v="11409.065383626992" u="1"/>
        <n v="4631.3482159927644" u="1"/>
        <n v="2922.5794669523234" u="1"/>
        <n v="5425.1915532732801" u="1"/>
        <n v="3949.8622033482852" u="1"/>
        <n v="4838.3889104504315" u="1"/>
        <n v="3735.3692139568211" u="1"/>
        <n v="2599.7987892373699" u="1"/>
        <n v="8722.3086534277281" u="1"/>
        <n v="3950.9227797194326" u="1"/>
        <n v="2889.2056379518344" u="1"/>
        <n v="6106.6324381564291" u="1"/>
        <n v="4168.9201987077968" u="1"/>
        <n v="7100.5425292308892" u="1"/>
        <n v="4558.5492950973821" u="1"/>
        <n v="11890.31078962651" u="1"/>
        <n v="3543.3363853582496" u="1"/>
        <n v="5066.236757997528" u="1"/>
        <n v="7956.277185553995" u="1"/>
        <n v="6444.7997590058885" u="1"/>
        <n v="5350.0776522017059" u="1"/>
        <n v="6451.0242829118179" u="1"/>
        <n v="13903.457855111703" u="1"/>
        <n v="599.37597692820145" u="1"/>
        <n v="692.52470694493263" u="1"/>
        <n v="463.90510069919026" u="1"/>
        <n v="397.62647549627712" u="1"/>
        <n v="285.39269735436829" u="1"/>
        <n v="716.09634230535517" u="1"/>
        <n v="232.59099720248179" u="1"/>
        <n v="56.452610023260299" u="1"/>
        <n v="5186.3221747710213" u="1"/>
        <n v="3276.4792131599697" u="1"/>
        <n v="17124.693882252002" u="1"/>
        <n v="13469.549399307056" u="1"/>
        <n v="4112.9468307138513" u="1"/>
        <n v="8132.5854306676556" u="1"/>
        <n v="3323.7753264298362" u="1"/>
        <n v="12005.9226396336" u="1"/>
        <n v="9469.4173851571977" u="1"/>
        <n v="5412.1880998165143" u="1"/>
        <n v="11630.609104856374" u="1"/>
        <n v="3540.6046022192345" u="1"/>
        <n v="4590.7859045124051" u="1"/>
        <n v="7576.5973549184428" u="1"/>
        <n v="7139.1720408875508" u="1"/>
        <n v="13692.163166339469" u="1"/>
        <n v="8465.2387309223213" u="1"/>
        <n v="13928.725258578945" u="1"/>
        <n v="13805.889415722413" u="1"/>
        <n v="13484.752572198782" u="1"/>
        <n v="6472.1106362819892" u="1"/>
        <n v="2632.4218698412083" u="1"/>
        <n v="10338.595083720365" u="1"/>
        <n v="11562.852952359617" u="1"/>
        <n v="7608.8456531634502" u="1"/>
        <n v="9849.6982287977135" u="1"/>
        <n v="4320.5533237266609" u="1"/>
        <n v="6162.2431565011439" u="1"/>
        <n v="3525.9200286830965" u="1"/>
        <n v="5198.6564057212727" u="1"/>
        <n v="3211.6140486257996" u="1"/>
        <n v="16172.318790864363" u="1"/>
        <n v="6917.7403252821887" u="1"/>
        <n v="3299.5914331140857" u="1"/>
        <n v="2489.7710928049714" u="1"/>
        <n v="8055.1529983829341" u="1"/>
        <n v="10613.22370029895" u="1"/>
        <n v="7371.4819143309405" u="1"/>
        <n v="12321.467191789508" u="1"/>
        <n v="4578.558796510355" u="1"/>
        <n v="4087.8938211028849" u="1"/>
        <n v="2829.3102975988013" u="1"/>
        <n v="7815.1313083881432" u="1"/>
        <n v="4428.8568437565818" u="1"/>
        <n v="5579.1519391378124" u="1"/>
        <n v="6000.2960446407897" u="1"/>
        <n v="15986.869140904371" u="1"/>
        <n v="7888.9214124741375" u="1"/>
        <n v="4529.2809086987572" u="1"/>
        <n v="4823.7573065488996" u="1"/>
        <n v="4766.901505871152" u="1"/>
        <n v="13356.547857383081" u="1"/>
        <n v="8117.1039452544273" u="1"/>
        <n v="21051.167328643154" u="1"/>
        <n v="9375.7549384606918" u="1"/>
        <n v="8512.2970726759486" u="1"/>
        <n v="8678.7298840123058" u="1"/>
        <n v="3058.9059951280883" u="1"/>
        <n v="3847.47471088866" u="1"/>
        <n v="589.27875130096083" u="1"/>
        <n v="11101.98946277394" u="1"/>
        <n v="6166.2552364230169" u="1"/>
        <n v="3344.6768779183735" u="1"/>
        <n v="7173.9970603244519" u="1"/>
        <n v="13098.018754608114" u="1"/>
        <n v="8935.5426522580783" u="1"/>
        <n v="6581.1467056441543" u="1"/>
        <n v="6108.6476516295043" u="1"/>
        <n v="8968.5822399049976" u="1"/>
        <n v="4954.2991955217794" u="1"/>
        <n v="4797.2400860326807" u="1"/>
        <n v="15051.209076392886" u="1"/>
        <n v="4857.1614673233962" u="1"/>
        <n v="8810.0346540914397" u="1"/>
        <n v="5158.0483746400923" u="1"/>
        <n v="5044.3844163637668" u="1"/>
        <n v="11490.53223777444" u="1"/>
        <n v="9772.1440255373418" u="1"/>
        <n v="12341.21006951096" u="1"/>
        <n v="4366.1619546426073" u="1"/>
        <n v="8782.2312183974318" u="1"/>
        <n v="1453519.6159999995" u="1"/>
      </sharedItems>
    </cacheField>
    <cacheField name="Monto Ingresos Bs " numFmtId="164">
      <sharedItems containsSemiMixedTypes="0" containsString="0" containsNumber="1" minValue="0" maxValue="4711819.3148833029" count="410">
        <n v="0"/>
        <n v="15353.841417718537"/>
        <n v="22324.721531967094"/>
        <n v="42151.386961551965"/>
        <n v="32162.210869101251"/>
        <n v="14498.61969517264"/>
        <n v="4371.0637297943485"/>
        <n v="35382.820232101018"/>
        <n v="13621.012500042369"/>
        <n v="14473.401336272114"/>
        <n v="15150.119598227771"/>
        <n v="12384.419841974875"/>
        <n v="11290.267254033975"/>
        <n v="29744.15329317073"/>
        <n v="22349.89968361862"/>
        <n v="17717.492914663406"/>
        <n v="1079.4016364470904"/>
        <n v="41233.125569804462"/>
        <n v="17686.950626719681"/>
        <n v="28880.640412615718"/>
        <n v="28062.578058525734"/>
        <n v="10395.796362428377"/>
        <n v="23517.645550363399"/>
        <n v="8313.2577907843643"/>
        <n v="14567.641770409649"/>
        <n v="24410.196369760215"/>
        <n v="66747.561351711047"/>
        <n v="29725.608533056537"/>
        <n v="8589.9372163407097"/>
        <n v="15263.331705777138"/>
        <n v="27392.171050009889"/>
        <n v="16151.28850686795"/>
        <n v="14810.769622077429"/>
        <n v="27201.270850499553"/>
        <n v="17926.35424361267"/>
        <n v="16305.290181840086"/>
        <n v="23225.524442821017"/>
        <n v="16868.37151311589"/>
        <n v="567.95747870787091"/>
        <n v="22160.282377336469"/>
        <n v="6894.6023365137034"/>
        <n v="21574.33761609959"/>
        <n v="52989.882364077326"/>
        <n v="18650.024293457922"/>
        <n v="34385.264059297901"/>
        <n v="13155.668599998282"/>
        <n v="56254.536661717277"/>
        <n v="22182.916616399569"/>
        <n v="36908.13257436276"/>
        <n v="18294.676459931692"/>
        <n v="27408.169221032422"/>
        <n v="58393.584352344027"/>
        <n v="55876.535044764249"/>
        <n v="49508.297954725444"/>
        <n v="50936.700268160486"/>
        <n v="14105.729870419913"/>
        <n v="27229.345258865796"/>
        <n v="36927.908740549472"/>
        <n v="21052.69874335442"/>
        <n v="17511.11900455353"/>
        <n v="18723.70661477805"/>
        <n v="8375.3104069283218"/>
        <n v="32014.715883518864"/>
        <n v="28498.37446656575"/>
        <n v="16893.655098560197"/>
        <n v="41472.560180425309"/>
        <n v="8097.1870681544015"/>
        <n v="44863.167302437105"/>
        <n v="19624.176305381909"/>
        <n v="16414.118001563264"/>
        <n v="16536.359508789588"/>
        <n v="50962.396207794678"/>
        <n v="15768.792557539666"/>
        <n v="8527.4538809146379"/>
        <n v="4813.8627043260358"/>
        <n v="14069.195549047554"/>
        <n v="10417.475919279766"/>
        <n v="7306.274400765481"/>
        <n v="12018.9823601637"/>
        <n v="12486.083566694655"/>
        <n v="6447.628527612058"/>
        <n v="2953.9045030763414"/>
        <n v="23390.018496201632"/>
        <n v="42546.140029487571"/>
        <n v="17354.69999089769"/>
        <n v="10449.199398533914"/>
        <n v="30386.450073077242"/>
        <n v="10528.26954915942"/>
        <n v="12485.152708875978"/>
        <n v="43893.712570407166"/>
        <n v="37555.025883271112"/>
        <n v="28771.732163390567"/>
        <n v="38771.711933981955"/>
        <n v="13369.081745749738"/>
        <n v="12003.426171328048"/>
        <n v="19265.907987947143"/>
        <n v="18075.899978995378"/>
        <n v="23305.294394938428"/>
        <n v="6768.9301486965805"/>
        <n v="4461.4279903962206"/>
        <n v="26187.194311718467"/>
        <n v="13899.826280384212"/>
        <n v="9655.3086479265603"/>
        <n v="18895.736325434955"/>
        <n v="16535.553458441074"/>
        <n v="26015.041851222068"/>
        <n v="13838.283783963392"/>
        <n v="34435.889938102977"/>
        <n v="9563.2612248820369"/>
        <n v="19106.824564857092"/>
        <n v="23568.99786211651"/>
        <n v="25732.510715753389"/>
        <n v="14127.390706578468"/>
        <n v="23414.130036101647"/>
        <n v="42539.450697985063"/>
        <n v="1060.0734717465934"/>
        <n v="5008.7603723061857"/>
        <n v="904.87069845945439"/>
        <n v="1426.8886558404656"/>
        <n v="597.5000101560654"/>
        <n v="310.52478577768335"/>
        <n v="684.32035941053516"/>
        <n v="21151.20176967654"/>
        <n v="16357.286400920037"/>
        <n v="50589.850205642753"/>
        <n v="37508.997961555848"/>
        <n v="14679.118060839122"/>
        <n v="22553.038796817909"/>
        <n v="7055.5520493450022"/>
        <n v="36887.604293449753"/>
        <n v="24376.923843052089"/>
        <n v="17082.084144910325"/>
        <n v="35403.300748257047"/>
        <n v="14037.099588647818"/>
        <n v="23741.014218528733"/>
        <n v="29230.769191015956"/>
        <n v="27111.494877919165"/>
        <n v="41167.76570116177"/>
        <n v="19830.952386161305"/>
        <n v="37964.913354743541"/>
        <n v="48971.366626852978"/>
        <n v="44292.249841940626"/>
        <n v="20819.301150265877"/>
        <n v="15099.443663307258"/>
        <n v="41247.665855426436"/>
        <n v="40786.852209616831"/>
        <n v="35517.560739361186"/>
        <n v="34068.078792673783"/>
        <n v="10159.404305812805"/>
        <n v="14212.911175496223"/>
        <n v="11859.282072964334"/>
        <n v="12940.57287843134"/>
        <n v="6310.7841222187953"/>
        <n v="40779.074032257457"/>
        <n v="32093.972862726801"/>
        <n v="13236.839788726527"/>
        <n v="5202.7337631930932"/>
        <n v="2712.5108708085286"/>
        <n v="27302.273991045149"/>
        <n v="20903.870058439992"/>
        <n v="37988.731751451196"/>
        <n v="17909.722401084331"/>
        <n v="9870.4648796811798"/>
        <n v="10228.943408239182"/>
        <n v="20735.828920091226"/>
        <n v="15569.000669136185"/>
        <n v="19172.449530834881"/>
        <n v="20105.446370462818"/>
        <n v="45742.333581941588"/>
        <n v="27140.866476053438"/>
        <n v="9749.8237982709325"/>
        <n v="17739.319458709237"/>
        <n v="17736.641138838211"/>
        <n v="56758.161545484611"/>
        <n v="21433.105604179986"/>
        <n v="70937.346323467355"/>
        <n v="31715.485272872858"/>
        <n v="27646.120409893865"/>
        <n v="29300.992347667907"/>
        <n v="8322.7293459072589"/>
        <n v="11695.436008588615"/>
        <n v="33906.190603414499"/>
        <n v="10285.603767577555"/>
        <n v="12452.599859749676"/>
        <n v="25208.408216621483"/>
        <n v="42384.712529186472"/>
        <n v="29077.668566788969"/>
        <n v="24566.596053819958"/>
        <n v="15445.215878118113"/>
        <n v="24486.75028287376"/>
        <n v="27488.563162986869"/>
        <n v="14632.935071358103"/>
        <n v="162761.2824986566"/>
        <n v="16962.135536750891"/>
        <n v="28154.276900373465"/>
        <n v="22042.119118701812"/>
        <n v="13257.721182336216"/>
        <n v="44292.633624452428"/>
        <n v="27793.155835956717"/>
        <n v="43546.162247494271"/>
        <n v="16337.195911206752"/>
        <n v="31518.40728732412"/>
        <n v="4711819.3148833029"/>
        <n v="12562.9171631516" u="1"/>
        <n v="15800.102335381482" u="1"/>
        <n v="37711.23534439753" u="1"/>
        <n v="24500.459734416752" u="1"/>
        <n v="5322.41553484817" u="1"/>
        <n v="19177.172737204834" u="1"/>
        <n v="27740.177925541957" u="1"/>
        <n v="3179.4537490166731" u="1"/>
        <n v="7520.172466331127" u="1"/>
        <n v="12988.928177596921" u="1"/>
        <n v="13465.506112462717" u="1"/>
        <n v="11990.569794332148" u="1"/>
        <n v="10864.115730192689" u="1"/>
        <n v="10998.830281039533" u="1"/>
        <n v="24298.980295551341" u="1"/>
        <n v="17447.752025350717" u="1"/>
        <n v="14837.323803279143" u="1"/>
        <n v="38260.116413825526" u="1"/>
        <n v="17642.631292211696" u="1"/>
        <n v="21228.82338762355" u="1"/>
        <n v="25639.883628170595" u="1"/>
        <n v="9786.8868923441769" u="1"/>
        <n v="21560.295567286084" u="1"/>
        <n v="7368.5627492884032" u="1"/>
        <n v="10348.521574638433" u="1"/>
        <n v="25841.847342297035" u="1"/>
        <n v="47168.821785132539" u="1"/>
        <n v="30265.389149924547" u="1"/>
        <n v="5846.4213912576624" u="1"/>
        <n v="14540.035489597507" u="1"/>
        <n v="28817.408947762578" u="1"/>
        <n v="11933.076205070711" u="1"/>
        <n v="13125.057663267051" u="1"/>
        <n v="13489.428657293223" u="1"/>
        <n v="18159.921711666415" u="1"/>
        <n v="12681.605879471497" u="1"/>
        <n v="18021.387445065375" u="1"/>
        <n v="16103.927446418453" u="1"/>
        <n v="3585.3490540918651" u="1"/>
        <n v="946.86872645746939" u="1"/>
        <n v="22731.076984139097" u="1"/>
        <n v="6768.9286579438249" u="1"/>
        <n v="17702.674503426944" u="1"/>
        <n v="43994.127381041581" u="1"/>
        <n v="15868.445807783752" u="1"/>
        <n v="34289.874597010305" u="1"/>
        <n v="20596.55952926608" u="1"/>
        <n v="39901.914877193391" u="1"/>
        <n v="23259.570940955" u="1"/>
        <n v="31504.695075895397" u="1"/>
        <n v="17951.145412467631" u="1"/>
        <n v="20103.383147703466" u="1"/>
        <n v="57149.667132440394" u="1"/>
        <n v="44839.18341067771" u="1"/>
        <n v="38176.73064102928" u="1"/>
        <n v="49195.315972507335" u="1"/>
        <n v="11420.153596590284" u="1"/>
        <n v="22170.01568593612" u="1"/>
        <n v="33892.548499926168" u="1"/>
        <n v="21157.833933001508" u="1"/>
        <n v="17728.440297855683" u="1"/>
        <n v="17532.810463954866" u="1"/>
        <n v="4527.4257630381771" u="1"/>
        <n v="23431.593824743824" u="1"/>
        <n v="27634.936516503789" u="1"/>
        <n v="22905.688108039616" u="1"/>
        <n v="14848.756471462277" u="1"/>
        <n v="22727.868361949491" u="1"/>
        <n v="3291.2324314055882" u="1"/>
        <n v="38764.45040671491" u="1"/>
        <n v="16767.111847798551" u="1"/>
        <n v="12598.705264262426" u="1"/>
        <n v="15292.70965453152" u="1"/>
        <n v="62678.119575182514" u="1"/>
        <n v="15462.736180024607" u="1"/>
        <n v="6938.3113319206486" u="1"/>
        <n v="5025.3715228965029" u="1"/>
        <n v="10538.909855249096" u="1"/>
        <n v="12133.57415285485" u="1"/>
        <n v="4847.5090910634253" u="1"/>
        <n v="8750.3198941020928" u="1"/>
        <n v="11517.955694283608" u="1"/>
        <n v="6336.5862102993788" u="1"/>
        <n v="3704.0468017706553" u="1"/>
        <n v="17908.27237984911" u="1"/>
        <n v="39067.382959551927" u="1"/>
        <n v="15683.423869086304" u="1"/>
        <n v="7426.6303383198647" u="1"/>
        <n v="26579.812434828851" u="1"/>
        <n v="9173.8207026085856" u="1"/>
        <n v="11434.272114032967" u="1"/>
        <n v="24615.02070503791" u="1"/>
        <n v="30274.868944492664" u="1"/>
        <n v="19605.066730950006" u="1"/>
        <n v="27466.587538266038" u="1"/>
        <n v="11773.370649176542" u="1"/>
        <n v="9664.5005616550498" u="1"/>
        <n v="20270.921951726345" u="1"/>
        <n v="18210.287404728882" u="1"/>
        <n v="15564.026179880178" u="1"/>
        <n v="6543.8737665173057" u="1"/>
        <n v="3608.1666834613884" u="1"/>
        <n v="22263.109820754296" u="1"/>
        <n v="11061.026505972304" u="1"/>
        <n v="6154.1781702087228" u="1"/>
        <n v="16372.797463654517" u="1"/>
        <n v="11670.323835923269" u="1"/>
        <n v="19814.497128495095" u="1"/>
        <n v="11956.901405692532" u="1"/>
        <n v="31383.747376542215" u="1"/>
        <n v="9761.6671817071565" u="1"/>
        <n v="17156.894037963633" u="1"/>
        <n v="20201.967126656229" u="1"/>
        <n v="15907.277215711312" u="1"/>
        <n v="13790.528387280903" u="1"/>
        <n v="18476.457982298922" u="1"/>
        <n v="40205.321888499144" u="1"/>
        <n v="2671.8585374573886" u="1"/>
        <n v="2761.0566524882033" u="1"/>
        <n v="1368.9483975620196" u="1"/>
        <n v="1383.950632923501" u="1"/>
        <n v="911.65021388360185" u="1"/>
        <n v="3837.4068505109267" u="1"/>
        <n v="604.77228396311511" u="1"/>
        <n v="185.18208760873512" u="1"/>
        <n v="16814.628140496752" u="1"/>
        <n v="10196.725067304269" u="1"/>
        <n v="45113.291450828285" u="1"/>
        <n v="38591.376333205641" u="1"/>
        <n v="12970.490249882034" u="1"/>
        <n v="25048.944337837591" u="1"/>
        <n v="7028.5462522394109" u="1"/>
        <n v="34552.534538890563" u="1"/>
        <n v="19614.864503045977" u="1"/>
        <n v="14756.047997401281" u="1"/>
        <n v="35623.906749106056" u="1"/>
        <n v="10542.916178355128" u="1"/>
        <n v="14466.907258270701" u="1"/>
        <n v="26004.277707381189" u="1"/>
        <n v="21226.888564050889" u="1"/>
        <n v="39636.354480976835" u="1"/>
        <n v="22533.898151257683" u="1"/>
        <n v="33496.969300112876" u="1"/>
        <n v="35287.550850767715" u="1"/>
        <n v="34886.685164783099" u="1"/>
        <n v="16760.302662157686" u="1"/>
        <n v="10694.020489970173" u="1"/>
        <n v="30489.752848954009" u="1"/>
        <n v="30300.206765103012" u="1"/>
        <n v="28264.274323949183" u="1"/>
        <n v="29632.930822861355" u="1"/>
        <n v="11190.443228384142" u="1"/>
        <n v="15666.831251017155" u="1"/>
        <n v="9999.1786452659799" u="1"/>
        <n v="13735.076274114699" u="1"/>
        <n v="6154.1890233137838" u="1"/>
        <n v="42476.852044931438" u="1"/>
        <n v="20838.530268420225" u="1"/>
        <n v="9653.648080552337" u="1"/>
        <n v="3692.813028695286" u="1"/>
        <n v="2502.0109962928886" u="1"/>
        <n v="24528.781214458289" u="1"/>
        <n v="16585.217600003169" u="1"/>
        <n v="34250.600424236487" u="1"/>
        <n v="17448.35809729611" u="1"/>
        <n v="9512.0753178750019" u="1"/>
        <n v="9035.2544607435429" u="1"/>
        <n v="23415.410805552794" u="1"/>
        <n v="14759.768803749594" u="1"/>
        <n v="15829.059152683529" u="1"/>
        <n v="14248.879236083965" u="1"/>
        <n v="43569.806827606248" u="1"/>
        <n v="26760.473466344138" u="1"/>
        <n v="12325.737677978743" u="1"/>
        <n v="14519.358625378791" u="1"/>
        <n v="12710.072879980165" u="1"/>
        <n v="48982.940931086312" u="1"/>
        <n v="19811.881440915018" u="1"/>
        <n v="55121.095608260366" u="1"/>
        <n v="24245.406121621243" u="1"/>
        <n v="23716.885967370796" u="1"/>
        <n v="25911.724074608748" u="1"/>
        <n v="4407.3861705398594" u="1"/>
        <n v="13000.581319616937" u="1"/>
        <n v="1603.4597218066235" u="1"/>
        <n v="34024.664738009036" u="1"/>
        <n v="9683.8757153787828" u="1"/>
        <n v="10291.441503554874" u="1"/>
        <n v="19074.836341376704" u="1"/>
        <n v="33072.083387507817" u="1"/>
        <n v="25668.567297300458" u="1"/>
        <n v="21384.402804784942" u="1"/>
        <n v="17634.817353194936" u="1"/>
        <n v="22892.34680324018" u="1"/>
        <n v="17158.881786073351" u="1"/>
        <n v="13487.561298474775" u="1"/>
        <n v="42264.515401258024" u="1"/>
        <n v="14388.768697389571" u="1"/>
        <n v="25361.717617987091" u="1"/>
        <n v="16371.017628727457" u="1"/>
        <n v="14010.814683532504" u="1"/>
        <n v="37061.503876823219" u="1"/>
        <n v="26886.891363331164" u="1"/>
        <n v="37457.907750696497" u="1"/>
        <n v="14690.948581220013" u="1"/>
        <n v="25007.888983766359" u="1"/>
        <n v="4000819.7578066289" u="1"/>
      </sharedItems>
    </cacheField>
    <cacheField name="Factor de ingresos en bs " numFmtId="165">
      <sharedItems containsSemiMixedTypes="0" containsString="0" containsNumber="1" minValue="0" maxValue="0.99999999999999989" count="410">
        <n v="0"/>
        <n v="3.2585802620274718E-3"/>
        <n v="4.7380258112720113E-3"/>
        <n v="8.945883563151005E-3"/>
        <n v="6.8258582767615761E-3"/>
        <n v="3.0770746342873561E-3"/>
        <n v="9.2768067654619012E-4"/>
        <n v="7.509375438132084E-3"/>
        <n v="2.8908180874036168E-3"/>
        <n v="3.0717224853157544E-3"/>
        <n v="3.2153439225423679E-3"/>
        <n v="2.6283732491303308E-3"/>
        <n v="2.3961587869830276E-3"/>
        <n v="6.3126684843829587E-3"/>
        <n v="4.7433694269688178E-3"/>
        <n v="3.760223330020076E-3"/>
        <n v="2.2908383456843651E-4"/>
        <n v="8.7509988847748674E-3"/>
        <n v="3.7537412716255082E-3"/>
        <n v="6.12940320554949E-3"/>
        <n v="5.9557839940687024E-3"/>
        <n v="2.2063232199059503E-3"/>
        <n v="4.9912027560305248E-3"/>
        <n v="1.7643413796715713E-3"/>
        <n v="3.0917233443979045E-3"/>
        <n v="5.1806308218685969E-3"/>
        <n v="1.4165984918155584E-2"/>
        <n v="6.3087326882764281E-3"/>
        <n v="1.8230616758175618E-3"/>
        <n v="3.2393711824994214E-3"/>
        <n v="5.813502008340128E-3"/>
        <n v="3.4278242495102908E-3"/>
        <n v="3.1433229146318074E-3"/>
        <n v="5.7729868300718671E-3"/>
        <n v="3.8045504391453198E-3"/>
        <n v="3.4605083710099603E-3"/>
        <n v="4.9292052370213269E-3"/>
        <n v="3.5800123871120187E-3"/>
        <n v="1.2053889182759069E-4"/>
        <n v="4.7031265200128559E-3"/>
        <n v="1.4632569450903194E-3"/>
        <n v="4.5787701467992136E-3"/>
        <n v="1.1246161795019876E-2"/>
        <n v="3.9581365598098757E-3"/>
        <n v="7.2976618502081751E-3"/>
        <n v="2.7920571059342728E-3"/>
        <n v="1.193902671183191E-2"/>
        <n v="4.7079302354252036E-3"/>
        <n v="7.8330959036948689E-3"/>
        <n v="3.8827202906834713E-3"/>
        <n v="5.8168973361219043E-3"/>
        <n v="1.239300160935612E-2"/>
        <n v="1.1858802579348937E-2"/>
        <n v="1.0507257313187445E-2"/>
        <n v="1.0810410345588991E-2"/>
        <n v="2.993690744011322E-3"/>
        <n v="5.7789451248387233E-3"/>
        <n v="7.8372930438789668E-3"/>
        <n v="4.4680615567865489E-3"/>
        <n v="3.7164241313839995E-3"/>
        <n v="3.9737743244175686E-3"/>
        <n v="1.7775109458193967E-3"/>
        <n v="6.7945550845707183E-3"/>
        <n v="6.0482740449209196E-3"/>
        <n v="3.5853783792595623E-3"/>
        <n v="8.8018146301631801E-3"/>
        <n v="1.7184842047269684E-3"/>
        <n v="9.5214107978901195E-3"/>
        <n v="4.1648830300845142E-3"/>
        <n v="3.4836051437107771E-3"/>
        <n v="3.5095487334490757E-3"/>
        <n v="1.0815863852592755E-2"/>
        <n v="3.3466462747691779E-3"/>
        <n v="1.8098006971487268E-3"/>
        <n v="1.0216568978187273E-3"/>
        <n v="2.98593698289893E-3"/>
        <n v="2.2109243209674678E-3"/>
        <n v="1.5506270322563154E-3"/>
        <n v="2.5508156312783765E-3"/>
        <n v="2.6499495698518519E-3"/>
        <n v="1.3683946893391743E-3"/>
        <n v="6.269137897002531E-4"/>
        <n v="4.9641161795655423E-3"/>
        <n v="9.0296628937141885E-3"/>
        <n v="3.6832269726640638E-3"/>
        <n v="2.2176570662478189E-3"/>
        <n v="6.4489845731340017E-3"/>
        <n v="2.2344383019746953E-3"/>
        <n v="2.6497520118054859E-3"/>
        <n v="9.3156612418815298E-3"/>
        <n v="7.9703875241237329E-3"/>
        <n v="6.1062893631147553E-3"/>
        <n v="8.2286075383903399E-3"/>
        <n v="2.8373502573667444E-3"/>
        <n v="2.5475141063691946E-3"/>
        <n v="4.0888469400962796E-3"/>
        <n v="3.8362888665740488E-3"/>
        <n v="4.9461349931911869E-3"/>
        <n v="1.4365852543019736E-3"/>
        <n v="9.4685888660964417E-4"/>
        <n v="5.5577670877574904E-3"/>
        <n v="2.9499913624613312E-3"/>
        <n v="2.0491678484843793E-3"/>
        <n v="4.0102845764371049E-3"/>
        <n v="3.5093776635725278E-3"/>
        <n v="5.5212307842637167E-3"/>
        <n v="2.9369300601685155E-3"/>
        <n v="7.3084062942162815E-3"/>
        <n v="2.0296324170738897E-3"/>
        <n v="4.0550843077755642E-3"/>
        <n v="5.0021013725353855E-3"/>
        <n v="5.4612685665750543E-3"/>
        <n v="2.9982878719381368E-3"/>
        <n v="4.9692334258537975E-3"/>
        <n v="9.0282432018594146E-3"/>
        <n v="2.249817747463536E-4"/>
        <n v="1.0630204678020929E-3"/>
        <n v="1.920427414525901E-4"/>
        <n v="3.0283178544926974E-4"/>
        <n v="1.268087696547981E-4"/>
        <n v="6.5903372991579594E-5"/>
        <n v="1.4523484745031733E-4"/>
        <n v="4.4889670753854851E-3"/>
        <n v="3.4715436454135669E-3"/>
        <n v="1.0736797577497029E-2"/>
        <n v="7.9606189148797666E-3"/>
        <n v="3.1153822079874635E-3"/>
        <n v="4.7864820973884219E-3"/>
        <n v="1.4974156642761133E-3"/>
        <n v="7.8287391405125108E-3"/>
        <n v="5.1735693187665941E-3"/>
        <n v="3.6253690991402956E-3"/>
        <n v="7.5137220640927472E-3"/>
        <n v="2.9791251851081376E-3"/>
        <n v="5.0386087903535673E-3"/>
        <n v="6.2037118228800148E-3"/>
        <n v="5.7539334736970132E-3"/>
        <n v="8.7371274129982995E-3"/>
        <n v="4.208767582305404E-3"/>
        <n v="8.0573788631544355E-3"/>
        <n v="1.0393303171063096E-2"/>
        <n v="9.4002437024768657E-3"/>
        <n v="4.418527061193455E-3"/>
        <n v="3.2045888550124137E-3"/>
        <n v="8.7540848022624167E-3"/>
        <n v="8.6562852868281078E-3"/>
        <n v="7.5379717187310791E-3"/>
        <n v="7.2303449084013833E-3"/>
        <n v="2.1561532025903716E-3"/>
        <n v="3.0164380732091447E-3"/>
        <n v="2.5169220805017333E-3"/>
        <n v="2.7464068576559661E-3"/>
        <n v="1.3393518937122261E-3"/>
        <n v="8.6546345067706459E-3"/>
        <n v="6.8113759713474224E-3"/>
        <n v="2.8092842496984338E-3"/>
        <n v="1.1041878763812377E-3"/>
        <n v="5.7568227674615507E-4"/>
        <n v="5.7944229535298597E-3"/>
        <n v="4.4364753105898156E-3"/>
        <n v="8.0624338950043249E-3"/>
        <n v="3.8010206258360948E-3"/>
        <n v="2.0948309389757745E-3"/>
        <n v="2.1709116425430081E-3"/>
        <n v="4.4008115622330033E-3"/>
        <n v="3.3042439933887364E-3"/>
        <n v="4.0690120417551968E-3"/>
        <n v="4.2670240573434992E-3"/>
        <n v="9.7079982327536434E-3"/>
        <n v="5.7601670739629435E-3"/>
        <n v="2.0692270112043559E-3"/>
        <n v="3.7648556265041299E-3"/>
        <n v="3.7642872006600899E-3"/>
        <n v="1.2045912152488882E-2"/>
        <n v="4.548796159580838E-3"/>
        <n v="1.5055192396575217E-2"/>
        <n v="6.7310486997437741E-3"/>
        <n v="5.8673982515771777E-3"/>
        <n v="6.2186154411979187E-3"/>
        <n v="1.7663515490965694E-3"/>
        <n v="2.4821486621199682E-3"/>
        <n v="7.1959870142546522E-3"/>
        <n v="2.1829367979133338E-3"/>
        <n v="2.6428432474936889E-3"/>
        <n v="5.3500371155989065E-3"/>
        <n v="8.9954027726201567E-3"/>
        <n v="6.1712189334045238E-3"/>
        <n v="5.2138238782249218E-3"/>
        <n v="3.2779728690637711E-3"/>
        <n v="5.1968780308546741E-3"/>
        <n v="5.8339595230568969E-3"/>
        <n v="3.1055806883631561E-3"/>
        <n v="3.454319268664225E-2"/>
        <n v="3.5999121365227881E-3"/>
        <n v="5.9752454453085831E-3"/>
        <n v="4.6780484661364244E-3"/>
        <n v="2.8137159547818036E-3"/>
        <n v="9.4003251535016517E-3"/>
        <n v="5.8986039104186377E-3"/>
        <n v="9.2418998559525133E-3"/>
        <n v="3.467279795641182E-3"/>
        <n v="6.6892223960639575E-3"/>
        <n v="0.99999999999999956"/>
        <n v="3.140085763333406E-3" u="1"/>
        <n v="3.9492162336359736E-3" u="1"/>
        <n v="9.4258771020147066E-3" u="1"/>
        <n v="6.1238599131115696E-3" u="1"/>
        <n v="1.3303312463558918E-3" u="1"/>
        <n v="4.7933108458048466E-3" u="1"/>
        <n v="6.9336235083856832E-3" u="1"/>
        <n v="7.9470057175476112E-4" u="1"/>
        <n v="1.8796579005233452E-3" u="1"/>
        <n v="3.246566694801029E-3" u="1"/>
        <n v="3.3656867661153817E-3" u="1"/>
        <n v="2.9970282392590823E-3" u="1"/>
        <n v="2.715472425118378E-3" u="1"/>
        <n v="2.7491441621627626E-3" u="1"/>
        <n v="6.073500374051537E-3" u="1"/>
        <n v="4.3610442563191366E-3" u="1"/>
        <n v="3.7085709183293514E-3" u="1"/>
        <n v="9.5630692532874522E-3" u="1"/>
        <n v="4.4097540904676803E-3" u="1"/>
        <n v="5.3061184139077131E-3" u="1"/>
        <n v="6.4086575202845827E-3" u="1"/>
        <n v="2.4462203960194514E-3" u="1"/>
        <n v="5.3889694793714214E-3" u="1"/>
        <n v="1.8417632373741509E-3" u="1"/>
        <n v="2.5866002972130407E-3" u="1"/>
        <n v="6.459138103353179E-3" u="1"/>
        <n v="1.1789789253338401E-2" u="1"/>
        <n v="7.5647969621398178E-3" u="1"/>
        <n v="1.4613058685910031E-3" u="1"/>
        <n v="3.6342640683140388E-3" u="1"/>
        <n v="7.2028760834657443E-3" u="1"/>
        <n v="2.9826577870163255E-3" u="1"/>
        <n v="3.2805920930720975E-3" u="1"/>
        <n v="3.3716661769058395E-3" u="1"/>
        <n v="4.5390501974580917E-3" u="1"/>
        <n v="3.1697518626592515E-3" u="1"/>
        <n v="4.5044237271376726E-3" u="1"/>
        <n v="4.025156948146826E-3" u="1"/>
        <n v="8.9615360629429169E-4" u="1"/>
        <n v="2.3666867886509629E-4" u="1"/>
        <n v="5.6816048610500176E-3" u="1"/>
        <n v="1.6918854304135804E-3" u="1"/>
        <n v="4.4247618175961238E-3" u="1"/>
        <n v="1.0996278274020646E-2" u="1"/>
        <n v="3.9662986008855636E-3" u="1"/>
        <n v="8.5707121721996932E-3" u="1"/>
        <n v="5.1480848366330153E-3" u="1"/>
        <n v="9.9734347690456394E-3" u="1"/>
        <n v="5.8137012784866384E-3" u="1"/>
        <n v="7.8745599609734047E-3" u="1"/>
        <n v="4.4868668170917536E-3" u="1"/>
        <n v="5.0248160038893512E-3" u="1"/>
        <n v="1.4284489327700076E-2" u="1"/>
        <n v="1.1207498993971153E-2" u="1"/>
        <n v="9.5422270814716544E-3" u="1"/>
        <n v="1.2296308994304133E-2" u="1"/>
        <n v="2.854453409031143E-3" u="1"/>
        <n v="5.5413682765080114E-3" u="1"/>
        <n v="8.4714010007056889E-3" u="1"/>
        <n v="5.2883746866419388E-3" u="1"/>
        <n v="4.4312019463668495E-3" u="1"/>
        <n v="4.3823045089056659E-3" u="1"/>
        <n v="1.1316245262496527E-3" u="1"/>
        <n v="5.8566981876708533E-3" u="1"/>
        <n v="6.9073185470504925E-3" u="1"/>
        <n v="5.7252486976811998E-3" u="1"/>
        <n v="3.7114284997439668E-3" u="1"/>
        <n v="5.6808028698622504E-3" u="1"/>
        <n v="8.226395165599617E-4" u="1"/>
        <n v="9.6891269173212547E-3" u="1"/>
        <n v="4.1909190772919979E-3" u="1"/>
        <n v="3.1490309553883575E-3" u="1"/>
        <n v="3.8223940542913754E-3" u="1"/>
        <n v="1.5666319246919677E-2" u="1"/>
        <n v="3.8648919761638425E-3" u="1"/>
        <n v="1.7342224223878663E-3" u="1"/>
        <n v="1.2560854592588706E-3" u="1"/>
        <n v="2.6341876148469252E-3" u="1"/>
        <n v="3.0327720035822968E-3" u="1"/>
        <n v="1.2116289621907329E-3" u="1"/>
        <n v="2.1871317439452168E-3" u="1"/>
        <n v="2.878898923604122E-3" u="1"/>
        <n v="1.5838219649698211E-3" u="1"/>
        <n v="9.2582196299723497E-4" u="1"/>
        <n v="4.4761507550809959E-3" u="1"/>
        <n v="9.7648445380028454E-3" u="1"/>
        <n v="3.9200525938425266E-3" u="1"/>
        <n v="1.8562771601566398E-3" u="1"/>
        <n v="6.6435915746928609E-3" u="1"/>
        <n v="2.2929852525118387E-3" u="1"/>
        <n v="2.8579823151797228E-3" u="1"/>
        <n v="6.1524942874538824E-3" u="1"/>
        <n v="7.5671664251853897E-3" u="1"/>
        <n v="4.9002624256430137E-3" u="1"/>
        <n v="6.8652399260605672E-3" u="1"/>
        <n v="2.9427395788584744E-3" u="1"/>
        <n v="2.4156300825092462E-3" u="1"/>
        <n v="5.0666921228262182E-3" u="1"/>
        <n v="4.5516390407730626E-3" u="1"/>
        <n v="3.8902092876118097E-3" u="1"/>
        <n v="1.6356332358508589E-3" u="1"/>
        <n v="9.0185684481809681E-4" u="1"/>
        <n v="5.5646370415246126E-3" u="1"/>
        <n v="2.7646900324338267E-3" u="1"/>
        <n v="1.5382292986831855E-3" u="1"/>
        <n v="4.0923606797599356E-3" u="1"/>
        <n v="2.9169831540527325E-3" u="1"/>
        <n v="4.9526092970901556E-3" u="1"/>
        <n v="2.9886128667410074E-3" u="1"/>
        <n v="7.8443292316042103E-3" u="1"/>
        <n v="2.4399167602238594E-3" u="1"/>
        <n v="4.2883446584880804E-3" u="1"/>
        <n v="5.0494569487258183E-3" u="1"/>
        <n v="3.9760044637532398E-3" u="1"/>
        <n v="3.4469256857602827E-3" u="1"/>
        <n v="4.6181680507467494E-3" u="1"/>
        <n v="1.0049270980040581E-2" u="1"/>
        <n v="6.6782777010733984E-4" u="1"/>
        <n v="6.9012272974824007E-4" u="1"/>
        <n v="3.4216697587809326E-4" u="1"/>
        <n v="3.4591676623848329E-4" u="1"/>
        <n v="2.2786585476757299E-4" u="1"/>
        <n v="9.5915514389848693E-4" u="1"/>
        <n v="1.5116209191455045E-4" u="1"/>
        <n v="4.6286036067332752E-5" u="1"/>
        <n v="4.2027957164746266E-3" u="1"/>
        <n v="2.5486589460592007E-3" u="1"/>
        <n v="1.1276011962998494E-2" u="1"/>
        <n v="9.6458672645534545E-3" u="1"/>
        <n v="3.2419581573434469E-3" u="1"/>
        <n v="6.2609529681912452E-3" u="1"/>
        <n v="1.7567765302410607E-3" u="1"/>
        <n v="8.6363637030810181E-3" u="1"/>
        <n v="4.9027113667823525E-3" u="1"/>
        <n v="3.6882561301614337E-3" u="1"/>
        <n v="8.9041518752737223E-3" u="1"/>
        <n v="2.635188990402076E-3" u="1"/>
        <n v="3.6159857564295522E-3" u="1"/>
        <n v="6.4997373742319061E-3" u="1"/>
        <n v="5.3056348071246562E-3" u="1"/>
        <n v="9.9070582731541727E-3" u="1"/>
        <n v="5.6323202531901742E-3" u="1"/>
        <n v="8.3725264640456924E-3" u="1"/>
        <n v="8.8200801303064506E-3" u="1"/>
        <n v="8.7198842429005198E-3" u="1"/>
        <n v="4.1892171296779926E-3" u="1"/>
        <n v="2.6729573280834225E-3" u="1"/>
        <n v="7.6208763940091668E-3" u="1"/>
        <n v="7.5734995824242044E-3" u="1"/>
        <n v="7.0646207614822711E-3" u="1"/>
        <n v="7.4067147776502255E-3" u="1"/>
        <n v="2.7970375837473574E-3" u="1"/>
        <n v="3.9159052892715641E-3" u="1"/>
        <n v="2.4992824597396593E-3" u="1"/>
        <n v="3.4330654979680179E-3" u="1"/>
        <n v="1.5382320114035073E-3" u="1"/>
        <n v="1.0617037161458766E-2" u="1"/>
        <n v="5.2085651266240846E-3" u="1"/>
        <n v="2.4129175181450213E-3" u="1"/>
        <n v="9.2301409517128524E-4" u="1"/>
        <n v="6.2537458514866145E-4" u="1"/>
        <n v="6.1309388323721216E-3" u="1"/>
        <n v="4.1454548327604967E-3" u="1"/>
        <n v="8.560895640800802E-3" u="1"/>
        <n v="4.3611957432598339E-3" u="1"/>
        <n v="2.37753157945056E-3" u="1"/>
        <n v="2.2583507900133309E-3" u="1"/>
        <n v="5.8526532618379777E-3" u="1"/>
        <n v="3.6891861411525689E-3" u="1"/>
        <n v="3.9564539546669058E-3" u="1"/>
        <n v="3.5614899192298616E-3" u="1"/>
        <n v="1.0890219871212728E-2" u="1"/>
        <n v="6.6887475783250589E-3" u="1"/>
        <n v="3.0808030414087154E-3" u="1"/>
        <n v="3.6290959114186E-3" u="1"/>
        <n v="3.1768671545823932E-3" u="1"/>
        <n v="1.2243226112725521E-2" u="1"/>
        <n v="4.9519555091820716E-3" u="1"/>
        <n v="1.3777450358943295E-2" u="1"/>
        <n v="6.0601095748720538E-3" u="1"/>
        <n v="5.9280066094187442E-3" u="1"/>
        <n v="6.4766037070398651E-3" u="1"/>
        <n v="1.1016207770769765E-3" u="1"/>
        <n v="3.2494793833812326E-3" u="1"/>
        <n v="4.0078279424556951E-4" u="1"/>
        <n v="8.5044232926560007E-3" u="1"/>
        <n v="2.4204728784602328E-3" u="1"/>
        <n v="2.5723332033325478E-3" u="1"/>
        <n v="4.7677319889647086E-3" u="1"/>
        <n v="8.266326750405506E-3" u="1"/>
        <n v="6.4158269682643111E-3" u="1"/>
        <n v="5.3450052987412061E-3" u="1"/>
        <n v="4.4078010059775546E-3" u="1"/>
        <n v="5.7219140548812079E-3" u="1"/>
        <n v="4.2888414936943751E-3" u="1"/>
        <n v="3.3711994328554972E-3" u="1"/>
        <n v="1.0563963877350155E-2" u="1"/>
        <n v="3.5964551188074345E-3" u="1"/>
        <n v="6.339130266615949E-3" u="1"/>
        <n v="4.0919158121990847E-3" u="1"/>
        <n v="3.5019859757975348E-3" u="1"/>
        <n v="9.2634775172029896E-3" u="1"/>
        <n v="6.7203455768953153E-3" u="1"/>
        <n v="9.3625581801345791E-3" u="1"/>
        <n v="3.6719846107923738E-3" u="1"/>
        <n v="6.2506912327078799E-3" u="1"/>
        <n v="0.99999999999999989" u="1"/>
      </sharedItems>
    </cacheField>
    <cacheField name="Gasto Aplicado Factor Ingreso Bs" numFmtId="164">
      <sharedItems containsSemiMixedTypes="0" containsString="0" containsNumber="1" minValue="0" maxValue="1359584.9928000006" count="203">
        <n v="0"/>
        <n v="4430.316822086842"/>
        <n v="6441.7487885044711"/>
        <n v="12162.689039796296"/>
        <n v="9280.3344760647069"/>
        <n v="4183.5444945026375"/>
        <n v="1261.2607259427509"/>
        <n v="10209.634150985305"/>
        <n v="3930.3128885487558"/>
        <n v="4176.267793081618"/>
        <n v="4371.5333437792888"/>
        <n v="3573.4968249945732"/>
        <n v="3257.7815271479762"/>
        <n v="8582.6093358885919"/>
        <n v="6449.0138882131396"/>
        <n v="5112.343209071737"/>
        <n v="311.45894357232413"/>
        <n v="11897.726755749445"/>
        <n v="5103.5302997560293"/>
        <n v="8333.4446130852994"/>
        <n v="8097.3945386942514"/>
        <n v="2999.6839390503042"/>
        <n v="6785.9643631211011"/>
        <n v="2398.772061977515"/>
        <n v="4203.4606609328166"/>
        <n v="7043.5079186496741"/>
        <n v="19259.860502955467"/>
        <n v="8577.2582865674322"/>
        <n v="2478.6072953903754"/>
        <n v="4404.2004458350029"/>
        <n v="7903.9500861518982"/>
        <n v="4660.4184075901139"/>
        <n v="4273.6146622577608"/>
        <n v="7848.8662577977539"/>
        <n v="5172.6096814126258"/>
        <n v="4704.8552486839162"/>
        <n v="6701.6734666853627"/>
        <n v="4867.3311155556048"/>
        <n v="163.88286837753486"/>
        <n v="6394.3002358491676"/>
        <n v="1989.4221831551718"/>
        <n v="6225.2271770688631"/>
        <n v="15290.112803109732"/>
        <n v="5381.423066170526"/>
        <n v="9921.7915340721156"/>
        <n v="3796.038940268837"/>
        <n v="16232.121546044993"/>
        <n v="6400.8312952334772"/>
        <n v="10649.759637826697"/>
        <n v="5278.8882384533008"/>
        <n v="7908.5663228496378"/>
        <n v="16849.339003826826"/>
        <n v="16123.050019460745"/>
        <n v="14285.509358497698"/>
        <n v="14697.671671872653"/>
        <n v="4070.1770086420597"/>
        <n v="7856.9670659454505"/>
        <n v="10655.466006633675"/>
        <n v="6074.7094395135964"/>
        <n v="5052.7944759094607"/>
        <n v="5402.6839362520841"/>
        <n v="2416.6772064737856"/>
        <n v="9237.7751257352829"/>
        <n v="8223.1426238162348"/>
        <n v="4874.626637950887"/>
        <n v="11966.81508057734"/>
        <n v="2336.425335110629"/>
        <n v="12945.16723109528"/>
        <n v="5662.5124644702955"/>
        <n v="4736.257274230059"/>
        <n v="4771.5297894976102"/>
        <n v="14705.0861781531"/>
        <n v="4550.0500513861989"/>
        <n v="2460.5778678023867"/>
        <n v="1389.0293860649444"/>
        <n v="4059.6351113958954"/>
        <n v="3005.9395270038995"/>
        <n v="2108.2092424856878"/>
        <n v="3468.0506516857386"/>
        <n v="3602.8316668473926"/>
        <n v="1860.4488838527593"/>
        <n v="852.34258025583927"/>
        <n v="6749.1378602529812"/>
        <n v="12276.594160336832"/>
        <n v="5007.6601171102366"/>
        <n v="3015.0932664474099"/>
        <n v="8767.9426444317014"/>
        <n v="3037.90878270231"/>
        <n v="3602.5630698923469"/>
        <n v="12665.433222470738"/>
        <n v="10836.419264598975"/>
        <n v="8302.0193797850898"/>
        <n v="11187.491320836454"/>
        <n v="3857.618829233043"/>
        <n v="3463.5619479658594"/>
        <n v="5559.134937611102"/>
        <n v="5215.7607710397979"/>
        <n v="6724.6909091056677"/>
        <n v="1953.1597526267346"/>
        <n v="1287.335132533789"/>
        <n v="7556.2567259928437"/>
        <n v="4010.7639852920511"/>
        <n v="2786.0178545276262"/>
        <n v="5452.3227269811923"/>
        <n v="4771.2972054607353"/>
        <n v="7506.5825160703234"/>
        <n v="3993.0060347083145"/>
        <n v="9936.3995189015168"/>
        <n v="2759.4577751540505"/>
        <n v="5513.2317693904333"/>
        <n v="6800.7819585633915"/>
        <n v="7425.0587847658107"/>
        <n v="4076.4271947813386"/>
        <n v="6756.0951915109545"/>
        <n v="12274.66396859668"/>
        <n v="305.88184459865238"/>
        <n v="1445.266675062961"/>
        <n v="261.09842925511197"/>
        <n v="411.72555083965653"/>
        <n v="172.40730017809551"/>
        <n v="89.601236894252452"/>
        <n v="197.45911902504878"/>
        <n v="6103.1322688674118"/>
        <n v="4719.8586421544896"/>
        <n v="14597.588857096354"/>
        <n v="10823.13801007035"/>
        <n v="4235.6268968158829"/>
        <n v="6507.6292279151658"/>
        <n v="2035.8638651334466"/>
        <n v="10643.836247986779"/>
        <n v="7033.9072050055802"/>
        <n v="4928.9974205520011"/>
        <n v="10215.543758410739"/>
        <n v="4050.3738933455456"/>
        <n v="6850.4168959548706"/>
        <n v="8434.4734940435992"/>
        <n v="7822.9616004080317"/>
        <n v="11878.867310893975"/>
        <n v="5722.1772430855654"/>
        <n v="10954.691383648695"/>
        <n v="14130.579016998036"/>
        <n v="12780.430266550255"/>
        <n v="6007.3630826793078"/>
        <n v="4356.9109153690124"/>
        <n v="11901.922322854536"/>
        <n v="11768.955569366937"/>
        <n v="10248.513224937597"/>
        <n v="9830.2684302304115"/>
        <n v="2931.4735364195271"/>
        <n v="4101.1039360457007"/>
        <n v="3421.9694886971097"/>
        <n v="3733.9735477920572"/>
        <n v="1820.9627347694031"/>
        <n v="11766.7111935744"/>
        <n v="9260.6445509624773"/>
        <n v="3819.4607063993981"/>
        <n v="1501.2372659596322"/>
        <n v="782.68898408500877"/>
        <n v="7878.0104895550485"/>
        <n v="6031.7652532056318"/>
        <n v="10961.564129089929"/>
        <n v="5167.8106002100176"/>
        <n v="2848.1007070845953"/>
        <n v="2951.5388898962715"/>
        <n v="5983.2773561527138"/>
        <n v="4492.4005459608679"/>
        <n v="5532.1677074928521"/>
        <n v="5801.3818722807873"/>
        <n v="13198.848707380774"/>
        <n v="7831.4367097807053"/>
        <n v="2813.2899911298396"/>
        <n v="5118.6412098536566"/>
        <n v="5117.8683866065803"/>
        <n v="16377.441387111026"/>
        <n v="6184.4749938723808"/>
        <n v="20468.813646100331"/>
        <n v="9151.4327979775881"/>
        <n v="7977.2266096252888"/>
        <n v="8454.7362298470398"/>
        <n v="2401.5050581607279"/>
        <n v="3374.6920709169062"/>
        <n v="9783.5559529643033"/>
        <n v="2967.888110673855"/>
        <n v="3593.1700176152353"/>
        <n v="7273.8301732912714"/>
        <n v="12230.014613845875"/>
        <n v="8390.296649140013"/>
        <n v="7088.6366999368975"/>
        <n v="4456.6827195846627"/>
        <n v="7065.5973801620294"/>
        <n v="7931.7638161508021"/>
        <n v="4222.3008978280404"/>
        <n v="46964.40638015751"/>
        <n v="4894.3865162149668"/>
        <n v="8123.8540357381025"/>
        <n v="6360.2044901501413"/>
        <n v="3825.485986123263"/>
        <n v="12780.5410061412"/>
        <n v="8019.6533550765744"/>
        <n v="12565.148349113519"/>
        <n v="4714.0615759924012"/>
        <n v="9094.5663831902129"/>
        <n v="1359584.9928000006"/>
      </sharedItems>
    </cacheField>
    <cacheField name="Gasto aplicado" numFmtId="164">
      <sharedItems containsSemiMixedTypes="0" containsString="0" containsNumber="1" minValue="0" maxValue="3351856.1560000004" count="618">
        <n v="0"/>
        <n v="11050.401854659833"/>
        <n v="14117.06145959388"/>
        <n v="28189.081393257737"/>
        <n v="20622.869142302814"/>
        <n v="6788.954926802121"/>
        <n v="2811.5004020283727"/>
        <n v="22821.8169910754"/>
        <n v="9338.5261263983848"/>
        <n v="10142.769777577367"/>
        <n v="10461.864057177911"/>
        <n v="8022.0426707421939"/>
        <n v="7637.9475664429974"/>
        <n v="19285.14558015464"/>
        <n v="12980.333278891474"/>
        <n v="11668.661293386762"/>
        <n v="676.4869670578355"/>
        <n v="28010.278409394028"/>
        <n v="10291.398750896342"/>
        <n v="17639.347930349824"/>
        <n v="24752.378120997735"/>
        <n v="9586.2919842695737"/>
        <n v="21822.573110704241"/>
        <n v="7089.4800228934855"/>
        <n v="12194.539259609839"/>
        <n v="16945.491398208516"/>
        <n v="42104.665046051552"/>
        <n v="20089.15973908719"/>
        <n v="5948.7193069184068"/>
        <n v="9933.7441742092906"/>
        <n v="18051.538138521333"/>
        <n v="11079.089137661917"/>
        <n v="10469.664774349189"/>
        <n v="16793.053665174994"/>
        <n v="11255.373835441376"/>
        <n v="8715.5793595655596"/>
        <n v="13936.468693977858"/>
        <n v="12867.027248277958"/>
        <n v="791.99373047066456"/>
        <n v="339.31705533462946"/>
        <n v="13014.2631467015"/>
        <n v="4803.6952645784531"/>
        <n v="14347.118087813506"/>
        <n v="36480.649643779281"/>
        <n v="12972.044054399659"/>
        <n v="23371.850016878536"/>
        <n v="11139.901938950445"/>
        <n v="34343.392089631787"/>
        <n v="13245.798354293984"/>
        <n v="24408.453271988707"/>
        <n v="14599.218363402108"/>
        <n v="17282.000660170532"/>
        <n v="37790.402735943098"/>
        <n v="33395.869492488513"/>
        <n v="34752.976835581248"/>
        <n v="34901.703457007767"/>
        <n v="8859.3463481950766"/>
        <n v="17320.921904632567"/>
        <n v="25746.409619248509"/>
        <n v="13838.012562635078"/>
        <n v="10529.21673851183"/>
        <n v="12182.758397508034"/>
        <n v="6216.1120045042626"/>
        <n v="22227.189130300161"/>
        <n v="0.92467439703059306"/>
        <n v="17712.072971884023"/>
        <n v="9458.6010237654118"/>
        <n v="27345.918641886281"/>
        <n v="5197.6495004001627"/>
        <n v="28436.699337370759"/>
        <n v="14020.304797712897"/>
        <n v="10208.318335649348"/>
        <n v="10309.076399548358"/>
        <n v="36501.395278470329"/>
        <n v="9925.5459906432843"/>
        <n v="6629.7244482029273"/>
        <n v="4906.1410066462449"/>
        <n v="10203.719465919507"/>
        <n v="10355.888392890452"/>
        <n v="5286.5504922368636"/>
        <n v="8995.1315920267698"/>
        <n v="7652.0269503720247"/>
        <n v="4451.5040831188089"/>
        <n v="2139.8124377926406"/>
        <n v="17082.473993287611"/>
        <n v="31493.954825964182"/>
        <n v="10296.853472090297"/>
        <n v="7149.4342129152901"/>
        <n v="21081.233651550319"/>
        <n v="7034.8644109368579"/>
        <n v="9829.9457604479394"/>
        <n v="31983.135213355454"/>
        <n v="25016.621409297426"/>
        <n v="16565.015064347856"/>
        <n v="27010.014401710243"/>
        <n v="9335.1068936513475"/>
        <n v="7475.7798258544844"/>
        <n v="10990.231170943516"/>
        <n v="9501.817062635635"/>
        <n v="14435.671210158205"/>
        <n v="5336.2515462786469"/>
        <n v="4393.784565422071"/>
        <n v="18119.766691951292"/>
        <n v="9072.1553106558968"/>
        <n v="7075.2598246510752"/>
        <n v="13476.949078909667"/>
        <n v="10512.172436640452"/>
        <n v="18040.344924881618"/>
        <n v="9867.0552718492945"/>
        <n v="23508.658575794241"/>
        <n v="6850.6715572847388"/>
        <n v="11165.905733558933"/>
        <n v="15610.342030628235"/>
        <n v="16473.425590109022"/>
        <n v="9134.006057951945"/>
        <n v="15124.78102486213"/>
        <n v="29713.199516336252"/>
        <n v="710.25975098870322"/>
        <n v="2873.6958656490242"/>
        <n v="715.68979479295035"/>
        <n v="1025.7646152642942"/>
        <n v="538.78176281111973"/>
        <n v="257.32382808917259"/>
        <n v="481.17887831498911"/>
        <n v="12938.81821195014"/>
        <n v="9489.5149256708119"/>
        <n v="35516.306605799487"/>
        <n v="24768.031952682111"/>
        <n v="9666.7678811541009"/>
        <n v="14875.68881676946"/>
        <n v="5440.4163271198231"/>
        <n v="24277.7763440567"/>
        <n v="18219.638121088337"/>
        <n v="11534.87683941819"/>
        <n v="22731.980338869529"/>
        <n v="9052.5076082470914"/>
        <n v="14195.827848102295"/>
        <n v="16404.806227349341"/>
        <n v="16751.945527524356"/>
        <n v="27083.863714318526"/>
        <n v="13084.439240385291"/>
        <n v="28320.813333972757"/>
        <n v="31833.710952201021"/>
        <n v="30055.468014585596"/>
        <n v="10202.034720203477"/>
        <n v="8291.769805324253"/>
        <n v="26786.012363880229"/>
        <n v="25438.073730179865"/>
        <n v="19578.3851539522"/>
        <n v="21007.175715015212"/>
        <n v="8185.9410544411312"/>
        <n v="10511.515679287349"/>
        <n v="8173.1283752994204"/>
        <n v="8900.7513351489033"/>
        <n v="5518.6259276552137"/>
        <n v="27459.004803793519"/>
        <n v="20359.761243233814"/>
        <n v="9114.6679495569988"/>
        <n v="4253.1177402549956"/>
        <n v="8996.3367101272961"/>
        <n v="19254.410344643002"/>
        <n v="13834.230358924151"/>
        <n v="25055.900820571056"/>
        <n v="10724.731295553531"/>
        <n v="7297.6345795567395"/>
        <n v="6623.663681232023"/>
        <n v="11562.133592702521"/>
        <n v="9816.8649722923838"/>
        <n v="12838.339036744013"/>
        <n v="14681.329884787581"/>
        <n v="31298.472127746201"/>
        <n v="17136.081741987462"/>
        <n v="7318.7692256738719"/>
        <n v="11017.207258565819"/>
        <n v="11916.727891301798"/>
        <n v="33506.720121932463"/>
        <n v="14974.405953828249"/>
        <n v="50507.535933738669"/>
        <n v="22878.533704756155"/>
        <n v="18498.504431362624"/>
        <n v="18858.176565771762"/>
        <n v="7110.8491171502628"/>
        <n v="7405.0934147179842"/>
        <n v="22594.359257913129"/>
        <n v="8624.9526607220159"/>
        <n v="8087.241789444879"/>
        <n v="17729.50463802645"/>
        <n v="31120.000374852913"/>
        <n v="18023.257974595188"/>
        <n v="16080.492016026368"/>
        <n v="11053.859954912616"/>
        <n v="17585.854420673604"/>
        <n v="15242.332336098745"/>
        <n v="9229.1683795152003"/>
        <n v="86382.020201565465"/>
        <n v="10766.988759237562"/>
        <n v="19052.57345546463"/>
        <n v="13183.776929047397"/>
        <n v="9539.8362717424461"/>
        <n v="25956.221502119231"/>
        <n v="2.2077612170501575"/>
        <n v="19758.441193891987"/>
        <n v="30769.555710399825"/>
        <n v="11076.488514092167"/>
        <n v="19725.761571465999"/>
        <n v="3125909.2359999996"/>
        <n v="11048.510280623952" u="1"/>
        <n v="14114.868372632844" u="1"/>
        <n v="28184.502130677953" u="1"/>
        <n v="20619.628210506598" u="1"/>
        <n v="6788.2104761338433" u="1"/>
        <n v="2811.0574480321252" u="1"/>
        <n v="22818.213279419324" u="1"/>
        <n v="9336.9808236279678" u="1"/>
        <n v="10141.064953517951" u="1"/>
        <n v="10460.12385121519" u="1"/>
        <n v="8020.7715762203197" u="1"/>
        <n v="7636.6960102602588" u="1"/>
        <n v="19282.087516764499" u="1"/>
        <n v="12978.467068092268" u="1"/>
        <n v="11666.787939646099" u="1"/>
        <n v="676.3826666556206" u="1"/>
        <n v="28005.674528294338" u="1"/>
        <n v="10289.91640781231" u="1"/>
        <n v="17636.688930501823" u="1"/>
        <n v="24747.619249418702" u="1"/>
        <n v="9584.4099756999622" u="1"/>
        <n v="21818.276661556734" u="1"/>
        <n v="7088.1397347634811" u="1"/>
        <n v="12192.255948032787" u="1"/>
        <n v="16942.662078832484" u="1"/>
        <n v="42098.13754090383" u="1"/>
        <n v="20085.870413680634" u="1"/>
        <n v="5947.7277828291681" u="1"/>
        <n v="9932.164203363689" u="1"/>
        <n v="18048.638641914833" u="1"/>
        <n v="11077.255114256155" u="1"/>
        <n v="10467.894360908971" u="1"/>
        <n v="16790.498019350413" u="1"/>
        <n v="11253.635791491255" u="1"/>
        <n v="8714.433364981518" u="1"/>
        <n v="13934.401477206546" u="1"/>
        <n v="12864.741474390594" u="1"/>
        <n v="791.76743205157061" u="1"/>
        <n v="339.26692807018787" u="1"/>
        <n v="13012.371607559775" u="1"/>
        <n v="4802.8911350446924" u="1"/>
        <n v="14344.797398895851" u="1"/>
        <n v="36474.594816825098" u="1"/>
        <n v="12969.875166612434" u="1"/>
        <n v="23368.006896845793" u="1"/>
        <n v="11137.803557962434" u="1"/>
        <n v="34338.21710940895" u="1"/>
        <n v="13243.84252413445" u="1"/>
        <n v="24404.521964835101" u="1"/>
        <n v="14596.555241344999" u="1"/>
        <n v="17279.322364509331" u="1"/>
        <n v="37784.419191586116" u="1"/>
        <n v="33390.934085060828" u="1"/>
        <n v="34747.128613108369" u="1"/>
        <n v="34895.930506697187" u="1"/>
        <n v="8857.9779264404369" u="1"/>
        <n v="17318.217744314155" u="1"/>
        <n v="25742.097644859343" u="1"/>
        <n v="13835.794333934373" u="1"/>
        <n v="10527.651946200178" u="1"/>
        <n v="12180.82110927848" u="1"/>
        <n v="6215.026382162614" u="1"/>
        <n v="22223.4776314068" u="1"/>
        <n v="0.92441018742113024" u="1"/>
        <n v="17709.361675248649" u="1"/>
        <n v="9457.2912328961575" u="1"/>
        <n v="27341.524330808923" u="1"/>
        <n v="5196.8319554116524" u="1"/>
        <n v="28432.272901794167" u="1"/>
        <n v="14017.91670407104" u="1"/>
        <n v="10206.754789475001" u="1"/>
        <n v="10307.494142018655" u="1"/>
        <n v="36495.167362640044" u="1"/>
        <n v="9924.0100362713019" u="1"/>
        <n v="6628.5331871565104" u="1"/>
        <n v="4905.1360532370281" u="1"/>
        <n v="10201.963900789739" u="1"/>
        <n v="10353.788272971848" u="1"/>
        <n v="5285.6423365627879" u="1"/>
        <n v="8993.5523248799691" u="1"/>
        <n v="7650.8699633202204" u="1"/>
        <n v="4450.7637342084327" u="1"/>
        <n v="2139.4445656969633" u="1"/>
        <n v="17079.521422401118" u="1"/>
        <n v="31488.463799747085" u="1"/>
        <n v="10295.342177179158" u="1"/>
        <n v="7148.25289697277" u="1"/>
        <n v="21077.715343031516" u="1"/>
        <n v="7033.7223504570093" u="1"/>
        <n v="9828.1663942689556" u="1"/>
        <n v="31977.615516351703" u="1"/>
        <n v="25012.569663425809" u="1"/>
        <n v="16562.654057197855" u="1"/>
        <n v="27005.49339122554" u="1"/>
        <n v="9333.5417968053825" u="1"/>
        <n v="7474.6334044525283" u="1"/>
        <n v="10988.679329755556" u="1"/>
        <n v="9500.5923966747578" u="1"/>
        <n v="14433.467931792915" u="1"/>
        <n v="5335.2848867015582" u="1"/>
        <n v="4392.8969515829558" u="1"/>
        <n v="18116.748352899594" u="1"/>
        <n v="9070.7091062084655" u="1"/>
        <n v="7074.0342484380235" u="1"/>
        <n v="13474.656181646224" u="1"/>
        <n v="10510.532081497415" u="1"/>
        <n v="18037.335085676437" u="1"/>
        <n v="9865.3768645527416" u="1"/>
        <n v="23504.780539075084" u="1"/>
        <n v="6849.5025641785414" u="1"/>
        <n v="11164.290580392273" u="1"/>
        <n v="15607.824852220729" u="1"/>
        <n v="16470.840176835343" u="1"/>
        <n v="9132.5609428492062" u="1"/>
        <n v="15122.389818592283" u="1"/>
        <n v="29708.216758425504" u="1"/>
        <n v="710.1442070425685" u="1"/>
        <n v="2873.2877168781679" u="1"/>
        <n v="715.55990322512957" u="1"/>
        <n v="1025.5891642926576" u="1"/>
        <n v="538.67707768736136" u="1"/>
        <n v="257.27590427895359" u="1"/>
        <n v="481.09781033361139" u="1"/>
        <n v="12936.865033707905" u="1"/>
        <n v="9488.1520794321932" u="1"/>
        <n v="35510.329446418204" u="1"/>
        <n v="24764.047442032301" u="1"/>
        <n v="9665.2160271793182" u="1"/>
        <n v="14873.297789438077" u="1"/>
        <n v="5439.4435355304104" u="1"/>
        <n v="24273.880683054525" u="1"/>
        <n v="18216.441993233617" u="1"/>
        <n v="11532.989324389091" u="1"/>
        <n v="22728.40398504011" u="1"/>
        <n v="9051.0783356301145" u="1"/>
        <n v="14193.729024813532" u="1"/>
        <n v="16402.528843542117" u="1"/>
        <n v="16749.394225829554" u="1"/>
        <n v="27079.519151330158" u="1"/>
        <n v="13082.335602203768" u="1"/>
        <n v="28315.851266986683" u="1"/>
        <n v="31828.65259047944" u="1"/>
        <n v="30050.531973324454" u="1"/>
        <n v="10241.262402060795" u="1"/>
        <n v="8290.6454879062039" u="1"/>
        <n v="26781.759494297621" u="1"/>
        <n v="25434.168017658172" u="1"/>
        <n v="19575.719305490711" u="1"/>
        <n v="21003.982108359505" u="1"/>
        <n v="8184.4396818332934" u="1"/>
        <n v="10509.684015743278" u="1"/>
        <n v="8171.7708143699128" u="1"/>
        <n v="8899.2750183548378" u="1"/>
        <n v="5517.5693847777911" u="1"/>
        <n v="27454.521004112627" u="1"/>
        <n v="20356.589863885514" u="1"/>
        <n v="9113.1549362820188" u="1"/>
        <n v="4252.331438322406" u="1"/>
        <n v="8993.9898032972469" u="1"/>
        <n v="19251.1597364587" u="1"/>
        <n v="13832.000940368767" u="1"/>
        <n v="25051.873609257702" u="1"/>
        <n v="10723.143502216277" u="1"/>
        <n v="7296.3632027234316" u="1"/>
        <n v="6622.6144355081951" u="1"/>
        <n v="11598.270694477964" u="1"/>
        <n v="9815.3435992867126" u="1"/>
        <n v="12836.251425494293" u="1"/>
        <n v="14678.792594251619" u="1"/>
        <n v="31293.300475486034" u="1"/>
        <n v="17133.42310167251" u="1"/>
        <n v="7317.4818634274161" u="1"/>
        <n v="11015.521846017222" u="1"/>
        <n v="11914.785235573148" u="1"/>
        <n v="33501.825728771539" u="1"/>
        <n v="14971.894384097766" u="1"/>
        <n v="50498.95289184861" u="1"/>
        <n v="22874.611424674342" u="1"/>
        <n v="18495.498159410832" u="1"/>
        <n v="18855.203963829881" u="1"/>
        <n v="7109.5035040797084" u="1"/>
        <n v="7403.9417977072353" u="1"/>
        <n v="22590.698793917396" u="1"/>
        <n v="8623.3362530218856" u="1"/>
        <n v="8085.957686682279" u="1"/>
        <n v="17726.517111091707" u="1"/>
        <n v="31114.602890314898" u="1"/>
        <n v="18020.50552361575" u="1"/>
        <n v="16077.92274992682" u="1"/>
        <n v="11051.97492638095" u="1"/>
        <n v="17582.848440392278" u="1"/>
        <n v="15240.243468428342" u="1"/>
        <n v="9227.7377543067851" u="1"/>
        <n v="86370.757304715327" u="1"/>
        <n v="10765.310765394384" u="1"/>
        <n v="19049.450764170171" u="1"/>
        <n v="13181.827212028074" u="1"/>
        <n v="9538.203495640777" u="1"/>
        <n v="25952.456780819033" u="1"/>
        <n v="2.2071303877216746" u="1"/>
        <n v="19755.087039650862" u="1"/>
        <n v="30764.354117952935" u="1"/>
        <n v="11074.670561370702" u="1"/>
        <n v="19722.723892540489" u="1"/>
        <n v="3125482.6970000034" u="1"/>
        <n v="10450.6454767219" u="1"/>
        <n v="13555.298607118028" u="1"/>
        <n v="32779.854497796689" u="1"/>
        <n v="20418.478798825807" u="1"/>
        <n v="3512.5404747108419" u="1"/>
        <n v="14863.679316192598" u="1"/>
        <n v="23382.137125304434" u="1"/>
        <n v="2359.6028597867726" u="1"/>
        <n v="5031.5650642208157" u="1"/>
        <n v="11335.28949938935" u="1"/>
        <n v="11875.749137049803" u="1"/>
        <n v="9965.9055508832898" u="1"/>
        <n v="8993.7174894153613" u="1"/>
        <n v="9142.0841003261976" u="1"/>
        <n v="20172.796052383688" u="1"/>
        <n v="13303.190987844489" u="1"/>
        <n v="12352.912480235285" u="1"/>
        <n v="31143.628971372902" u="1"/>
        <n v="13170.488872023954" u="1"/>
        <n v="17310.312929061438" u="1"/>
        <n v="25113.890559260584" u="1"/>
        <n v="9966.744195787338" u="1"/>
        <n v="21724.914362041312" u="1"/>
        <n v="7611.8407790954179" u="1"/>
        <n v="10733.911687250558" u="1"/>
        <n v="21936.727155912347" u="1"/>
        <n v="38263.45387756353" u="1"/>
        <n v="25196.264386331131" u="1"/>
        <n v="5501.5275372468204" u="1"/>
        <n v="11627.272046352267" u="1"/>
        <n v="24358.742602423197" u="1"/>
        <n v="10317.483065954808" u="1"/>
        <n v="11478.898682621755" u="1"/>
        <n v="11499.250636006342" u="1"/>
        <n v="15458.655757866985" u="1"/>
        <n v="9002.3487408808651" u="1"/>
        <n v="14516.4738774746" u="1"/>
        <n v="14321.031817654981" u="1"/>
        <n v="3764.4761190495901" u="1"/>
        <n v="589.05730441903893" u="1"/>
        <n v="17114.677124104986" u="1"/>
        <n v="5887.1690398981264" u="1"/>
        <n v="14479.467867466301" u="1"/>
        <n v="37723.826786645055" u="1"/>
        <n v="13048.206547196307" u="1"/>
        <n v="28876.770141852579" u="1"/>
        <n v="20063.202849216716" u="1"/>
        <n v="33019.502283303489" u="1"/>
        <n v="17574.712953353261" u="1"/>
        <n v="25559.065705089117" u="1"/>
        <n v="16001.040583533004" u="1"/>
        <n v="16647.675742002728" u="1"/>
        <n v="45448.262603304189" u="1"/>
        <n v="35265.437252562224" u="1"/>
        <n v="32904.758549626749" u="1"/>
        <n v="40963.259660837466" u="1"/>
        <n v="9361.3867809999265" u="1"/>
        <n v="17342.217636342095" u="1"/>
        <n v="27485.280188608325" u="1"/>
        <n v="17107.089986402818" u="1"/>
        <n v="13736.614956894204" u="1"/>
        <n v="13950.772835063097" u="1"/>
        <n v="3822.6170981013847" u="1"/>
        <n v="19360.163778078917" u="1"/>
        <n v="23175.401424267446" u="1"/>
        <n v="18982.654510653687" u="1"/>
        <n v="10668.876554024206" u="1"/>
        <n v="20712.972522485274" u="1"/>
        <n v="2818.5736182973719" u="1"/>
        <n v="30931.518211949053" u="1"/>
        <n v="15059.29696576401" u="1"/>
        <n v="9876.9568875480309" u="1"/>
        <n v="11803.128003707934" u="1"/>
        <n v="58749.848697343754" u="1"/>
        <n v="12289.517915677749" u="1"/>
        <n v="6606.2844826272431" u="1"/>
        <n v="6272.5973913278804" u="1"/>
        <n v="9475.5859011241519" u="1"/>
        <n v="11715.508301570009" u="1"/>
        <n v="4749.8823720644832" u="1"/>
        <n v="8042.8160001974011" u="1"/>
        <n v="9526.5636837727125" u="1"/>
        <n v="5137.4238757827688" u="1"/>
        <n v="2856.1272714884162" u="1"/>
        <n v="17125.199913918648" u="1"/>
        <n v="33601.263683362784" u="1"/>
        <n v="12307.87869466556" u="1"/>
        <n v="6851.0563743727707" u="1"/>
        <n v="22378.837058205885" u="1"/>
        <n v="7435.3449384046198" u="1"/>
        <n v="11610.045147973857" u="1"/>
        <n v="20942.079231064974" u="1"/>
        <n v="25023.482970889323" u="1"/>
        <n v="15162.649401234892" u="1"/>
        <n v="24441.601191134665" u="1"/>
        <n v="10217.658286244019" u="1"/>
        <n v="7508.2583197028398" u="1"/>
        <n v="15043.478346964459" u="1"/>
        <n v="12590.404911338341" u="1"/>
        <n v="12223.3153493713" u="1"/>
        <n v="6840.3515516109446" u="1"/>
        <n v="4311.826591604673" u="1"/>
        <n v="19285.862481191398" u="1"/>
        <n v="9199.234890062351" u="1"/>
        <n v="5809.2825225406996" u="1"/>
        <n v="13875.310251403953" u="1"/>
        <n v="9706.3359066105477" u="1"/>
        <n v="16502.261726240846" u="1"/>
        <n v="10231.942303945987" u="1"/>
        <n v="26781.487601770903" u="1"/>
        <n v="8175.1195258496209" u="1"/>
        <n v="13206.958119319272" u="1"/>
        <n v="17541.845818477123" u="1"/>
        <n v="13992.594315751769" u="1"/>
        <n v="11893.50263214501" u="1"/>
        <n v="15217.861441504947" u="1"/>
        <n v="32980.356156884351" u="1"/>
        <n v="1867.1378353496843" u="1"/>
        <n v="2002.6099019105618" u="1"/>
        <n v="1113.4531737898733" u="1"/>
        <n v="1054.2929126454283" u="1"/>
        <n v="717.95877567798539" u="1"/>
        <n v="2536.895599496811" u="1"/>
        <n v="519.54751974671149" u="1"/>
        <n v="144.31908358163597" u="1"/>
        <n v="13164.642853510286" u="1"/>
        <n v="8114.6916184620395" u="1"/>
        <n v="38530.359417089174" u="1"/>
        <n v="31780.651687598725" u="1"/>
        <n v="10267.274461949986" u="1"/>
        <n v="20017.981225406555" u="1"/>
        <n v="6658.7284064008563" u="1"/>
        <n v="28400.647429922006" u="1"/>
        <n v="18776.41351779348" u="1"/>
        <n v="12413.73948058096" u="1"/>
        <n v="28533.685967398007" u="1"/>
        <n v="8543.0801525052048" u="1"/>
        <n v="11455.143794062165" u="1"/>
        <n v="19915.286312826523" u="1"/>
        <n v="17211.052463148138" u="1"/>
        <n v="32499.093890177337" u="1"/>
        <n v="19157.278072535279" u="1"/>
        <n v="29822.598177393877" u="1"/>
        <n v="30549.36981281111" u="1"/>
        <n v="30038.027455067073" u="1"/>
        <n v="14424.654587543642" u="1"/>
        <n v="7706.5944356027376" u="1"/>
        <n v="24805.583209291406" u="1"/>
        <n v="25939.903945350226" u="1"/>
        <n v="21019.873385927869" u="1"/>
        <n v="23910.135532569111" u="1"/>
        <n v="9630.2719727075782" u="1"/>
        <n v="13595.949254304625" u="1"/>
        <n v="8270.3992457879704" u="1"/>
        <n v="11715.770084727257" u="1"/>
        <n v="6131.6960828707743" u="1"/>
        <n v="36327.028380999414" u="1"/>
        <n v="16805.349826122416" u="1"/>
        <n v="7880.1209258148929" u="1"/>
        <n v="4241.9624766036595" u="1"/>
        <n v="9242.324424557979" u="1"/>
        <n v="22251.808910295884" u="1"/>
        <n v="15240.95029827978" u="1"/>
        <n v="28572.928201848386" u="1"/>
        <n v="12857.576034032956" u="1"/>
        <n v="8601.2488933777968" u="1"/>
        <n v="7116.4201224189746" u="1"/>
        <n v="18925.436851285362" u="1"/>
        <n v="11432.1736983681" u="1"/>
        <n v="13089.833050109504" u="1"/>
        <n v="12761.202495156485" u="1"/>
        <n v="36660.171451061586" u="1"/>
        <n v="20586.415347245107" u="1"/>
        <n v="10377.681894748055" u="1"/>
        <n v="11713.002682359431" u="1"/>
        <n v="10797.664508140737" u="1"/>
        <n v="36598.311354652098" u="1"/>
        <n v="17517.582032789058" u="1"/>
        <n v="47205.404773061324" u="1"/>
        <n v="20879.882380844178" u="1"/>
        <n v="19765.648628697061" u="1"/>
        <n v="20973.503356185538" u="1"/>
        <n v="5150.1529694765068" u="1"/>
        <n v="10016.080160337922" u="1"/>
        <n v="1350.0993742206272" u="1"/>
        <n v="27246.246950849942" u="1"/>
        <n v="10761.127345683057" u="1"/>
        <n v="8227.8309908597985" u="1"/>
        <n v="16224.756907903036" u="1"/>
        <n v="28790.288876482344" u="1"/>
        <n v="21114.941420431642" u="1"/>
        <n v="16727.7655707382" u="1"/>
        <n v="14476.137362325455" u="1"/>
        <n v="19830.70076902556" u="1"/>
        <n v="13095.963717269991" u="1"/>
        <n v="11196.911153049547" u="1"/>
        <n v="35105.167712006762" u="1"/>
        <n v="11684.443633825591" u="1"/>
        <n v="20843.837271028438" u="1"/>
        <n v="12925.881679541391" u="1"/>
        <n v="11692.332356787783" u="1"/>
        <n v="29075.730096149353" u="1"/>
        <n v="22529.6215955851" u="1"/>
        <n v="30114.496370736335" u="1"/>
        <n v="11336.82451562745" u="1"/>
        <n v="20648.146785704444" u="1"/>
        <n v="3351856.1560000004" u="1"/>
      </sharedItems>
    </cacheField>
    <cacheField name="%16" numFmtId="10">
      <sharedItems containsSemiMixedTypes="0" containsString="0" containsNumber="1" minValue="0" maxValue="0.35122991178437318"/>
    </cacheField>
    <cacheField name="Total General CC" numFmtId="164">
      <sharedItems containsSemiMixedTypes="0" containsString="0" containsNumber="1" minValue="-5111985.5999999996" maxValue="20147.583999999999" count="455">
        <n v="391.17899999999997"/>
        <n v="-16530.113000000005"/>
        <n v="-23149.699999999997"/>
        <n v="-51230.972000000009"/>
        <n v="-37569.912000000004"/>
        <n v="-11.032999999999999"/>
        <n v="11815.102000000003"/>
        <n v="765.22100000000137"/>
        <n v="-36968.137999999977"/>
        <n v="1625.87"/>
        <n v="9872.1049999999996"/>
        <n v="-15.447999999999997"/>
        <n v="-21472.503999999997"/>
        <n v="-15320.970999999998"/>
        <n v="-17234.061000000002"/>
        <n v="-7565.0640000000058"/>
        <n v="-12467.007999999998"/>
        <n v="-33502.481"/>
        <n v="-18409.788000000008"/>
        <n v="-17828.094000000005"/>
        <n v="-1508.7129999999993"/>
        <n v="-44573.699000000037"/>
        <n v="-15197.118999999999"/>
        <n v="-25271.416000000012"/>
        <n v="-42727.476999999999"/>
        <n v="-15765.053000000007"/>
        <n v="-40901.81700000001"/>
        <n v="-11794.329999999994"/>
        <n v="-21881.146999999997"/>
        <n v="-32236.259000000005"/>
        <n v="-69209.456000000006"/>
        <n v="-34696.870000000003"/>
        <n v="-7826.7119999999959"/>
        <n v="-17501.991000000002"/>
        <n v="-29517.659"/>
        <n v="-19042.614999999991"/>
        <n v="-16942.881000000001"/>
        <n v="-26328.48599999999"/>
        <n v="-17878.850999999999"/>
        <n v="-12029.404999999999"/>
        <n v="-18964.174999999996"/>
        <n v="-25436.896000000008"/>
        <n v="-2703.529"/>
        <n v="-1035.2129999999997"/>
        <n v="-24328.323999999997"/>
        <n v="-6307.3859999999968"/>
        <n v="-26912.347999999998"/>
        <n v="-63248.910000000018"/>
        <n v="-23522.856999999989"/>
        <n v="-44930.757999999973"/>
        <n v="-11992.953999999998"/>
        <n v="-46899.647000000012"/>
        <n v="-10142.544999999998"/>
        <n v="-45628.571999999971"/>
        <n v="-20920.776000000005"/>
        <n v="-28902.058999999994"/>
        <n v="-61749.768999999986"/>
        <n v="-52758.391000000003"/>
        <n v="-52666.260000000024"/>
        <n v="-57484.96699999999"/>
        <n v="-13241.610999999997"/>
        <n v="-33525.022999999994"/>
        <n v="-47276.453000000001"/>
        <n v="-25604.990000000009"/>
        <n v="-13967.755000000005"/>
        <n v="-21503.214000000007"/>
        <n v="-9347.6899999999951"/>
        <n v="-42149.214000000007"/>
        <n v="20147.583999999999"/>
        <n v="-25327.582000000002"/>
        <n v="-16728.505999999994"/>
        <n v="-45040.945999999982"/>
        <n v="-6104.9289999999964"/>
        <n v="-48673.082999999999"/>
        <n v="-11100.916000000005"/>
        <n v="-17324.526000000005"/>
        <n v="-18906.165000000008"/>
        <n v="-68446.982999999993"/>
        <n v="-16958.823999999993"/>
        <n v="-10871.643999999997"/>
        <n v="-3622.1830000000009"/>
        <n v="-18817.617999999995"/>
        <n v="-16621.678999999996"/>
        <n v="-10636.114"/>
        <n v="-18236.063000000009"/>
        <n v="-13450.396000000001"/>
        <n v="-7977.4570000000022"/>
        <n v="-2704.121000000001"/>
        <n v="-32726.108"/>
        <n v="-56937.348000000013"/>
        <n v="-17032.056000000004"/>
        <n v="-9733.8960000000006"/>
        <n v="-33331.457999999999"/>
        <n v="-13428.610000000006"/>
        <n v="-16354.12100000001"/>
        <n v="-42182.445000000007"/>
        <n v="-45499.147999999994"/>
        <n v="-27590.536"/>
        <n v="-46896.55799999999"/>
        <n v="-13508.124"/>
        <n v="-11911.557000000001"/>
        <n v="-16849.707999999991"/>
        <n v="-14657.733000000004"/>
        <n v="-36394.716000000008"/>
        <n v="-9019.4170000000013"/>
        <n v="-3362.6699999999983"/>
        <n v="-32537.762999999999"/>
        <n v="-14739.957000000002"/>
        <n v="-12302.042999999998"/>
        <n v="-20862.623"/>
        <n v="-16568.209999999985"/>
        <n v="-31129.047999999988"/>
        <n v="-13368.694"/>
        <n v="-38779.071000000025"/>
        <n v="-12592.194999999992"/>
        <n v="-18868.491999999998"/>
        <n v="73.849999999999994"/>
        <n v="-15214.876999999993"/>
        <n v="-27071.797999999995"/>
        <n v="-7268.9029999999948"/>
        <n v="-27800.086999999992"/>
        <n v="-59654.22100000002"/>
        <n v="-467.44900000000007"/>
        <n v="-2654.9900000000007"/>
        <n v="-751.26200000000017"/>
        <n v="-1628.2280000000005"/>
        <n v="-170.63699999999926"/>
        <n v="922.91"/>
        <n v="128.45399999999972"/>
        <n v="-540.87800000000016"/>
        <n v="-24375.771999999986"/>
        <n v="-12195.553"/>
        <n v="-54499.437000000049"/>
        <n v="-42628.290999999997"/>
        <n v="-12726.782999999996"/>
        <n v="-28953.087999999989"/>
        <n v="-7348.3270000000011"/>
        <n v="-49210.929000000011"/>
        <n v="0"/>
        <n v="183.98099999999999"/>
        <n v="-14.718999999999999"/>
        <n v="-5.0540000000000003"/>
        <n v="64.493000000000009"/>
        <n v="-9.718"/>
        <n v="51.658000000000001"/>
        <n v="-27455.010999999991"/>
        <n v="-19046.540000000005"/>
        <n v="-37977.276000000013"/>
        <n v="-18549.021000000008"/>
        <n v="-21560.177000000003"/>
        <n v="-26548.492000000013"/>
        <n v="-28303.633000000009"/>
        <n v="-40488.466"/>
        <n v="-14005.415000000001"/>
        <n v="-50322.221999999994"/>
        <n v="-51709.114999999991"/>
        <n v="-52001.107000000018"/>
        <n v="10205.329999999998"/>
        <n v="-11823.952000000001"/>
        <n v="-45565.65800000001"/>
        <n v="-51208.499999999993"/>
        <n v="-31215.395999999986"/>
        <n v="-40271.286000000015"/>
        <n v="-15873.82"/>
        <n v="-18744.608000000004"/>
        <n v="-13653.199999999993"/>
        <n v="-14912.301999999996"/>
        <n v="-9236.7860000000001"/>
        <n v="-47058.914000000019"/>
        <n v="-34901.179999999993"/>
        <n v="315.95"/>
        <n v="-14368.445000000007"/>
        <n v="-4875.1829999999973"/>
        <n v="-24335.156000000003"/>
        <n v="-35625.836999999992"/>
        <n v="-21671.025999999998"/>
        <n v="-45903.125999999997"/>
        <n v="-15488.804999999982"/>
        <n v="-12643.019999999997"/>
        <n v="-10971.125"/>
        <n v="-7832.317999999992"/>
        <n v="-13577.218000000001"/>
        <n v="-22468.919000000009"/>
        <n v="-31501.847999999998"/>
        <n v="-53386.457000000024"/>
        <n v="-30749.218000000015"/>
        <n v="-11827.722000000002"/>
        <n v="-20680.109000000008"/>
        <n v="-22731.969999999998"/>
        <n v="-56305.472000000023"/>
        <n v="-14644.40800000001"/>
        <n v="-96656.001000000018"/>
        <n v="-35020.969000000012"/>
        <n v="-35292.365000000013"/>
        <n v="-31815.914000000004"/>
        <n v="-8668.5499999999956"/>
        <n v="-10228.573999999997"/>
        <n v="866.73299999999995"/>
        <n v="-40320.553999999989"/>
        <n v="-11199.001999999997"/>
        <n v="-14766.361999999997"/>
        <n v="-34120.393000000011"/>
        <n v="-60328.673999999999"/>
        <n v="-28482.762000000017"/>
        <n v="-27754.15800000001"/>
        <n v="168.98"/>
        <n v="-21647.664999999997"/>
        <n v="-36234.678000000014"/>
        <n v="-24491.494999999988"/>
        <n v="-3651.3290000000052"/>
        <n v="-122647.27799999999"/>
        <n v="-18935.817999999996"/>
        <n v="-31675.923999999992"/>
        <n v="-22076.160999999993"/>
        <n v="-17364.55799999999"/>
        <n v="-38864.726999999999"/>
        <n v="119.34100000000001"/>
        <n v="-35192.787999999971"/>
        <n v="-58746.764999999999"/>
        <n v="-20044.464999999997"/>
        <n v="-32292.383000000009"/>
        <n v="-5111985.5999999996"/>
        <n v="-20681.146999999997" u="1"/>
        <n v="-40140.945999999982" u="1"/>
        <n v="-4444.9289999999964" u="1"/>
        <n v="-18556.165000000008" u="1"/>
        <n v="-10376.114" u="1"/>
        <n v="-17773.063000000009" u="1"/>
        <n v="-13002.396000000001" u="1"/>
        <n v="-7667.4570000000022" u="1"/>
        <n v="-15787.733000000004" u="1"/>
        <n v="-26970.086999999992" u="1"/>
        <n v="51.661000000000001" u="1"/>
        <n v="-48751.107000000018" u="1"/>
        <n v="-5099444.5969999982" u="1"/>
        <n v="226.53899999999999" u="1"/>
        <n v="100" u="1"/>
        <n v="151.65800000000002" u="1"/>
        <n v="9905.3290000000015" u="1"/>
        <n v="-8112.3189999999886" u="1"/>
        <n v="-5099598.0629999992" u="1"/>
        <n v="76.95" u="1"/>
        <n v="-7960.0659999999898" u="1"/>
        <n v="-14620.968000000008" u="1"/>
        <n v="-46075.55799999999" u="1"/>
        <n v="-25661.15600000001" u="1"/>
        <n v="6406.3090000000002" u="1"/>
        <n v="-17750.89" u="1"/>
        <n v="-22938.508999999984" u="1"/>
        <n v="13962.129000000004" u="1"/>
        <n v="-3538.530999999999" u="1"/>
        <n v="-3643.1129999999939" u="1"/>
        <n v="-14047.039999999999" u="1"/>
        <n v="-10412.928" u="1"/>
        <n v="-8022.4619999999977" u="1"/>
        <n v="-10777.872999999998" u="1"/>
        <n v="-22110.320000000003" u="1"/>
        <n v="-12479.692000000006" u="1"/>
        <n v="-13133.082999999999" u="1"/>
        <n v="-35659.812000000042" u="1"/>
        <n v="-12006.134999999997" u="1"/>
        <n v="-20103.262000000002" u="1"/>
        <n v="-30509.567000000014" u="1"/>
        <n v="-11359.028999999999" u="1"/>
        <n v="-28815.306999999983" u="1"/>
        <n v="-8638.5190000000021" u="1"/>
        <n v="-13418.046999999999" u="1"/>
        <n v="-31822.974999999995" u="1"/>
        <n v="-46295.198999999993" u="1"/>
        <n v="-34739.820000000014" u="1"/>
        <n v="-3113.4510000000028" u="1"/>
        <n v="-14650.377999999995" u="1"/>
        <n v="-31942.815000000013" u="1"/>
        <n v="-11341.648999999987" u="1"/>
        <n v="-14328.755999999996" u="1"/>
        <n v="-12847.92300000001" u="1"/>
        <n v="-20462.913999999997" u="1"/>
        <n v="-6802.7759999999998" u="1"/>
        <n v="-15466.028000000002" u="1"/>
        <n v="-18716.262999999995" u="1"/>
        <n v="-3316.5149999999976" u="1"/>
        <n v="3959.5190000000002" u="1"/>
        <n v="-21583.985999999997" u="1"/>
        <n v="-6065.1829999999973" u="1"/>
        <n v="-17523.629000000008" u="1"/>
        <n v="-44438.674000000014" u="1"/>
        <n v="-15650.785999999996" u="1"/>
        <n v="-40011.705000000031" u="1"/>
        <n v="-24259.12100000001" u="1"/>
        <n v="-36309.868000000017" u="1"/>
        <n v="-27556.639999999992" u="1"/>
        <n v="-34346.193000000007" u="1"/>
        <n v="-18644.960999999996" u="1"/>
        <n v="-19599.171000000002" u="1"/>
        <n v="-52493.351999999984" u="1"/>
        <n v="-35039.565000000002" u="1"/>
        <n v="-42298.411999999997" u="1"/>
        <n v="-50436.279999999984" u="1"/>
        <n v="-9542.8599999999933" u="1"/>
        <n v="-21127.842999999993" u="1"/>
        <n v="-34712.568999999996" u="1"/>
        <n v="-21730.236999999994" u="1"/>
        <n v="-13711.06" u="1"/>
        <n v="-15980.656999999999" u="1"/>
        <n v="-2275.2239999999965" u="1"/>
        <n v="-19236.324000000001" u="1"/>
        <n v="17448.236000000012" u="1"/>
        <n v="-20718.327999999987" u="1"/>
        <n v="-9977.6339999999946" u="1"/>
        <n v="-23007.836999999992" u="1"/>
        <n v="-1672.5940000000005" u="1"/>
        <n v="-38356.413999999997" u="1"/>
        <n v="-18944.506999999998" u="1"/>
        <n v="-9658.9780000000028" u="1"/>
        <n v="-14934.16" u="1"/>
        <n v="-82779.128000000012" u="1"/>
        <n v="-12471.446" u="1"/>
        <n v="-6656.4299999999985" u="1"/>
        <n v="-916.14399999999478" u="1"/>
        <n v="-12264.794000000002" u="1"/>
        <n v="-14194.451999999999" u="1"/>
        <n v="-8127.814000000003" u="1"/>
        <n v="-12212.542000000001" u="1"/>
        <n v="-11771.261999999999" u="1"/>
        <n v="-4849.3120000000017" u="1"/>
        <n v="-1616.2279999999992" u="1"/>
        <n v="-25252.021000000008" u="1"/>
        <n v="-42764.279000000017" u="1"/>
        <n v="-14456.905000000002" u="1"/>
        <n v="-4452.4260000000004" u="1"/>
        <n v="-26939.322999999997" u="1"/>
        <n v="-7883.369999999999" u="1"/>
        <n v="-1821.2810000000027" u="1"/>
        <n v="-21365.337999999982" u="1"/>
        <n v="-35240.212999999989" u="1"/>
        <n v="-20290.541999999994" u="1"/>
        <n v="-31302.145000000004" u="1"/>
        <n v="-10012.019999999997" u="1"/>
        <n v="-6190.8399999999974" u="1"/>
        <n v="-17250.320000000003" u="1"/>
        <n v="-11015.435999999994" u="1"/>
        <n v="-13598.283999999994" u="1"/>
        <n v="-8201.1220000000012" u="1"/>
        <n v="-2518.5170000000016" u="1"/>
        <n v="-23010.720999999994" u="1"/>
        <n v="-9092.333000000006" u="1"/>
        <n v="-7030.9580000000005" u="1"/>
        <n v="-14533.697000000002" u="1"/>
        <n v="-10148.628000000001" u="1"/>
        <n v="-19036.623999999996" u="1"/>
        <n v="-10300.092000000008" u="1"/>
        <n v="-33576.473000000013" u="1"/>
        <n v="-6828.1249999999991" u="1"/>
        <n v="-17905.409" u="1"/>
        <n v="84.545999999999992" u="1"/>
        <n v="-19130.377999999997" u="1"/>
        <n v="-16986.950999999994" u="1"/>
        <n v="-12331.130000000008" u="1"/>
        <n v="-17346.587999999996" u="1"/>
        <n v="-43984.826000000001" u="1"/>
        <n v="-1033.0259999999998" u="1"/>
        <n v="-511.70900000000029" u="1"/>
        <n v="-434.94500000000016" u="1"/>
        <n v="-324.91199999999981" u="1"/>
        <n v="265.91600000000017" u="1"/>
        <n v="-377.79099999999926" u="1"/>
        <n v="1121.3319999999999" u="1"/>
        <n v="411.76299999999998" u="1"/>
        <n v="-14601.833000000002" u="1"/>
        <n v="-6711.7689999999993" u="1"/>
        <n v="-50446.900999999991" u="1"/>
        <n v="-40903.072999999989" u="1"/>
        <n v="-9794.1319999999923" u="1"/>
        <n v="-25449.546999999988" u="1"/>
        <n v="-4726.264999999994" u="1"/>
        <n v="-38621.70400000002" u="1"/>
        <n v="545.77199999999993" u="1"/>
        <n v="401.49800000000005" u="1"/>
        <n v="2.84" u="1"/>
        <n v="401.608" u="1"/>
        <n v="-25986.630000000008" u="1"/>
        <n v="-14653.093000000003" u="1"/>
        <n v="-34075.641999999985" u="1"/>
        <n v="-9633.9689999999937" u="1"/>
        <n v="-10984.175000000007" u="1"/>
        <n v="-23634.068999999989" u="1"/>
        <n v="-18677.776999999987" u="1"/>
        <n v="-41263.816999999995" u="1"/>
        <n v="-19920.322999999989" u="1"/>
        <n v="-38768.102999999996" u="1"/>
        <n v="-38118.26999999999" u="1"/>
        <n v="-36334.309999999976" u="1"/>
        <n v="-16851.399000000005" u="1"/>
        <n v="-7200.1829999999991" u="1"/>
        <n v="-30970.40500000001" u="1"/>
        <n v="-33145.535999999993" u="1"/>
        <n v="-17714.347000000002" u="1"/>
        <n v="-29659.702999999994" u="1"/>
        <n v="-9970.0189999999966" u="1"/>
        <n v="-17755.110000000004" u="1"/>
        <n v="-7855.9999999999982" u="1"/>
        <n v="-11730.802" u="1"/>
        <n v="-5851.2920000000013" u="1"/>
        <n v="-48333.22" u="1"/>
        <n v="-18026.425999999999" u="1"/>
        <n v="224.94" u="1"/>
        <n v="-9468.7580000000034" u="1"/>
        <n v="-3145.6979999999958" u="1"/>
        <n v="-17628.484999999997" u="1"/>
        <n v="-28997.862000000008" u="1"/>
        <n v="-15624.774999999998" u="1"/>
        <n v="-36673.046999999999" u="1"/>
        <n v="-12339.682000000001" u="1"/>
        <n v="-9068.0780000000013" u="1"/>
        <n v="-6372.4879999999966" u="1"/>
        <n v="-20851.605000000003" u="1"/>
        <n v="-9690.9349999999959" u="1"/>
        <n v="-14462.732" u="1"/>
        <n v="-16567.541999999994" u="1"/>
        <n v="-45531.5" u="1"/>
        <n v="-24517.847000000005" u="1"/>
        <n v="-11828.877000000004" u="1"/>
        <n v="-13434.751999999993" u="1"/>
        <n v="-14667.860000000002" u="1"/>
        <n v="-40327.125" u="1"/>
        <n v="-22807.955000000002" u="1"/>
        <n v="-61877.852000000035" u="1"/>
        <n v="-25812.168999999994" u="1"/>
        <n v="-26045.626000000004" u="1"/>
        <n v="-27191.769999999993" u="1"/>
        <n v="2316.3160000000007" u="1"/>
        <n v="-8318.2200000000048" u="1"/>
        <n v="-288.54799999999977" u="1"/>
        <n v="-33573.457000000002" u="1"/>
        <n v="-12131.826000000008" u="1"/>
        <n v="-9331.5010000000038" u="1"/>
        <n v="-17942.279000000002" u="1"/>
        <n v="-33021.553000000029" u="1"/>
        <n v="-23757.953999999991" u="1"/>
        <n v="-18256.648999999994" u="1"/>
        <n v="-15157.693000000001" u="1"/>
        <n v="-26359.612000000012" u="1"/>
        <n v="-14284.493000000006" u="1"/>
        <n v="-6325.9930000000022" u="1"/>
        <n v="-32627.063999999995" u="1"/>
        <n v="-14278.428999999996" u="1"/>
        <n v="-24217.609000000008" u="1"/>
        <n v="-16140.409000000007" u="1"/>
        <n v="-13254.241000000002" u="1"/>
        <n v="-37750.395999999993" u="1"/>
        <n v="-26771.472999999991" u="1"/>
        <n v="-37168.603999999992" u="1"/>
        <n v="-12533.690999999995" u="1"/>
        <n v="-24204.510999999995" u="1"/>
        <n v="-3837084.7259999984" u="1"/>
      </sharedItems>
    </cacheField>
    <cacheField name="Resultado - Gastos Distribuidos " numFmtId="164">
      <sharedItems containsSemiMixedTypes="0" containsString="0" containsNumber="1" minValue="-1986076.3640000003" maxValue="40623.637424267457" count="657">
        <n v="391.17899999999997"/>
        <n v="-5479.7111453401722"/>
        <n v="-9032.6385404061166"/>
        <n v="-23041.890606742272"/>
        <n v="-16947.04285769719"/>
        <n v="-11.032999999999999"/>
        <n v="18604.056926802125"/>
        <n v="3576.7214020283741"/>
        <n v="-14146.321008924577"/>
        <n v="1625.87"/>
        <n v="9872.1049999999996"/>
        <n v="-15.447999999999997"/>
        <n v="-12133.977873601612"/>
        <n v="-5178.201222422631"/>
        <n v="-6772.1969428220909"/>
        <n v="456.97867074218811"/>
        <n v="-4829.0604335570006"/>
        <n v="-14217.33541984536"/>
        <n v="-5429.4547211085337"/>
        <n v="-6159.4327066132428"/>
        <n v="-832.22603294216378"/>
        <n v="-16563.420590606009"/>
        <n v="-4905.7202491036569"/>
        <n v="-7632.0680696501877"/>
        <n v="-17975.098879002264"/>
        <n v="-6178.7610157304334"/>
        <n v="-19079.243889295769"/>
        <n v="-4704.849977106509"/>
        <n v="-9686.6077403901581"/>
        <n v="-15290.767601791489"/>
        <n v="-27104.790953948454"/>
        <n v="-14607.710260912812"/>
        <n v="-1877.9926930815891"/>
        <n v="-7568.2468257907112"/>
        <n v="-11466.120861478666"/>
        <n v="-7963.5258623380741"/>
        <n v="-6473.2162256508127"/>
        <n v="-9535.4323348249964"/>
        <n v="-6623.4771645586225"/>
        <n v="-3313.8256404344393"/>
        <n v="-5027.7063060221371"/>
        <n v="-12569.86875172205"/>
        <n v="-1911.5352695293354"/>
        <n v="-695.89594466537028"/>
        <n v="-11314.060853298497"/>
        <n v="-1503.6907354215436"/>
        <n v="-12565.229912186493"/>
        <n v="-26768.260356220737"/>
        <n v="-10550.81294560033"/>
        <n v="-21558.907983121437"/>
        <n v="-853.05206104955323"/>
        <n v="-12556.254910368225"/>
        <n v="3103.2533542939855"/>
        <n v="-21220.118728011264"/>
        <n v="-6321.5576365978977"/>
        <n v="-11620.058339829462"/>
        <n v="-23959.366264056887"/>
        <n v="-19362.52150751149"/>
        <n v="-17913.283164418775"/>
        <n v="-22583.263542992223"/>
        <n v="-4382.2646518049205"/>
        <n v="-16204.101095367427"/>
        <n v="-21530.043380751493"/>
        <n v="-11766.977437364931"/>
        <n v="-3438.5382614881746"/>
        <n v="-9320.455602491973"/>
        <n v="-3131.5779954957325"/>
        <n v="-19922.024869699846"/>
        <n v="20148.508674397028"/>
        <n v="-7615.5090281159792"/>
        <n v="-7269.9049762345821"/>
        <n v="-17695.027358113701"/>
        <n v="-907.2794995998338"/>
        <n v="-20236.38366262924"/>
        <n v="2919.3887977128925"/>
        <n v="-7116.2076643506571"/>
        <n v="-8597.0886004516506"/>
        <n v="-31945.587721529664"/>
        <n v="-7033.2780093567089"/>
        <n v="-4241.9195517970693"/>
        <n v="1283.958006646244"/>
        <n v="-8613.8985340804884"/>
        <n v="-6265.790607109544"/>
        <n v="-5349.5635077631359"/>
        <n v="-9240.9314079732394"/>
        <n v="-5798.369049627976"/>
        <n v="-3525.9529168811932"/>
        <n v="-564.30856220736041"/>
        <n v="-15643.634006712389"/>
        <n v="-25443.393174035831"/>
        <n v="-6735.202527909707"/>
        <n v="-2584.4617870847105"/>
        <n v="-12250.224348449679"/>
        <n v="-6393.7455890631481"/>
        <n v="-6524.1752395520707"/>
        <n v="-10199.309786644553"/>
        <n v="-20482.526590702568"/>
        <n v="-11025.520935652145"/>
        <n v="-19886.543598289747"/>
        <n v="-4173.0171063486523"/>
        <n v="-4435.7771741455163"/>
        <n v="-5859.4768290564753"/>
        <n v="-5155.9159373643688"/>
        <n v="-21959.044789841802"/>
        <n v="-3683.1654537213544"/>
        <n v="1031.1145654220727"/>
        <n v="-14417.996308048707"/>
        <n v="-5667.8016893441054"/>
        <n v="-5226.7831753489227"/>
        <n v="-7385.6739210903324"/>
        <n v="-6056.0375633595322"/>
        <n v="-13088.70307511837"/>
        <n v="-3501.638728150705"/>
        <n v="-15270.412424205784"/>
        <n v="-5741.5234427152536"/>
        <n v="-7702.5862664410652"/>
        <n v="73.849999999999994"/>
        <n v="395.46503062824195"/>
        <n v="-10598.372409890973"/>
        <n v="1865.1030579519502"/>
        <n v="-12675.305975137862"/>
        <n v="-29941.021483663768"/>
        <n v="242.81075098870315"/>
        <n v="218.70586564902351"/>
        <n v="-35.572205207049819"/>
        <n v="-602.46338473570631"/>
        <n v="368.14476281112047"/>
        <n v="922.91"/>
        <n v="385.77782808917232"/>
        <n v="-59.69912168501105"/>
        <n v="-11436.953788049846"/>
        <n v="-2706.038074329188"/>
        <n v="-18983.130394200562"/>
        <n v="-17860.259047317886"/>
        <n v="-3060.0151188458949"/>
        <n v="-14077.399183230529"/>
        <n v="-1907.910672880178"/>
        <n v="-24933.152655943311"/>
        <n v="0"/>
        <n v="183.98099999999999"/>
        <n v="-14.718999999999999"/>
        <n v="-5.0540000000000003"/>
        <n v="64.493000000000009"/>
        <n v="-9.718"/>
        <n v="51.658000000000001"/>
        <n v="-9235.372878911654"/>
        <n v="-7511.6631605818147"/>
        <n v="-15245.295661130483"/>
        <n v="-9496.5133917529165"/>
        <n v="-7364.349151897708"/>
        <n v="-10143.685772650671"/>
        <n v="-11551.687472475653"/>
        <n v="-13404.602285681474"/>
        <n v="-920.97575961471011"/>
        <n v="-22001.408666027237"/>
        <n v="-19875.404047798969"/>
        <n v="-21945.638985414422"/>
        <n v="20407.364720203477"/>
        <n v="-3532.1821946757482"/>
        <n v="-18779.645636119782"/>
        <n v="-25770.426269820127"/>
        <n v="-11637.010846047786"/>
        <n v="-19264.110284984803"/>
        <n v="-7687.8789455588685"/>
        <n v="-8233.0923207126543"/>
        <n v="-5480.071624700573"/>
        <n v="-6011.5506648510927"/>
        <n v="-3718.1600723447864"/>
        <n v="-19599.909196206499"/>
        <n v="-14541.418756766179"/>
        <n v="315.95"/>
        <n v="-5253.7770504430082"/>
        <n v="-622.06525974500164"/>
        <n v="-15338.819289872707"/>
        <n v="-16371.426655356991"/>
        <n v="-7836.795641075847"/>
        <n v="-20847.22517942894"/>
        <n v="-4764.0737044464513"/>
        <n v="-5345.3854204432573"/>
        <n v="-4347.461318767977"/>
        <n v="3729.8155927025291"/>
        <n v="-3760.353027707617"/>
        <n v="-9630.5799632559956"/>
        <n v="-16820.518115212417"/>
        <n v="-22087.984872253823"/>
        <n v="-13613.136258012553"/>
        <n v="-4508.9527743261297"/>
        <n v="-9662.9017414341888"/>
        <n v="-10815.242108698199"/>
        <n v="-22798.75187806756"/>
        <n v="329.99795382823868"/>
        <n v="-46148.465066261349"/>
        <n v="-12142.435295243857"/>
        <n v="-16793.860568637388"/>
        <n v="-12957.737434228242"/>
        <n v="-1557.7008828497328"/>
        <n v="-2823.4805852820127"/>
        <n v="866.73299999999995"/>
        <n v="-17726.19474208686"/>
        <n v="-2574.0493392779808"/>
        <n v="-6679.1202105551183"/>
        <n v="-16390.888361973561"/>
        <n v="-29208.673625147087"/>
        <n v="-10459.504025404829"/>
        <n v="-11673.665983973642"/>
        <n v="168.98"/>
        <n v="-10593.805045087382"/>
        <n v="-18648.82357932641"/>
        <n v="-9249.1626639012429"/>
        <n v="5577.8393795151951"/>
        <n v="-36265.257798434526"/>
        <n v="-8168.829240762434"/>
        <n v="-12623.350544535362"/>
        <n v="-8892.3840709525957"/>
        <n v="-7824.7217282575439"/>
        <n v="-12908.505497880768"/>
        <n v="121.54876121705017"/>
        <n v="-15434.346806107984"/>
        <n v="-27977.209289600174"/>
        <n v="-8967.9764859078296"/>
        <n v="-12566.62142853401"/>
        <n v="-1986076.3640000003"/>
        <n v="-8486.6077403901581" u="1"/>
        <n v="-12795.027358113701" u="1"/>
        <n v="752.7205004001662" u="1"/>
        <n v="-8247.0886004516506" u="1"/>
        <n v="-5089.5635077631359" u="1"/>
        <n v="-8777.9314079732394" u="1"/>
        <n v="-5350.369049627976" u="1"/>
        <n v="-3215.9529168811932" u="1"/>
        <n v="-6285.9159373643688" u="1"/>
        <n v="-11845.305975137862" u="1"/>
        <n v="51.661000000000001" u="1"/>
        <n v="-18695.638985414422" u="1"/>
        <n v="-1973535.3610000003" u="1"/>
        <n v="-5481.6027193760528" u="1"/>
        <n v="-9034.8316273671535" u="1"/>
        <n v="-23046.469869322056" u="1"/>
        <n v="-16950.283789493405" u="1"/>
        <n v="18603.312476133848" u="1"/>
        <n v="3576.2784480321266" u="1"/>
        <n v="-14149.924720580653" u="1"/>
        <n v="-12135.523176372029" u="1"/>
        <n v="-5179.9060464820468" u="1"/>
        <n v="-6773.9371487848111" u="1"/>
        <n v="455.70757622031397" u="1"/>
        <n v="-4830.3119897397391" u="1"/>
        <n v="-14220.393483235501" u="1"/>
        <n v="-5431.3209319077396" u="1"/>
        <n v="-6161.3060603539052" u="1"/>
        <n v="-832.33033334437869" u="1"/>
        <n v="-16568.024471705699" u="1"/>
        <n v="-4907.2025921876884" u="1"/>
        <n v="-7634.7270694981889" u="1"/>
        <n v="-17979.857750581297" u="1"/>
        <n v="-6180.643024300045" u="1"/>
        <n v="-19083.540338443276" u="1"/>
        <n v="-4706.1902652365134" u="1"/>
        <n v="-8488.8910519672099" u="1"/>
        <n v="-15293.596921167522" u="1"/>
        <n v="-27111.318459096176" u="1"/>
        <n v="-14610.999586319369" u="1"/>
        <n v="-1878.9842171708278" u="1"/>
        <n v="-7569.8267966363128" u="1"/>
        <n v="-11469.020358085167" u="1"/>
        <n v="-7965.3598857438355" u="1"/>
        <n v="-6474.9866390910302" u="1"/>
        <n v="-9537.9879806495774" u="1"/>
        <n v="-6625.2152085087437" u="1"/>
        <n v="-3314.9716350184808" u="1"/>
        <n v="-5029.77352279345" u="1"/>
        <n v="-12572.154525609414" u="1"/>
        <n v="-1911.7615679484293" u="1"/>
        <n v="-695.94607192981186" u="1"/>
        <n v="-11315.952392440222" u="1"/>
        <n v="-1504.4948649553044" u="1"/>
        <n v="-12567.550601104147" u="1"/>
        <n v="-26774.31518317492" u="1"/>
        <n v="-10552.981833387556" u="1"/>
        <n v="-21562.75110315418" u="1"/>
        <n v="-855.15044203756406" u="1"/>
        <n v="-12561.429890591062" u="1"/>
        <n v="3101.297524134452" u="1"/>
        <n v="-21224.05003516487" u="1"/>
        <n v="-6324.2207586550066" u="1"/>
        <n v="-11622.736635490663" u="1"/>
        <n v="-23965.34980841387" u="1"/>
        <n v="-19367.456914939175" u="1"/>
        <n v="-17919.131386891655" u="1"/>
        <n v="-22589.036493302803" u="1"/>
        <n v="-4383.6330735595602" u="1"/>
        <n v="-16206.805255685838" u="1"/>
        <n v="-21534.355355140659" u="1"/>
        <n v="-11769.195666065636" u="1"/>
        <n v="-3440.1030537998267" u="1"/>
        <n v="-9322.3928907215268" u="1"/>
        <n v="-3132.663617837381" u="1"/>
        <n v="-19925.736368593207" u="1"/>
        <n v="20148.50841018742" u="1"/>
        <n v="-7618.2203247513535" u="1"/>
        <n v="-7271.2147671038365" u="1"/>
        <n v="-12799.421669191059" u="1"/>
        <n v="751.90295541165597" u="1"/>
        <n v="-20240.810098205831" u="1"/>
        <n v="2917.0007040710352" u="1"/>
        <n v="-7117.7712105250048" u="1"/>
        <n v="-8248.670857981353" u="1"/>
        <n v="-31951.815637359949" u="1"/>
        <n v="-7034.8139637286913" u="1"/>
        <n v="-4243.1108128434862" u="1"/>
        <n v="1282.9530532370272" u="1"/>
        <n v="-8615.6540992102564" u="1"/>
        <n v="-6267.8907270281488" u="1"/>
        <n v="-5090.4716634372116" u="1"/>
        <n v="-8779.5106751200401" u="1"/>
        <n v="-5351.5260366797802" u="1"/>
        <n v="-3216.6932657915695" u="1"/>
        <n v="-564.67643430303769" u="1"/>
        <n v="-15646.586577598882" u="1"/>
        <n v="-25448.884200252927" u="1"/>
        <n v="-6736.713822820846" u="1"/>
        <n v="-2585.6431030272306" u="1"/>
        <n v="-12253.742656968483" u="1"/>
        <n v="-6394.8876495429968" u="1"/>
        <n v="-6525.9546057310545" u="1"/>
        <n v="-10204.829483648304" u="1"/>
        <n v="-20486.578336574185" u="1"/>
        <n v="-11027.881942802145" u="1"/>
        <n v="-19891.06460877445" u="1"/>
        <n v="-4174.5822031946173" u="1"/>
        <n v="-4436.9235955474724" u="1"/>
        <n v="-5861.0286702444355" u="1"/>
        <n v="-6287.140603325246" u="1"/>
        <n v="-21961.248068207093" u="1"/>
        <n v="-3684.1321132984431" u="1"/>
        <n v="1030.2269515829576" u="1"/>
        <n v="-14421.014647100405" u="1"/>
        <n v="-5669.2478937915366" u="1"/>
        <n v="-5228.0087515619743" u="1"/>
        <n v="-7387.966818353776" u="1"/>
        <n v="-6057.6779185025698" u="1"/>
        <n v="-13091.712914323551" u="1"/>
        <n v="-3503.3171354472579" u="1"/>
        <n v="-15274.290460924942" u="1"/>
        <n v="-5742.692435821451" u="1"/>
        <n v="-7704.2014196077253" u="1"/>
        <n v="392.94785222073551" u="1"/>
        <n v="-10600.957823164652" u="1"/>
        <n v="1863.6579428492114" u="1"/>
        <n v="-11847.69718140771" u="1"/>
        <n v="-29946.004241574516" u="1"/>
        <n v="242.69520704256843" u="1"/>
        <n v="218.29771687816719" u="1"/>
        <n v="-35.702096774870597" u="1"/>
        <n v="-602.63883570734288" u="1"/>
        <n v="368.0400776873621" u="1"/>
        <n v="385.72990427895331" u="1"/>
        <n v="-59.780189666388765" u="1"/>
        <n v="-11438.906966292081" u="1"/>
        <n v="-2707.4009205678067" u="1"/>
        <n v="-18989.107553581845" u="1"/>
        <n v="-17864.243557967697" u="1"/>
        <n v="-3061.5669728206776" u="1"/>
        <n v="-14079.790210561912" u="1"/>
        <n v="-1908.8834644695908" u="1"/>
        <n v="-24937.048316945486" u="1"/>
        <n v="226.53899999999999" u="1"/>
        <n v="100" u="1"/>
        <n v="151.65800000000002" u="1"/>
        <n v="-9238.5690067663745" u="1"/>
        <n v="-7513.5506756109135" u="1"/>
        <n v="-15248.872014959903" u="1"/>
        <n v="-9497.9426643698935" u="1"/>
        <n v="-7366.447975186471" u="1"/>
        <n v="-10145.963156457896" u="1"/>
        <n v="-11554.238774170455" u="1"/>
        <n v="-13408.946848669842" u="1"/>
        <n v="-923.07939779623302" u="1"/>
        <n v="-22006.370733013311" u="1"/>
        <n v="-19880.462409520551" u="1"/>
        <n v="-18700.575026675564" u="1"/>
        <n v="20146.591402060796" u="1"/>
        <n v="-3533.3065120937972" u="1"/>
        <n v="-18783.898505702389" u="1"/>
        <n v="-25774.331982341821" u="1"/>
        <n v="-11639.676694509275" u="1"/>
        <n v="-19267.303891640509" u="1"/>
        <n v="-7689.3803181667063" u="1"/>
        <n v="-8234.9239842567258" u="1"/>
        <n v="-5481.4291856300806" u="1"/>
        <n v="-6013.0269816451582" u="1"/>
        <n v="-3719.2166152222089" u="1"/>
        <n v="-19604.392995887392" u="1"/>
        <n v="-14544.590136114479" u="1"/>
        <n v="-5255.2900637179882" u="1"/>
        <n v="-622.85156167759123" u="1"/>
        <n v="-15341.166196702756" u="1"/>
        <n v="-16374.677263541293" u="1"/>
        <n v="-7839.0250596312308" u="1"/>
        <n v="-20851.252390742295" u="1"/>
        <n v="-4765.6614977837053" u="1"/>
        <n v="-5346.6567972765652" u="1"/>
        <n v="-4348.5105644918049" u="1"/>
        <n v="3485.9516944779753" u="1"/>
        <n v="-3761.8744007132882" u="1"/>
        <n v="-9632.6675745057164" u="1"/>
        <n v="-16823.055405748379" u="1"/>
        <n v="-22093.15652451399" u="1"/>
        <n v="-13615.794898327506" u="1"/>
        <n v="-4510.2401365725855" u="1"/>
        <n v="-9664.5871539827858" u="1"/>
        <n v="-10817.184764426849" u="1"/>
        <n v="-22803.646271228485" u="1"/>
        <n v="327.48638409775594" u="1"/>
        <n v="-46157.048108151408" u="1"/>
        <n v="-12146.35757532567" u="1"/>
        <n v="-16796.86684058918" u="1"/>
        <n v="-12960.710036170123" u="1"/>
        <n v="-1559.0464959202873" u="1"/>
        <n v="-2824.6322022927616" u="1"/>
        <n v="-17729.855206082593" u="1"/>
        <n v="-2575.6657469781112" u="1"/>
        <n v="-6680.4043133177183" u="1"/>
        <n v="-16393.875888908304" u="1"/>
        <n v="-29214.071109685101" u="1"/>
        <n v="-10462.256476384267" u="1"/>
        <n v="-11676.23525007319" u="1"/>
        <n v="-10595.690073619047" u="1"/>
        <n v="-18651.829559607737" u="1"/>
        <n v="-9251.2515315716464" u="1"/>
        <n v="5576.4087543067799" u="1"/>
        <n v="-36276.520695284664" u="1"/>
        <n v="-8170.5072346056113" u="1"/>
        <n v="-12626.473235829821" u="1"/>
        <n v="-8894.3337879719184" u="1"/>
        <n v="-7826.354504359213" u="1"/>
        <n v="-12912.270219180966" u="1"/>
        <n v="121.54813038772168" u="1"/>
        <n v="-15437.70096034911" u="1"/>
        <n v="-27982.410882047065" u="1"/>
        <n v="-8969.7944386292947" u="1"/>
        <n v="-12569.65910745952" u="1"/>
        <n v="-1974115.3660000011" u="1"/>
        <n v="76.95" u="1"/>
        <n v="2490.5794767219104" u="1"/>
        <n v="-1065.6693928819805" u="1"/>
        <n v="-13295.703502203301" u="1"/>
        <n v="-5242.6772011742032" u="1"/>
        <n v="9918.8494747108416" u="1"/>
        <n v="-2887.2106838074014" u="1"/>
        <n v="443.6281253044508" u="1"/>
        <n v="16321.731859786778" u="1"/>
        <n v="1493.0340642208166" u="1"/>
        <n v="7692.1764993893557" u="1"/>
        <n v="-2171.2908629501962" u="1"/>
        <n v="-447.02244911671005" u="1"/>
        <n v="971.25548941536363" u="1"/>
        <n v="-1635.7888996738002" u="1"/>
        <n v="-1937.5239476163151" u="1"/>
        <n v="823.49898784448305" u="1"/>
        <n v="-780.17051976471339" u="1"/>
        <n v="-4516.1830286271397" u="1"/>
        <n v="1164.3538720239576" u="1"/>
        <n v="-2792.9490709385645" u="1"/>
        <n v="-5395.6764407394294" u="1"/>
        <n v="-1392.2848042126607" u="1"/>
        <n v="-7090.3926379586701" u="1"/>
        <n v="-1026.6782209045841" u="1"/>
        <n v="-2684.1353127494403" u="1"/>
        <n v="-9886.2478440876475" u="1"/>
        <n v="-8031.7451224364631" u="1"/>
        <n v="-9543.5556136688829" u="1"/>
        <n v="2388.0765372468177" u="1"/>
        <n v="-3023.1059536477278" u="1"/>
        <n v="-7584.072397576816" u="1"/>
        <n v="-1024.1659340451788" u="1"/>
        <n v="-2849.8573173782406" u="1"/>
        <n v="-1348.6723639936681" u="1"/>
        <n v="-5004.2582421330117" u="1"/>
        <n v="2199.5727408808652" u="1"/>
        <n v="-949.55412252540191" u="1"/>
        <n v="-4395.2311823450145" u="1"/>
        <n v="447.96111904959253" u="1"/>
        <n v="4548.5763044190389" u="1"/>
        <n v="-4469.3088758950107" u="1"/>
        <n v="-178.01396010187091" u="1"/>
        <n v="-3044.1611325337071" u="1"/>
        <n v="-6714.8472133549585" u="1"/>
        <n v="-2602.5794528036895" u="1"/>
        <n v="-11134.934858147451" u="1"/>
        <n v="-4195.9181507832945" u="1"/>
        <n v="-3290.3657166965277" u="1"/>
        <n v="-9981.9270466467315" u="1"/>
        <n v="-8787.1272949108898" u="1"/>
        <n v="-2643.9204164669918" u="1"/>
        <n v="-2951.4952579972742" u="1"/>
        <n v="-7045.0893966957956" u="1"/>
        <n v="225.87225256222155" u="1"/>
        <n v="-9393.6534503732473" u="1"/>
        <n v="-9473.0203391625182" u="1"/>
        <n v="-181.47321900006682" u="1"/>
        <n v="-3785.6253636578986" u="1"/>
        <n v="-7227.2888113916706" u="1"/>
        <n v="-4623.1470135971758" u="1"/>
        <n v="25.554956894204224" u="1"/>
        <n v="-2029.8841649369024" u="1"/>
        <n v="1547.3930981013882" u="1"/>
        <n v="123.83977807891642" u="1"/>
        <n v="40623.637424267457" u="1"/>
        <n v="-1735.6734893462999" u="1"/>
        <n v="691.24255402421113" u="1"/>
        <n v="-2294.8644775147186" u="1"/>
        <n v="1145.9796182973714" u="1"/>
        <n v="-7424.8957880509442" u="1"/>
        <n v="-3885.2100342359881" u="1"/>
        <n v="217.97888754802807" u="1"/>
        <n v="-3131.0319962920657" u="1"/>
        <n v="-24029.279302656258" u="1"/>
        <n v="-181.92808432225138" u="1"/>
        <n v="-50.145517372755421" u="1"/>
        <n v="5356.4533913278856" u="1"/>
        <n v="-2789.2080988758498" u="1"/>
        <n v="-2478.94369842999" u="1"/>
        <n v="-3377.9316279355198" u="1"/>
        <n v="-4169.7259998026002" u="1"/>
        <n v="-2244.6983162272863" u="1"/>
        <n v="288.11187578276713" u="1"/>
        <n v="1239.8992714884171" u="1"/>
        <n v="-8126.8210860813597" u="1"/>
        <n v="-9163.0153166372329" u="1"/>
        <n v="-2149.0263053344424" u="1"/>
        <n v="2398.6303743727703" u="1"/>
        <n v="-4560.4859417941116" u="1"/>
        <n v="-448.02506159537916" u="1"/>
        <n v="9788.7641479738541" u="1"/>
        <n v="-423.25876893500754" u="1"/>
        <n v="-10216.730029110666" u="1"/>
        <n v="-5127.8925987651019" u="1"/>
        <n v="-6860.5438088653391" u="1"/>
        <n v="205.63828624402231" u="1"/>
        <n v="1317.4183197028424" u="1"/>
        <n v="-2206.8416530355444" u="1"/>
        <n v="1574.9689113383465" u="1"/>
        <n v="-1374.9686506286944" u="1"/>
        <n v="-1360.7704483890566" u="1"/>
        <n v="1793.3095916046714" u="1"/>
        <n v="-3724.8585188085963" u="1"/>
        <n v="106.90189006234505" u="1"/>
        <n v="-1221.675477459301" u="1"/>
        <n v="-658.38674859604907" u="1"/>
        <n v="-442.29209338945293" u="1"/>
        <n v="-2534.3622737591504" u="1"/>
        <n v="-68.149696054020751" u="1"/>
        <n v="-6794.9853982291097" u="1"/>
        <n v="1346.9945258496218" u="1"/>
        <n v="-4698.450880680728" u="1"/>
        <n v="84.545999999999992" u="1"/>
        <n v="-1588.5321815228745" u="1"/>
        <n v="-2994.3566842482251" u="1"/>
        <n v="-437.62736785499874" u="1"/>
        <n v="-2128.7265584950492" u="1"/>
        <n v="-11004.46984311565" u="1"/>
        <n v="834.1118353496845" u="1"/>
        <n v="1490.9009019105615" u="1"/>
        <n v="678.50817378987313" u="1"/>
        <n v="729.38091264542845" u="1"/>
        <n v="983.87477567798555" u="1"/>
        <n v="2159.1045994968117" u="1"/>
        <n v="1640.8795197467114" u="1"/>
        <n v="556.08208358163597" u="1"/>
        <n v="-1437.1901464897164" u="1"/>
        <n v="1402.9226184620402" u="1"/>
        <n v="-11916.541582910817" u="1"/>
        <n v="-9122.421312401264" u="1"/>
        <n v="473.14246194999396" u="1"/>
        <n v="-5431.5657745934332" u="1"/>
        <n v="1932.4634064008624" u="1"/>
        <n v="-10221.056570078013" u="1"/>
        <n v="545.77199999999993" u="1"/>
        <n v="401.49800000000005" u="1"/>
        <n v="2.84" u="1"/>
        <n v="401.608" u="1"/>
        <n v="-7210.2164822065279" u="1"/>
        <n v="-2239.3535194190426" u="1"/>
        <n v="-5541.9560326019782" u="1"/>
        <n v="-1090.8888474947889" u="1"/>
        <n v="470.96879406215885" u="1"/>
        <n v="-3718.7826871734651" u="1"/>
        <n v="-1466.7245368518488" u="1"/>
        <n v="-8764.7231098226584" u="1"/>
        <n v="-763.04492746471078" u="1"/>
        <n v="-8945.504822606119" u="1"/>
        <n v="-7568.9001871888795" u="1"/>
        <n v="-6296.282544932903" u="1"/>
        <n v="-2426.7444124563626" u="1"/>
        <n v="506.41143560273849" u="1"/>
        <n v="-6164.8217907086037" u="1"/>
        <n v="-7205.6320546497664" u="1"/>
        <n v="3305.5263859278675" u="1"/>
        <n v="-5749.567467430883" u="1"/>
        <n v="-339.74702729241835" u="1"/>
        <n v="-4159.1607456953789" u="1"/>
        <n v="414.39924578797218" u="1"/>
        <n v="-15.031915272742481" u="1"/>
        <n v="280.40408287077298" u="1"/>
        <n v="-12006.191619000587" u="1"/>
        <n v="-1221.0761738775836" u="1"/>
        <n v="224.94" u="1"/>
        <n v="-1588.6370741851106" u="1"/>
        <n v="1096.2644766036638" u="1"/>
        <n v="-8386.1605754420179" u="1"/>
        <n v="-6746.0530897041244" u="1"/>
        <n v="-383.82470172021749" u="1"/>
        <n v="-8100.1187981516123" u="1"/>
        <n v="517.89403403295546" u="1"/>
        <n v="-466.82910662220456" u="1"/>
        <n v="743.932122418978" u="1"/>
        <n v="-1926.1681487146416" u="1"/>
        <n v="1741.2386983681045" u="1"/>
        <n v="-1372.8989498904957" u="1"/>
        <n v="-3806.3395048435086" u="1"/>
        <n v="-8871.3285489384143" u="1"/>
        <n v="-3931.4316527548981" u="1"/>
        <n v="-1451.1951052519489" u="1"/>
        <n v="-1721.7493176405624" u="1"/>
        <n v="-3870.1954918592655" u="1"/>
        <n v="-3728.8136453479019" u="1"/>
        <n v="-5290.3729672109439" u="1"/>
        <n v="-14672.447226938712" u="1"/>
        <n v="-4932.2866191558169" u="1"/>
        <n v="-6279.9773713029426" u="1"/>
        <n v="-6218.2666438144552" u="1"/>
        <n v="7466.4689694765075" u="1"/>
        <n v="1697.8601603379175" u="1"/>
        <n v="1061.5513742206274" u="1"/>
        <n v="-6327.2100491500605" u="1"/>
        <n v="-1370.6986543169514" u="1"/>
        <n v="-1103.6700091402054" u="1"/>
        <n v="-1717.5220920969659" u="1"/>
        <n v="-4231.2641235176852" u="1"/>
        <n v="-2643.0125795683489" u="1"/>
        <n v="-1528.8834292617939" u="1"/>
        <n v="-681.55563767454623" u="1"/>
        <n v="-6528.9112309744523" u="1"/>
        <n v="-1188.5292827300145" u="1"/>
        <n v="4870.9181530495443" u="1"/>
        <n v="2478.1037120067667" u="1"/>
        <n v="-2593.9853661744055" u="1"/>
        <n v="-3373.7717289715692" u="1"/>
        <n v="-3214.5273204586156" u="1"/>
        <n v="-1561.9086432122185" u="1"/>
        <n v="-8674.6659038506405" u="1"/>
        <n v="-4241.8514044148906" u="1"/>
        <n v="-7054.1076292636571" u="1"/>
        <n v="-1196.8664843725455" u="1"/>
        <n v="-3556.3642142955505" u="1"/>
        <n v="-485228.57000000018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x v="0"/>
    <x v="0"/>
    <x v="0"/>
    <n v="0"/>
    <n v="0"/>
    <x v="0"/>
    <x v="0"/>
    <n v="-7.74"/>
    <x v="0"/>
    <x v="0"/>
    <x v="0"/>
  </r>
  <r>
    <x v="1"/>
    <x v="1"/>
    <x v="1"/>
    <n v="-20640.50919999999"/>
    <n v="-2974.0804000000053"/>
    <x v="1"/>
    <x v="1"/>
    <n v="11528.324499999993"/>
    <x v="1"/>
    <x v="1"/>
    <x v="1"/>
  </r>
  <r>
    <x v="2"/>
    <x v="2"/>
    <x v="2"/>
    <n v="-57130.356299999403"/>
    <n v="-8354.6258999999409"/>
    <x v="2"/>
    <x v="2"/>
    <n v="40933.620599999333"/>
    <x v="2"/>
    <x v="2"/>
    <x v="2"/>
  </r>
  <r>
    <x v="3"/>
    <x v="3"/>
    <x v="3"/>
    <n v="-30978.46940000014"/>
    <n v="-4582.7244000000001"/>
    <x v="3"/>
    <x v="3"/>
    <n v="21476.298900000133"/>
    <x v="3"/>
    <x v="3"/>
    <x v="3"/>
  </r>
  <r>
    <x v="4"/>
    <x v="4"/>
    <x v="4"/>
    <n v="-21798.328399999977"/>
    <n v="-3093.1187000000132"/>
    <x v="4"/>
    <x v="4"/>
    <n v="15460.479400000013"/>
    <x v="4"/>
    <x v="4"/>
    <x v="4"/>
  </r>
  <r>
    <x v="5"/>
    <x v="5"/>
    <x v="5"/>
    <n v="-42422.624199999867"/>
    <n v="-6182.5173999999843"/>
    <x v="5"/>
    <x v="5"/>
    <n v="27584.495699999919"/>
    <x v="5"/>
    <x v="5"/>
    <x v="5"/>
  </r>
  <r>
    <x v="6"/>
    <x v="0"/>
    <x v="6"/>
    <n v="0"/>
    <n v="0"/>
    <x v="0"/>
    <x v="6"/>
    <n v="-114.70010000000001"/>
    <x v="6"/>
    <x v="6"/>
    <x v="6"/>
  </r>
  <r>
    <x v="7"/>
    <x v="6"/>
    <x v="7"/>
    <n v="-4505.9156000000039"/>
    <n v="-652.49760000000015"/>
    <x v="6"/>
    <x v="7"/>
    <n v="3185.0520000000056"/>
    <x v="7"/>
    <x v="7"/>
    <x v="7"/>
  </r>
  <r>
    <x v="8"/>
    <x v="7"/>
    <x v="8"/>
    <n v="-4999.9986000000081"/>
    <n v="-731.44600000000059"/>
    <x v="7"/>
    <x v="8"/>
    <n v="3775.1585000000086"/>
    <x v="8"/>
    <x v="8"/>
    <x v="8"/>
  </r>
  <r>
    <x v="9"/>
    <x v="8"/>
    <x v="9"/>
    <n v="-25554.979500000005"/>
    <n v="0"/>
    <x v="8"/>
    <x v="9"/>
    <n v="13104.044900000019"/>
    <x v="9"/>
    <x v="9"/>
    <x v="9"/>
  </r>
  <r>
    <x v="10"/>
    <x v="9"/>
    <x v="10"/>
    <n v="-20695.787899999985"/>
    <n v="-3036.4697000000006"/>
    <x v="9"/>
    <x v="10"/>
    <n v="16001.838199999984"/>
    <x v="10"/>
    <x v="10"/>
    <x v="10"/>
  </r>
  <r>
    <x v="11"/>
    <x v="10"/>
    <x v="11"/>
    <n v="-23219.819600000017"/>
    <n v="-3316.4146000000101"/>
    <x v="10"/>
    <x v="11"/>
    <n v="9397.4981000000007"/>
    <x v="11"/>
    <x v="11"/>
    <x v="11"/>
  </r>
  <r>
    <x v="12"/>
    <x v="11"/>
    <x v="12"/>
    <n v="-17487.063599999903"/>
    <n v="-2550.383600000001"/>
    <x v="11"/>
    <x v="12"/>
    <n v="11618.1851999999"/>
    <x v="12"/>
    <x v="12"/>
    <x v="12"/>
  </r>
  <r>
    <x v="13"/>
    <x v="12"/>
    <x v="13"/>
    <n v="-34968.956400000076"/>
    <n v="-4994.0212999999985"/>
    <x v="12"/>
    <x v="13"/>
    <n v="25823.982300000062"/>
    <x v="13"/>
    <x v="13"/>
    <x v="13"/>
  </r>
  <r>
    <x v="14"/>
    <x v="13"/>
    <x v="14"/>
    <n v="-25782.760900000107"/>
    <n v="-3700.0440000000021"/>
    <x v="13"/>
    <x v="14"/>
    <n v="14670.802900000104"/>
    <x v="14"/>
    <x v="14"/>
    <x v="14"/>
  </r>
  <r>
    <x v="15"/>
    <x v="14"/>
    <x v="15"/>
    <n v="-21956.940599999973"/>
    <n v="-3149.6350000000025"/>
    <x v="14"/>
    <x v="15"/>
    <n v="12280.91479999996"/>
    <x v="15"/>
    <x v="15"/>
    <x v="15"/>
  </r>
  <r>
    <x v="16"/>
    <x v="15"/>
    <x v="16"/>
    <n v="-57770.19129999954"/>
    <n v="-8431.3632999999536"/>
    <x v="15"/>
    <x v="16"/>
    <n v="35592.290899999483"/>
    <x v="16"/>
    <x v="16"/>
    <x v="16"/>
  </r>
  <r>
    <x v="17"/>
    <x v="16"/>
    <x v="17"/>
    <n v="-15336.65229999992"/>
    <n v="-2201.3410000000008"/>
    <x v="16"/>
    <x v="17"/>
    <n v="8496.1910999999182"/>
    <x v="17"/>
    <x v="17"/>
    <x v="17"/>
  </r>
  <r>
    <x v="18"/>
    <x v="17"/>
    <x v="18"/>
    <n v="-25019.718200000123"/>
    <n v="-3572.8296000000087"/>
    <x v="17"/>
    <x v="18"/>
    <n v="17517.995400000109"/>
    <x v="18"/>
    <x v="18"/>
    <x v="18"/>
  </r>
  <r>
    <x v="19"/>
    <x v="18"/>
    <x v="19"/>
    <n v="-45747.084399999869"/>
    <n v="-6588.9671999999855"/>
    <x v="18"/>
    <x v="19"/>
    <n v="27232.883399999868"/>
    <x v="19"/>
    <x v="19"/>
    <x v="19"/>
  </r>
  <r>
    <x v="20"/>
    <x v="19"/>
    <x v="20"/>
    <n v="-21059.555600000022"/>
    <n v="-3033.8306999999973"/>
    <x v="19"/>
    <x v="20"/>
    <n v="8095.0199000000175"/>
    <x v="20"/>
    <x v="20"/>
    <x v="20"/>
  </r>
  <r>
    <x v="21"/>
    <x v="20"/>
    <x v="21"/>
    <n v="-46896.310299999888"/>
    <n v="-6781.1901000000016"/>
    <x v="20"/>
    <x v="21"/>
    <n v="16952.862999999896"/>
    <x v="21"/>
    <x v="21"/>
    <x v="21"/>
  </r>
  <r>
    <x v="22"/>
    <x v="21"/>
    <x v="22"/>
    <n v="-16864.597299999925"/>
    <n v="-2455.6702"/>
    <x v="21"/>
    <x v="22"/>
    <n v="9718.1439999999347"/>
    <x v="22"/>
    <x v="22"/>
    <x v="22"/>
  </r>
  <r>
    <x v="23"/>
    <x v="22"/>
    <x v="23"/>
    <n v="-20721.375000000051"/>
    <n v="-2995.0369999999994"/>
    <x v="22"/>
    <x v="23"/>
    <n v="7583.8648000000467"/>
    <x v="23"/>
    <x v="23"/>
    <x v="23"/>
  </r>
  <r>
    <x v="24"/>
    <x v="23"/>
    <x v="24"/>
    <n v="-25264.655600000046"/>
    <n v="-3641.6431000000039"/>
    <x v="23"/>
    <x v="24"/>
    <n v="18569.496500000067"/>
    <x v="24"/>
    <x v="24"/>
    <x v="24"/>
  </r>
  <r>
    <x v="25"/>
    <x v="24"/>
    <x v="25"/>
    <n v="-50892.513699999552"/>
    <n v="-7318.9734999999519"/>
    <x v="24"/>
    <x v="25"/>
    <n v="34025.668099999457"/>
    <x v="25"/>
    <x v="25"/>
    <x v="25"/>
  </r>
  <r>
    <x v="26"/>
    <x v="25"/>
    <x v="26"/>
    <n v="-43192.229799999877"/>
    <n v="-6266.4409999999625"/>
    <x v="25"/>
    <x v="26"/>
    <n v="29535.461399999822"/>
    <x v="26"/>
    <x v="26"/>
    <x v="26"/>
  </r>
  <r>
    <x v="27"/>
    <x v="26"/>
    <x v="27"/>
    <n v="-15224.185999999947"/>
    <n v="-2238.7701000000043"/>
    <x v="26"/>
    <x v="27"/>
    <n v="6379.3393999999444"/>
    <x v="27"/>
    <x v="27"/>
    <x v="27"/>
  </r>
  <r>
    <x v="28"/>
    <x v="27"/>
    <x v="28"/>
    <n v="-15449.433699999809"/>
    <n v="-2198.6866000000073"/>
    <x v="27"/>
    <x v="28"/>
    <n v="12206.020299999818"/>
    <x v="28"/>
    <x v="28"/>
    <x v="28"/>
  </r>
  <r>
    <x v="29"/>
    <x v="28"/>
    <x v="29"/>
    <n v="-33370.367000000122"/>
    <n v="-4755.1110999999992"/>
    <x v="28"/>
    <x v="29"/>
    <n v="23842.349600000143"/>
    <x v="29"/>
    <x v="29"/>
    <x v="29"/>
  </r>
  <r>
    <x v="30"/>
    <x v="29"/>
    <x v="30"/>
    <n v="-13589.651699999939"/>
    <n v="-1896.1084999999982"/>
    <x v="29"/>
    <x v="30"/>
    <n v="10884.835799999943"/>
    <x v="30"/>
    <x v="30"/>
    <x v="30"/>
  </r>
  <r>
    <x v="31"/>
    <x v="30"/>
    <x v="31"/>
    <n v="-18564.64929999995"/>
    <n v="-2672.9620000000054"/>
    <x v="30"/>
    <x v="31"/>
    <n v="11969.022899999938"/>
    <x v="31"/>
    <x v="31"/>
    <x v="31"/>
  </r>
  <r>
    <x v="32"/>
    <x v="31"/>
    <x v="32"/>
    <n v="-32954.219100000126"/>
    <n v="-4676.8311999999933"/>
    <x v="31"/>
    <x v="32"/>
    <n v="18532.090200000108"/>
    <x v="32"/>
    <x v="32"/>
    <x v="32"/>
  </r>
  <r>
    <x v="33"/>
    <x v="32"/>
    <x v="33"/>
    <n v="-12768.113499999918"/>
    <n v="-1813.0109000000045"/>
    <x v="32"/>
    <x v="33"/>
    <n v="9951.8875999999291"/>
    <x v="33"/>
    <x v="33"/>
    <x v="33"/>
  </r>
  <r>
    <x v="34"/>
    <x v="33"/>
    <x v="34"/>
    <n v="-20785.019899999945"/>
    <n v="-2944.7941000000055"/>
    <x v="33"/>
    <x v="34"/>
    <n v="16209.960599999957"/>
    <x v="34"/>
    <x v="34"/>
    <x v="34"/>
  </r>
  <r>
    <x v="35"/>
    <x v="34"/>
    <x v="35"/>
    <n v="-23815.824800000046"/>
    <n v="-3464.9146000000073"/>
    <x v="34"/>
    <x v="35"/>
    <n v="17410.282500000023"/>
    <x v="35"/>
    <x v="35"/>
    <x v="35"/>
  </r>
  <r>
    <x v="36"/>
    <x v="35"/>
    <x v="36"/>
    <n v="-19587.483599999905"/>
    <n v="-2841.5522000000051"/>
    <x v="35"/>
    <x v="36"/>
    <n v="14422.668999999927"/>
    <x v="36"/>
    <x v="36"/>
    <x v="36"/>
  </r>
  <r>
    <x v="37"/>
    <x v="36"/>
    <x v="37"/>
    <n v="-14835.040599999918"/>
    <n v="-2120.9233000000013"/>
    <x v="36"/>
    <x v="37"/>
    <n v="5011.3885999999202"/>
    <x v="37"/>
    <x v="37"/>
    <x v="37"/>
  </r>
  <r>
    <x v="38"/>
    <x v="37"/>
    <x v="38"/>
    <n v="-22479.984600000025"/>
    <n v="-3220.4287000000008"/>
    <x v="37"/>
    <x v="38"/>
    <n v="16348.241600000025"/>
    <x v="38"/>
    <x v="38"/>
    <x v="38"/>
  </r>
  <r>
    <x v="39"/>
    <x v="38"/>
    <x v="39"/>
    <n v="-53348.089499999936"/>
    <n v="-7529.621499999942"/>
    <x v="38"/>
    <x v="39"/>
    <n v="32553.327199999763"/>
    <x v="39"/>
    <x v="39"/>
    <x v="39"/>
  </r>
  <r>
    <x v="40"/>
    <x v="39"/>
    <x v="40"/>
    <n v="-27585.413800000122"/>
    <n v="-3820.3381000000068"/>
    <x v="39"/>
    <x v="40"/>
    <n v="19106.002700000121"/>
    <x v="40"/>
    <x v="40"/>
    <x v="40"/>
  </r>
  <r>
    <x v="41"/>
    <x v="40"/>
    <x v="41"/>
    <n v="-36514.05629999996"/>
    <n v="-5267.0743999999968"/>
    <x v="40"/>
    <x v="41"/>
    <n v="26033.708699999959"/>
    <x v="41"/>
    <x v="41"/>
    <x v="41"/>
  </r>
  <r>
    <x v="42"/>
    <x v="41"/>
    <x v="42"/>
    <n v="-41702.550200000027"/>
    <n v="-5965.1386999999759"/>
    <x v="41"/>
    <x v="42"/>
    <n v="23090.782699999996"/>
    <x v="42"/>
    <x v="42"/>
    <x v="42"/>
  </r>
  <r>
    <x v="43"/>
    <x v="42"/>
    <x v="43"/>
    <n v="-38098.662600000105"/>
    <n v="-5496.343600000002"/>
    <x v="42"/>
    <x v="43"/>
    <n v="21749.519500000042"/>
    <x v="43"/>
    <x v="43"/>
    <x v="43"/>
  </r>
  <r>
    <x v="44"/>
    <x v="43"/>
    <x v="44"/>
    <n v="-43257.75119999981"/>
    <n v="-5560.4473999999918"/>
    <x v="43"/>
    <x v="44"/>
    <n v="32619.881299999775"/>
    <x v="44"/>
    <x v="44"/>
    <x v="44"/>
  </r>
  <r>
    <x v="45"/>
    <x v="44"/>
    <x v="45"/>
    <n v="-27043.777800000076"/>
    <n v="-4004.9340000000129"/>
    <x v="44"/>
    <x v="45"/>
    <n v="18215.26340000008"/>
    <x v="45"/>
    <x v="45"/>
    <x v="45"/>
  </r>
  <r>
    <x v="46"/>
    <x v="45"/>
    <x v="46"/>
    <n v="-27122.407800000048"/>
    <n v="-3916.1398000000008"/>
    <x v="45"/>
    <x v="46"/>
    <n v="17796.551000000043"/>
    <x v="46"/>
    <x v="46"/>
    <x v="46"/>
  </r>
  <r>
    <x v="47"/>
    <x v="46"/>
    <x v="47"/>
    <n v="-77181.062699998191"/>
    <n v="-11056.28459999997"/>
    <x v="46"/>
    <x v="47"/>
    <n v="52013.749699997934"/>
    <x v="47"/>
    <x v="47"/>
    <x v="47"/>
  </r>
  <r>
    <x v="48"/>
    <x v="47"/>
    <x v="48"/>
    <n v="-51468.119699999865"/>
    <n v="-7390.687299999955"/>
    <x v="47"/>
    <x v="48"/>
    <n v="32262.897899999803"/>
    <x v="48"/>
    <x v="48"/>
    <x v="48"/>
  </r>
  <r>
    <x v="49"/>
    <x v="48"/>
    <x v="49"/>
    <n v="-43575.148399999976"/>
    <n v="-6265.5415999999814"/>
    <x v="48"/>
    <x v="49"/>
    <n v="22399.221299999914"/>
    <x v="49"/>
    <x v="49"/>
    <x v="49"/>
  </r>
  <r>
    <x v="50"/>
    <x v="49"/>
    <x v="50"/>
    <n v="-53253.645499999671"/>
    <n v="-7705.3875999999773"/>
    <x v="49"/>
    <x v="50"/>
    <n v="33890.914599999698"/>
    <x v="50"/>
    <x v="50"/>
    <x v="50"/>
  </r>
  <r>
    <x v="51"/>
    <x v="50"/>
    <x v="51"/>
    <n v="-27990.511800000066"/>
    <n v="-4134.1770000000051"/>
    <x v="50"/>
    <x v="51"/>
    <n v="18885.612800000068"/>
    <x v="51"/>
    <x v="51"/>
    <x v="51"/>
  </r>
  <r>
    <x v="52"/>
    <x v="51"/>
    <x v="52"/>
    <n v="-43048.733499999755"/>
    <n v="-6165.7203999999865"/>
    <x v="51"/>
    <x v="52"/>
    <n v="27815.429099999776"/>
    <x v="52"/>
    <x v="52"/>
    <x v="52"/>
  </r>
  <r>
    <x v="53"/>
    <x v="52"/>
    <x v="53"/>
    <n v="-24294.147700000034"/>
    <n v="-3512.1560000000009"/>
    <x v="52"/>
    <x v="53"/>
    <n v="16000.774300000006"/>
    <x v="53"/>
    <x v="53"/>
    <x v="53"/>
  </r>
  <r>
    <x v="54"/>
    <x v="53"/>
    <x v="54"/>
    <n v="-22647.741899999972"/>
    <n v="-3297.0499000000232"/>
    <x v="53"/>
    <x v="54"/>
    <n v="12920.987199999938"/>
    <x v="54"/>
    <x v="54"/>
    <x v="54"/>
  </r>
  <r>
    <x v="55"/>
    <x v="54"/>
    <x v="55"/>
    <n v="-18714.672399999945"/>
    <n v="-2722.2303999999967"/>
    <x v="54"/>
    <x v="55"/>
    <n v="13948.044899999941"/>
    <x v="55"/>
    <x v="55"/>
    <x v="55"/>
  </r>
  <r>
    <x v="56"/>
    <x v="55"/>
    <x v="56"/>
    <n v="0"/>
    <n v="0"/>
    <x v="0"/>
    <x v="56"/>
    <n v="-3355.7757999999953"/>
    <x v="56"/>
    <x v="56"/>
    <x v="56"/>
  </r>
  <r>
    <x v="57"/>
    <x v="56"/>
    <x v="57"/>
    <n v="-8911.5292999999911"/>
    <n v="-1332.1876"/>
    <x v="55"/>
    <x v="57"/>
    <n v="5264.4800999999879"/>
    <x v="57"/>
    <x v="57"/>
    <x v="57"/>
  </r>
  <r>
    <x v="58"/>
    <x v="57"/>
    <x v="58"/>
    <n v="-22145.924699999974"/>
    <n v="-3191.2116000000051"/>
    <x v="56"/>
    <x v="58"/>
    <n v="16161.224599999974"/>
    <x v="58"/>
    <x v="58"/>
    <x v="58"/>
  </r>
  <r>
    <x v="59"/>
    <x v="58"/>
    <x v="59"/>
    <n v="-43065.999199999933"/>
    <n v="-6098.8433999999806"/>
    <x v="57"/>
    <x v="59"/>
    <n v="29158.850199999819"/>
    <x v="59"/>
    <x v="59"/>
    <x v="59"/>
  </r>
  <r>
    <x v="60"/>
    <x v="59"/>
    <x v="60"/>
    <n v="-30113.479100000208"/>
    <n v="-4236.4330000000191"/>
    <x v="58"/>
    <x v="60"/>
    <n v="18276.104300000123"/>
    <x v="60"/>
    <x v="60"/>
    <x v="60"/>
  </r>
  <r>
    <x v="61"/>
    <x v="60"/>
    <x v="61"/>
    <n v="-13507.725899999907"/>
    <n v="-1878.3481000000022"/>
    <x v="59"/>
    <x v="61"/>
    <n v="11690.601299999915"/>
    <x v="61"/>
    <x v="61"/>
    <x v="61"/>
  </r>
  <r>
    <x v="62"/>
    <x v="61"/>
    <x v="62"/>
    <n v="-42977.182500000083"/>
    <n v="-6237.3173999999954"/>
    <x v="60"/>
    <x v="62"/>
    <n v="24800.640700000025"/>
    <x v="62"/>
    <x v="62"/>
    <x v="62"/>
  </r>
  <r>
    <x v="63"/>
    <x v="62"/>
    <x v="63"/>
    <n v="-10076.381299999981"/>
    <n v="-1477.1126000000004"/>
    <x v="61"/>
    <x v="63"/>
    <n v="4533.1492999999846"/>
    <x v="63"/>
    <x v="63"/>
    <x v="63"/>
  </r>
  <r>
    <x v="64"/>
    <x v="63"/>
    <x v="64"/>
    <n v="-51163.842599999582"/>
    <n v="-7212.4194999999545"/>
    <x v="62"/>
    <x v="64"/>
    <n v="37959.845999999474"/>
    <x v="64"/>
    <x v="64"/>
    <x v="64"/>
  </r>
  <r>
    <x v="65"/>
    <x v="64"/>
    <x v="65"/>
    <n v="-19931.510200000008"/>
    <n v="-2834.1479000000004"/>
    <x v="63"/>
    <x v="65"/>
    <n v="11903.855400000015"/>
    <x v="65"/>
    <x v="65"/>
    <x v="65"/>
  </r>
  <r>
    <x v="66"/>
    <x v="65"/>
    <x v="66"/>
    <n v="-15193.963899999924"/>
    <n v="-2187.7022000000011"/>
    <x v="64"/>
    <x v="66"/>
    <n v="9324.8976999999286"/>
    <x v="66"/>
    <x v="66"/>
    <x v="66"/>
  </r>
  <r>
    <x v="67"/>
    <x v="66"/>
    <x v="67"/>
    <n v="0"/>
    <n v="0"/>
    <x v="0"/>
    <x v="67"/>
    <n v="0"/>
    <x v="67"/>
    <x v="67"/>
    <x v="67"/>
  </r>
  <r>
    <x v="68"/>
    <x v="0"/>
    <x v="68"/>
    <n v="-8369.7982000000011"/>
    <n v="-883.73989999999992"/>
    <x v="65"/>
    <x v="68"/>
    <n v="4298.0028000000048"/>
    <x v="68"/>
    <x v="68"/>
    <x v="68"/>
  </r>
  <r>
    <x v="69"/>
    <x v="67"/>
    <x v="69"/>
    <n v="-20146.557699999918"/>
    <n v="-2918.4421000000029"/>
    <x v="66"/>
    <x v="69"/>
    <n v="12174.362099999906"/>
    <x v="69"/>
    <x v="69"/>
    <x v="69"/>
  </r>
  <r>
    <x v="70"/>
    <x v="68"/>
    <x v="70"/>
    <n v="-12777.942399999927"/>
    <n v="-1854.7113000000022"/>
    <x v="67"/>
    <x v="70"/>
    <n v="7743.6508999999151"/>
    <x v="70"/>
    <x v="70"/>
    <x v="70"/>
  </r>
  <r>
    <x v="71"/>
    <x v="69"/>
    <x v="71"/>
    <n v="-14546.503899999912"/>
    <n v="-2144.2338000000009"/>
    <x v="68"/>
    <x v="71"/>
    <n v="9377.1443999999174"/>
    <x v="71"/>
    <x v="71"/>
    <x v="71"/>
  </r>
  <r>
    <x v="72"/>
    <x v="70"/>
    <x v="72"/>
    <n v="-14899.513999999965"/>
    <n v="-2182.2505000000019"/>
    <x v="69"/>
    <x v="72"/>
    <n v="9155.4873999999691"/>
    <x v="72"/>
    <x v="72"/>
    <x v="72"/>
  </r>
  <r>
    <x v="73"/>
    <x v="71"/>
    <x v="73"/>
    <n v="-3881.0334000000021"/>
    <n v="-295.20069999999993"/>
    <x v="70"/>
    <x v="73"/>
    <n v="2719.7954000000036"/>
    <x v="73"/>
    <x v="73"/>
    <x v="73"/>
  </r>
  <r>
    <x v="74"/>
    <x v="72"/>
    <x v="74"/>
    <n v="-10129.308399999998"/>
    <n v="-1471.6732000000015"/>
    <x v="71"/>
    <x v="74"/>
    <n v="7405.8985999999941"/>
    <x v="74"/>
    <x v="74"/>
    <x v="74"/>
  </r>
  <r>
    <x v="75"/>
    <x v="73"/>
    <x v="75"/>
    <n v="-14837.981999999925"/>
    <n v="-2056.3589999999995"/>
    <x v="72"/>
    <x v="75"/>
    <n v="11275.806499999933"/>
    <x v="75"/>
    <x v="75"/>
    <x v="75"/>
  </r>
  <r>
    <x v="76"/>
    <x v="74"/>
    <x v="76"/>
    <n v="-8373.2707000000137"/>
    <n v="-1214.0147000000011"/>
    <x v="73"/>
    <x v="76"/>
    <n v="6227.0354000000179"/>
    <x v="76"/>
    <x v="76"/>
    <x v="76"/>
  </r>
  <r>
    <x v="77"/>
    <x v="75"/>
    <x v="77"/>
    <n v="-3283.4773000000037"/>
    <n v="-456.53359999999952"/>
    <x v="74"/>
    <x v="77"/>
    <n v="2554.0580000000027"/>
    <x v="77"/>
    <x v="77"/>
    <x v="77"/>
  </r>
  <r>
    <x v="78"/>
    <x v="76"/>
    <x v="78"/>
    <n v="-26648.231000000083"/>
    <n v="-3869.2187000000035"/>
    <x v="75"/>
    <x v="78"/>
    <n v="18760.490200000102"/>
    <x v="78"/>
    <x v="78"/>
    <x v="78"/>
  </r>
  <r>
    <x v="79"/>
    <x v="77"/>
    <x v="79"/>
    <n v="-41077.719199999927"/>
    <n v="-5884.481399999996"/>
    <x v="76"/>
    <x v="79"/>
    <n v="26848.748499999867"/>
    <x v="79"/>
    <x v="79"/>
    <x v="79"/>
  </r>
  <r>
    <x v="80"/>
    <x v="78"/>
    <x v="80"/>
    <n v="-24349.702299999997"/>
    <n v="-3501.4705000000004"/>
    <x v="77"/>
    <x v="80"/>
    <n v="16330.392499999974"/>
    <x v="80"/>
    <x v="80"/>
    <x v="80"/>
  </r>
  <r>
    <x v="81"/>
    <x v="79"/>
    <x v="81"/>
    <n v="-18090.418199999956"/>
    <n v="-2644.1644000000028"/>
    <x v="78"/>
    <x v="81"/>
    <n v="10979.551699999978"/>
    <x v="81"/>
    <x v="81"/>
    <x v="81"/>
  </r>
  <r>
    <x v="82"/>
    <x v="80"/>
    <x v="82"/>
    <n v="-37893.212300000087"/>
    <n v="-5507.1809999999714"/>
    <x v="79"/>
    <x v="82"/>
    <n v="23820.489499999974"/>
    <x v="82"/>
    <x v="82"/>
    <x v="82"/>
  </r>
  <r>
    <x v="83"/>
    <x v="81"/>
    <x v="83"/>
    <n v="-10774.989899999973"/>
    <n v="-1534.9883000000004"/>
    <x v="80"/>
    <x v="83"/>
    <n v="7607.7332999999762"/>
    <x v="83"/>
    <x v="83"/>
    <x v="83"/>
  </r>
  <r>
    <x v="84"/>
    <x v="82"/>
    <x v="84"/>
    <n v="-22193.952300000023"/>
    <n v="-3168.1365999999994"/>
    <x v="81"/>
    <x v="84"/>
    <n v="12875.766800000001"/>
    <x v="84"/>
    <x v="84"/>
    <x v="84"/>
  </r>
  <r>
    <x v="85"/>
    <x v="83"/>
    <x v="85"/>
    <n v="-30817.599500000128"/>
    <n v="-4437.3840000000037"/>
    <x v="82"/>
    <x v="85"/>
    <n v="20786.432200000105"/>
    <x v="85"/>
    <x v="85"/>
    <x v="85"/>
  </r>
  <r>
    <x v="86"/>
    <x v="84"/>
    <x v="86"/>
    <n v="-36601.136200000154"/>
    <n v="-5442.2134999999817"/>
    <x v="83"/>
    <x v="86"/>
    <n v="25932.48640000014"/>
    <x v="86"/>
    <x v="86"/>
    <x v="86"/>
  </r>
  <r>
    <x v="87"/>
    <x v="85"/>
    <x v="87"/>
    <n v="-21966.398599999928"/>
    <n v="-3163.1015000000129"/>
    <x v="84"/>
    <x v="87"/>
    <n v="17119.603799999946"/>
    <x v="87"/>
    <x v="87"/>
    <x v="87"/>
  </r>
  <r>
    <x v="88"/>
    <x v="86"/>
    <x v="88"/>
    <n v="-38958.188599999936"/>
    <n v="-5674.7622999999958"/>
    <x v="85"/>
    <x v="88"/>
    <n v="25360.637799999902"/>
    <x v="88"/>
    <x v="88"/>
    <x v="88"/>
  </r>
  <r>
    <x v="89"/>
    <x v="87"/>
    <x v="89"/>
    <n v="-25751.000199999995"/>
    <n v="0"/>
    <x v="86"/>
    <x v="89"/>
    <n v="13263.034300000001"/>
    <x v="89"/>
    <x v="89"/>
    <x v="89"/>
  </r>
  <r>
    <x v="90"/>
    <x v="88"/>
    <x v="90"/>
    <n v="-9074.181800000013"/>
    <n v="-1294.7715000000026"/>
    <x v="87"/>
    <x v="90"/>
    <n v="6745.822900000021"/>
    <x v="90"/>
    <x v="90"/>
    <x v="90"/>
  </r>
  <r>
    <x v="91"/>
    <x v="89"/>
    <x v="91"/>
    <n v="-22214.648100000042"/>
    <n v="-3186.0643000000014"/>
    <x v="88"/>
    <x v="91"/>
    <n v="16582.006700000013"/>
    <x v="91"/>
    <x v="91"/>
    <x v="91"/>
  </r>
  <r>
    <x v="92"/>
    <x v="90"/>
    <x v="92"/>
    <n v="-17010.755999999841"/>
    <n v="-2488.3658000000073"/>
    <x v="89"/>
    <x v="92"/>
    <n v="14192.469799999864"/>
    <x v="92"/>
    <x v="92"/>
    <x v="92"/>
  </r>
  <r>
    <x v="93"/>
    <x v="91"/>
    <x v="93"/>
    <n v="-15290.68069999987"/>
    <n v="-2217.8528000000033"/>
    <x v="90"/>
    <x v="93"/>
    <n v="9688.6060999998754"/>
    <x v="93"/>
    <x v="93"/>
    <x v="93"/>
  </r>
  <r>
    <x v="94"/>
    <x v="92"/>
    <x v="94"/>
    <n v="-22329.128200000025"/>
    <n v="-3207.7188999999998"/>
    <x v="91"/>
    <x v="94"/>
    <n v="41082.154899999987"/>
    <x v="94"/>
    <x v="94"/>
    <x v="94"/>
  </r>
  <r>
    <x v="95"/>
    <x v="93"/>
    <x v="95"/>
    <n v="-9662.6698999999935"/>
    <n v="-1411.8660000000011"/>
    <x v="92"/>
    <x v="95"/>
    <n v="3943.9055999999919"/>
    <x v="95"/>
    <x v="95"/>
    <x v="95"/>
  </r>
  <r>
    <x v="96"/>
    <x v="94"/>
    <x v="96"/>
    <n v="-20405.853899999955"/>
    <n v="-2967.8510000000056"/>
    <x v="93"/>
    <x v="96"/>
    <n v="15367.241099999974"/>
    <x v="96"/>
    <x v="96"/>
    <x v="96"/>
  </r>
  <r>
    <x v="97"/>
    <x v="95"/>
    <x v="97"/>
    <n v="-15102.508999999845"/>
    <n v="-2289.6623000000086"/>
    <x v="94"/>
    <x v="97"/>
    <n v="10880.619299999855"/>
    <x v="97"/>
    <x v="97"/>
    <x v="97"/>
  </r>
  <r>
    <x v="98"/>
    <x v="96"/>
    <x v="98"/>
    <n v="-6450.3994000000093"/>
    <n v="-935.37359999999978"/>
    <x v="95"/>
    <x v="98"/>
    <n v="3606.6589000000104"/>
    <x v="98"/>
    <x v="98"/>
    <x v="98"/>
  </r>
  <r>
    <x v="99"/>
    <x v="97"/>
    <x v="99"/>
    <n v="-35559.9997"/>
    <n v="0"/>
    <x v="96"/>
    <x v="99"/>
    <n v="18879.971400000013"/>
    <x v="99"/>
    <x v="99"/>
    <x v="99"/>
  </r>
  <r>
    <x v="100"/>
    <x v="98"/>
    <x v="100"/>
    <n v="-11903.051299999977"/>
    <n v="-1724.8984999999986"/>
    <x v="97"/>
    <x v="100"/>
    <n v="7194.5891999999822"/>
    <x v="100"/>
    <x v="100"/>
    <x v="100"/>
  </r>
  <r>
    <x v="101"/>
    <x v="99"/>
    <x v="101"/>
    <n v="-32911.812500000226"/>
    <n v="-4717.3835999999974"/>
    <x v="98"/>
    <x v="101"/>
    <n v="18272.220700000176"/>
    <x v="101"/>
    <x v="101"/>
    <x v="101"/>
  </r>
  <r>
    <x v="102"/>
    <x v="100"/>
    <x v="102"/>
    <n v="-18132.00449999993"/>
    <n v="-2614.388600000002"/>
    <x v="99"/>
    <x v="102"/>
    <n v="9265.0053999999091"/>
    <x v="102"/>
    <x v="102"/>
    <x v="102"/>
  </r>
  <r>
    <x v="103"/>
    <x v="101"/>
    <x v="103"/>
    <n v="-52647.830799999661"/>
    <n v="-7481.5672999999315"/>
    <x v="100"/>
    <x v="103"/>
    <n v="34443.40019999948"/>
    <x v="103"/>
    <x v="103"/>
    <x v="103"/>
  </r>
  <r>
    <x v="104"/>
    <x v="102"/>
    <x v="104"/>
    <n v="-14195.684999999883"/>
    <n v="-2047.8637000000056"/>
    <x v="101"/>
    <x v="104"/>
    <n v="9997.150499999876"/>
    <x v="104"/>
    <x v="104"/>
    <x v="104"/>
  </r>
  <r>
    <x v="105"/>
    <x v="0"/>
    <x v="105"/>
    <n v="0"/>
    <n v="0"/>
    <x v="0"/>
    <x v="105"/>
    <n v="-127.51439999999999"/>
    <x v="105"/>
    <x v="105"/>
    <x v="105"/>
  </r>
  <r>
    <x v="106"/>
    <x v="103"/>
    <x v="106"/>
    <n v="0"/>
    <n v="0"/>
    <x v="0"/>
    <x v="106"/>
    <n v="-2354.6958999999997"/>
    <x v="106"/>
    <x v="106"/>
    <x v="106"/>
  </r>
  <r>
    <x v="107"/>
    <x v="104"/>
    <x v="107"/>
    <n v="-26578.438900000056"/>
    <n v="-3818.3538000000081"/>
    <x v="102"/>
    <x v="107"/>
    <n v="17837.331300000056"/>
    <x v="107"/>
    <x v="107"/>
    <x v="107"/>
  </r>
  <r>
    <x v="108"/>
    <x v="105"/>
    <x v="108"/>
    <n v="-30181.179900000108"/>
    <n v="-4385.8346000000138"/>
    <x v="103"/>
    <x v="108"/>
    <n v="19197.891100000106"/>
    <x v="108"/>
    <x v="108"/>
    <x v="108"/>
  </r>
  <r>
    <x v="109"/>
    <x v="106"/>
    <x v="109"/>
    <n v="-11234.281799999975"/>
    <n v="-1639.2848999999999"/>
    <x v="104"/>
    <x v="109"/>
    <n v="5841.7894999999853"/>
    <x v="109"/>
    <x v="109"/>
    <x v="109"/>
  </r>
  <r>
    <x v="110"/>
    <x v="107"/>
    <x v="110"/>
    <n v="-21760.337800000023"/>
    <n v="-3134.9801000000025"/>
    <x v="105"/>
    <x v="110"/>
    <n v="16092.12640000001"/>
    <x v="110"/>
    <x v="110"/>
    <x v="110"/>
  </r>
  <r>
    <x v="111"/>
    <x v="108"/>
    <x v="111"/>
    <n v="-63526.138499999375"/>
    <n v="-9135.2946999999731"/>
    <x v="106"/>
    <x v="111"/>
    <n v="45101.5716999992"/>
    <x v="111"/>
    <x v="111"/>
    <x v="111"/>
  </r>
  <r>
    <x v="112"/>
    <x v="109"/>
    <x v="112"/>
    <n v="-1395.6898000000001"/>
    <n v="-163.7243"/>
    <x v="107"/>
    <x v="112"/>
    <n v="645.06280000000015"/>
    <x v="112"/>
    <x v="112"/>
    <x v="112"/>
  </r>
  <r>
    <x v="113"/>
    <x v="110"/>
    <x v="113"/>
    <n v="0"/>
    <n v="0"/>
    <x v="0"/>
    <x v="113"/>
    <n v="-10857.880899999998"/>
    <x v="113"/>
    <x v="113"/>
    <x v="113"/>
  </r>
  <r>
    <x v="114"/>
    <x v="111"/>
    <x v="114"/>
    <n v="-749.24110000000007"/>
    <n v="-102.49949999999998"/>
    <x v="108"/>
    <x v="114"/>
    <n v="442.11759999999998"/>
    <x v="114"/>
    <x v="114"/>
    <x v="114"/>
  </r>
  <r>
    <x v="115"/>
    <x v="112"/>
    <x v="115"/>
    <n v="-1612.0859000000005"/>
    <n v="-228.15030000000013"/>
    <x v="109"/>
    <x v="115"/>
    <n v="1084.1208000000013"/>
    <x v="115"/>
    <x v="115"/>
    <x v="115"/>
  </r>
  <r>
    <x v="116"/>
    <x v="113"/>
    <x v="116"/>
    <n v="-1403.4478000000006"/>
    <n v="-212.5513"/>
    <x v="110"/>
    <x v="116"/>
    <n v="814.37450000000081"/>
    <x v="116"/>
    <x v="116"/>
    <x v="116"/>
  </r>
  <r>
    <x v="117"/>
    <x v="114"/>
    <x v="117"/>
    <n v="-4751.3529000000026"/>
    <n v="-578.97819999999979"/>
    <x v="111"/>
    <x v="117"/>
    <n v="2485.1342000000004"/>
    <x v="117"/>
    <x v="117"/>
    <x v="117"/>
  </r>
  <r>
    <x v="118"/>
    <x v="115"/>
    <x v="118"/>
    <n v="-1438.1994000000004"/>
    <n v="-144.6447"/>
    <x v="112"/>
    <x v="118"/>
    <n v="568.63200000000063"/>
    <x v="118"/>
    <x v="118"/>
    <x v="118"/>
  </r>
  <r>
    <x v="119"/>
    <x v="116"/>
    <x v="119"/>
    <n v="-1006.8962"/>
    <n v="-127.72399999999999"/>
    <x v="113"/>
    <x v="119"/>
    <n v="447.09050000000002"/>
    <x v="119"/>
    <x v="119"/>
    <x v="119"/>
  </r>
  <r>
    <x v="120"/>
    <x v="117"/>
    <x v="67"/>
    <n v="0"/>
    <n v="0"/>
    <x v="0"/>
    <x v="120"/>
    <n v="0"/>
    <x v="67"/>
    <x v="67"/>
    <x v="120"/>
  </r>
  <r>
    <x v="121"/>
    <x v="118"/>
    <x v="120"/>
    <n v="-10901.06499999996"/>
    <n v="-1476.8584000000028"/>
    <x v="114"/>
    <x v="121"/>
    <n v="6742.8446999999596"/>
    <x v="120"/>
    <x v="120"/>
    <x v="121"/>
  </r>
  <r>
    <x v="122"/>
    <x v="119"/>
    <x v="121"/>
    <n v="-58135.690399999708"/>
    <n v="-8283.8944999999439"/>
    <x v="115"/>
    <x v="122"/>
    <n v="37334.969199999672"/>
    <x v="121"/>
    <x v="121"/>
    <x v="122"/>
  </r>
  <r>
    <x v="123"/>
    <x v="120"/>
    <x v="122"/>
    <n v="-56619.843499999864"/>
    <n v="-8127.2049999999608"/>
    <x v="116"/>
    <x v="123"/>
    <n v="36947.450299999713"/>
    <x v="122"/>
    <x v="122"/>
    <x v="123"/>
  </r>
  <r>
    <x v="124"/>
    <x v="121"/>
    <x v="123"/>
    <n v="-21975.011200000023"/>
    <n v="-3199.2360000000081"/>
    <x v="117"/>
    <x v="124"/>
    <n v="10686.443300000017"/>
    <x v="123"/>
    <x v="123"/>
    <x v="124"/>
  </r>
  <r>
    <x v="125"/>
    <x v="122"/>
    <x v="124"/>
    <n v="-27770.276800000145"/>
    <n v="-3953.0321000000054"/>
    <x v="118"/>
    <x v="125"/>
    <n v="21343.952800000086"/>
    <x v="124"/>
    <x v="124"/>
    <x v="125"/>
  </r>
  <r>
    <x v="126"/>
    <x v="123"/>
    <x v="125"/>
    <n v="-13708.741499999931"/>
    <n v="-2017.963400000003"/>
    <x v="119"/>
    <x v="126"/>
    <n v="6041.4558999999354"/>
    <x v="125"/>
    <x v="125"/>
    <x v="126"/>
  </r>
  <r>
    <x v="127"/>
    <x v="124"/>
    <x v="126"/>
    <n v="-41664.63199999975"/>
    <n v="-6017.5664999999808"/>
    <x v="120"/>
    <x v="127"/>
    <n v="30613.846699999733"/>
    <x v="126"/>
    <x v="126"/>
    <x v="127"/>
  </r>
  <r>
    <x v="128"/>
    <x v="125"/>
    <x v="127"/>
    <n v="-1243.8191999999999"/>
    <n v="-199.03089999999992"/>
    <x v="121"/>
    <x v="128"/>
    <n v="1152.5896999999998"/>
    <x v="127"/>
    <x v="127"/>
    <x v="128"/>
  </r>
  <r>
    <x v="129"/>
    <x v="126"/>
    <x v="128"/>
    <n v="-900.86229999999989"/>
    <n v="-144.13799999999998"/>
    <x v="122"/>
    <x v="129"/>
    <n v="838.12829999999997"/>
    <x v="128"/>
    <x v="128"/>
    <x v="129"/>
  </r>
  <r>
    <x v="130"/>
    <x v="127"/>
    <x v="129"/>
    <n v="-1845.6889999999989"/>
    <n v="-295.3107"/>
    <x v="123"/>
    <x v="130"/>
    <n v="1496.1679999999988"/>
    <x v="129"/>
    <x v="129"/>
    <x v="130"/>
  </r>
  <r>
    <x v="131"/>
    <x v="128"/>
    <x v="130"/>
    <n v="-904.37100000000044"/>
    <n v="-144.69930000000005"/>
    <x v="124"/>
    <x v="131"/>
    <n v="852.3032000000004"/>
    <x v="130"/>
    <x v="130"/>
    <x v="131"/>
  </r>
  <r>
    <x v="132"/>
    <x v="129"/>
    <x v="131"/>
    <n v="-2561.0113000000024"/>
    <n v="-409.76169999999951"/>
    <x v="125"/>
    <x v="132"/>
    <n v="1963.1855000000021"/>
    <x v="131"/>
    <x v="131"/>
    <x v="132"/>
  </r>
  <r>
    <x v="133"/>
    <x v="130"/>
    <x v="132"/>
    <n v="-1575.6293999999994"/>
    <n v="-252.10230000000007"/>
    <x v="126"/>
    <x v="133"/>
    <n v="1539.4866999999992"/>
    <x v="132"/>
    <x v="132"/>
    <x v="133"/>
  </r>
  <r>
    <x v="134"/>
    <x v="131"/>
    <x v="133"/>
    <n v="-714.46559999999977"/>
    <n v="-114.31429999999999"/>
    <x v="127"/>
    <x v="134"/>
    <n v="676.93549999999982"/>
    <x v="133"/>
    <x v="133"/>
    <x v="134"/>
  </r>
  <r>
    <x v="135"/>
    <x v="130"/>
    <x v="134"/>
    <n v="-430.17259999999999"/>
    <n v="-68.827500000000001"/>
    <x v="128"/>
    <x v="135"/>
    <n v="439.3528"/>
    <x v="134"/>
    <x v="134"/>
    <x v="135"/>
  </r>
  <r>
    <x v="136"/>
    <x v="130"/>
    <x v="135"/>
    <n v="-1044.7720999999999"/>
    <n v="-167.16370000000003"/>
    <x v="129"/>
    <x v="136"/>
    <n v="887.2337"/>
    <x v="135"/>
    <x v="135"/>
    <x v="136"/>
  </r>
  <r>
    <x v="137"/>
    <x v="132"/>
    <x v="136"/>
    <n v="-1242.2414000000001"/>
    <n v="-198.7587"/>
    <x v="130"/>
    <x v="137"/>
    <n v="457.41769999999997"/>
    <x v="136"/>
    <x v="136"/>
    <x v="137"/>
  </r>
  <r>
    <x v="138"/>
    <x v="133"/>
    <x v="137"/>
    <n v="-38204.585800000001"/>
    <n v="0"/>
    <x v="131"/>
    <x v="138"/>
    <n v="15956.345199999989"/>
    <x v="137"/>
    <x v="137"/>
    <x v="138"/>
  </r>
  <r>
    <x v="139"/>
    <x v="134"/>
    <x v="138"/>
    <n v="-13418.963899999939"/>
    <n v="-1976.5487000000003"/>
    <x v="132"/>
    <x v="139"/>
    <n v="9920.2738999999292"/>
    <x v="138"/>
    <x v="138"/>
    <x v="139"/>
  </r>
  <r>
    <x v="140"/>
    <x v="135"/>
    <x v="139"/>
    <n v="-46659.164699999783"/>
    <n v="-6679.2731999999805"/>
    <x v="133"/>
    <x v="140"/>
    <n v="34822.242199999819"/>
    <x v="139"/>
    <x v="139"/>
    <x v="140"/>
  </r>
  <r>
    <x v="141"/>
    <x v="136"/>
    <x v="140"/>
    <n v="-21260.983900000017"/>
    <n v="-3033.5455000000075"/>
    <x v="134"/>
    <x v="141"/>
    <n v="15869.513100000016"/>
    <x v="140"/>
    <x v="140"/>
    <x v="141"/>
  </r>
  <r>
    <x v="142"/>
    <x v="137"/>
    <x v="141"/>
    <n v="-18098.833499999877"/>
    <n v="-2637.2446000000064"/>
    <x v="135"/>
    <x v="142"/>
    <n v="13728.046599999885"/>
    <x v="141"/>
    <x v="141"/>
    <x v="142"/>
  </r>
  <r>
    <x v="143"/>
    <x v="138"/>
    <x v="142"/>
    <n v="-26316.374100000066"/>
    <n v="-3798.4031"/>
    <x v="136"/>
    <x v="143"/>
    <n v="18831.164900000069"/>
    <x v="142"/>
    <x v="142"/>
    <x v="143"/>
  </r>
  <r>
    <x v="144"/>
    <x v="139"/>
    <x v="143"/>
    <n v="-28692.23510000006"/>
    <n v="-4162.1183000000074"/>
    <x v="137"/>
    <x v="144"/>
    <n v="19542.55550000006"/>
    <x v="143"/>
    <x v="143"/>
    <x v="144"/>
  </r>
  <r>
    <x v="145"/>
    <x v="140"/>
    <x v="144"/>
    <n v="-48506.84969999965"/>
    <n v="-7012.1715999999451"/>
    <x v="138"/>
    <x v="145"/>
    <n v="32452.13689999955"/>
    <x v="144"/>
    <x v="144"/>
    <x v="145"/>
  </r>
  <r>
    <x v="146"/>
    <x v="141"/>
    <x v="145"/>
    <n v="-39725.238199999993"/>
    <n v="-5959.2009999999718"/>
    <x v="139"/>
    <x v="146"/>
    <n v="21686.418100000003"/>
    <x v="145"/>
    <x v="145"/>
    <x v="146"/>
  </r>
  <r>
    <x v="147"/>
    <x v="142"/>
    <x v="146"/>
    <n v="-43256.039900000003"/>
    <n v="-6454.5342999999848"/>
    <x v="140"/>
    <x v="147"/>
    <n v="28024.529400000036"/>
    <x v="146"/>
    <x v="146"/>
    <x v="147"/>
  </r>
  <r>
    <x v="148"/>
    <x v="143"/>
    <x v="147"/>
    <n v="-46717.662599999836"/>
    <n v="-6672.9969999999403"/>
    <x v="141"/>
    <x v="148"/>
    <n v="31479.804599999796"/>
    <x v="147"/>
    <x v="147"/>
    <x v="148"/>
  </r>
  <r>
    <x v="149"/>
    <x v="144"/>
    <x v="148"/>
    <n v="-41435.632899999953"/>
    <n v="-5925.7062999999998"/>
    <x v="142"/>
    <x v="149"/>
    <n v="27286.364099999861"/>
    <x v="148"/>
    <x v="148"/>
    <x v="149"/>
  </r>
  <r>
    <x v="150"/>
    <x v="145"/>
    <x v="149"/>
    <n v="-23404.251000000091"/>
    <n v="-3345.5910000000072"/>
    <x v="143"/>
    <x v="150"/>
    <n v="16162.189800000075"/>
    <x v="149"/>
    <x v="149"/>
    <x v="150"/>
  </r>
  <r>
    <x v="151"/>
    <x v="146"/>
    <x v="150"/>
    <n v="-17896.446499999947"/>
    <n v="-2575.6215000000093"/>
    <x v="144"/>
    <x v="151"/>
    <n v="11192.538299999951"/>
    <x v="150"/>
    <x v="150"/>
    <x v="151"/>
  </r>
  <r>
    <x v="152"/>
    <x v="147"/>
    <x v="151"/>
    <n v="-40367.414699999885"/>
    <n v="-5630.9197999999924"/>
    <x v="145"/>
    <x v="152"/>
    <n v="26259.132799999919"/>
    <x v="151"/>
    <x v="151"/>
    <x v="152"/>
  </r>
  <r>
    <x v="153"/>
    <x v="148"/>
    <x v="152"/>
    <n v="-58941.251299999465"/>
    <n v="-8475.5166999999092"/>
    <x v="146"/>
    <x v="153"/>
    <n v="46357.334599999172"/>
    <x v="152"/>
    <x v="152"/>
    <x v="153"/>
  </r>
  <r>
    <x v="154"/>
    <x v="149"/>
    <x v="153"/>
    <n v="-27879.086400000448"/>
    <n v="-3911.6616999999728"/>
    <x v="147"/>
    <x v="154"/>
    <n v="23698.991600000445"/>
    <x v="153"/>
    <x v="153"/>
    <x v="154"/>
  </r>
  <r>
    <x v="155"/>
    <x v="150"/>
    <x v="154"/>
    <n v="-28429.300500000259"/>
    <n v="-4131.4203000000089"/>
    <x v="148"/>
    <x v="155"/>
    <n v="24733.646300000284"/>
    <x v="154"/>
    <x v="154"/>
    <x v="155"/>
  </r>
  <r>
    <x v="156"/>
    <x v="151"/>
    <x v="155"/>
    <n v="-22848.998899999999"/>
    <n v="0"/>
    <x v="149"/>
    <x v="156"/>
    <n v="13445.74639999998"/>
    <x v="155"/>
    <x v="155"/>
    <x v="156"/>
  </r>
  <r>
    <x v="157"/>
    <x v="152"/>
    <x v="156"/>
    <n v="-22515.202399999991"/>
    <n v="0"/>
    <x v="150"/>
    <x v="157"/>
    <n v="15754.921599999987"/>
    <x v="156"/>
    <x v="156"/>
    <x v="157"/>
  </r>
  <r>
    <x v="158"/>
    <x v="153"/>
    <x v="157"/>
    <n v="-11743.133099999934"/>
    <n v="-1668.4013000000016"/>
    <x v="151"/>
    <x v="158"/>
    <n v="8390.9259999999413"/>
    <x v="157"/>
    <x v="157"/>
    <x v="158"/>
  </r>
  <r>
    <x v="159"/>
    <x v="154"/>
    <x v="158"/>
    <n v="-13353.471399999917"/>
    <n v="-1936.8082000000045"/>
    <x v="152"/>
    <x v="159"/>
    <n v="9253.6334999999126"/>
    <x v="158"/>
    <x v="158"/>
    <x v="159"/>
  </r>
  <r>
    <x v="160"/>
    <x v="155"/>
    <x v="159"/>
    <n v="-14824.530499999919"/>
    <n v="-2153.9952000000044"/>
    <x v="153"/>
    <x v="160"/>
    <n v="6248.4769999999371"/>
    <x v="159"/>
    <x v="159"/>
    <x v="160"/>
  </r>
  <r>
    <x v="161"/>
    <x v="156"/>
    <x v="160"/>
    <n v="-42870.603800000135"/>
    <n v="-6189.634199999985"/>
    <x v="154"/>
    <x v="161"/>
    <n v="30352.73000000001"/>
    <x v="160"/>
    <x v="160"/>
    <x v="161"/>
  </r>
  <r>
    <x v="162"/>
    <x v="157"/>
    <x v="161"/>
    <n v="-24208.720800000032"/>
    <n v="-3466.5576000000037"/>
    <x v="155"/>
    <x v="162"/>
    <n v="17060.766200000035"/>
    <x v="161"/>
    <x v="161"/>
    <x v="162"/>
  </r>
  <r>
    <x v="163"/>
    <x v="158"/>
    <x v="162"/>
    <n v="0"/>
    <n v="0"/>
    <x v="0"/>
    <x v="163"/>
    <n v="-148.53309999999999"/>
    <x v="162"/>
    <x v="162"/>
    <x v="163"/>
  </r>
  <r>
    <x v="164"/>
    <x v="159"/>
    <x v="163"/>
    <n v="-12161.205699999977"/>
    <n v="-1659.3796999999995"/>
    <x v="156"/>
    <x v="164"/>
    <n v="8105.2214999999742"/>
    <x v="163"/>
    <x v="163"/>
    <x v="164"/>
  </r>
  <r>
    <x v="165"/>
    <x v="160"/>
    <x v="164"/>
    <n v="-13165.831199999953"/>
    <n v="-1936.7390000000032"/>
    <x v="157"/>
    <x v="165"/>
    <n v="6586.1858999999477"/>
    <x v="164"/>
    <x v="164"/>
    <x v="165"/>
  </r>
  <r>
    <x v="166"/>
    <x v="161"/>
    <x v="165"/>
    <n v="-56849.820800000001"/>
    <n v="0"/>
    <x v="158"/>
    <x v="166"/>
    <n v="23687.787099999921"/>
    <x v="165"/>
    <x v="165"/>
    <x v="166"/>
  </r>
  <r>
    <x v="167"/>
    <x v="162"/>
    <x v="166"/>
    <n v="-40413.104400000193"/>
    <n v="-5814.6488999999547"/>
    <x v="159"/>
    <x v="167"/>
    <n v="25752.604300000163"/>
    <x v="166"/>
    <x v="166"/>
    <x v="167"/>
  </r>
  <r>
    <x v="168"/>
    <x v="163"/>
    <x v="167"/>
    <n v="-28442.455300000027"/>
    <n v="-4111.8235000000141"/>
    <x v="160"/>
    <x v="168"/>
    <n v="18279.279899999987"/>
    <x v="167"/>
    <x v="167"/>
    <x v="168"/>
  </r>
  <r>
    <x v="169"/>
    <x v="164"/>
    <x v="168"/>
    <n v="-39435.769099999867"/>
    <n v="-5581.2825999999641"/>
    <x v="161"/>
    <x v="169"/>
    <n v="28647.462299999883"/>
    <x v="168"/>
    <x v="168"/>
    <x v="169"/>
  </r>
  <r>
    <x v="170"/>
    <x v="165"/>
    <x v="169"/>
    <n v="-20192.239199999964"/>
    <n v="-2857.344600000004"/>
    <x v="162"/>
    <x v="170"/>
    <n v="13677.422499999964"/>
    <x v="169"/>
    <x v="169"/>
    <x v="170"/>
  </r>
  <r>
    <x v="171"/>
    <x v="166"/>
    <x v="170"/>
    <n v="-9643.6922999999842"/>
    <n v="-1391.3827000000033"/>
    <x v="163"/>
    <x v="171"/>
    <n v="6694.7264999999907"/>
    <x v="170"/>
    <x v="170"/>
    <x v="171"/>
  </r>
  <r>
    <x v="172"/>
    <x v="167"/>
    <x v="171"/>
    <n v="-22208.443199999983"/>
    <n v="-3190.1261000000045"/>
    <x v="164"/>
    <x v="172"/>
    <n v="11544.937699999973"/>
    <x v="171"/>
    <x v="171"/>
    <x v="172"/>
  </r>
  <r>
    <x v="173"/>
    <x v="168"/>
    <x v="172"/>
    <n v="-25109.37580000002"/>
    <n v="-3624.8837999999978"/>
    <x v="165"/>
    <x v="173"/>
    <n v="14054.780200000016"/>
    <x v="172"/>
    <x v="172"/>
    <x v="173"/>
  </r>
  <r>
    <x v="174"/>
    <x v="169"/>
    <x v="67"/>
    <n v="0"/>
    <n v="0"/>
    <x v="0"/>
    <x v="174"/>
    <n v="0"/>
    <x v="67"/>
    <x v="67"/>
    <x v="174"/>
  </r>
  <r>
    <x v="175"/>
    <x v="170"/>
    <x v="173"/>
    <n v="-15643.785599999906"/>
    <n v="-2250.3631000000028"/>
    <x v="166"/>
    <x v="175"/>
    <n v="10428.0114999999"/>
    <x v="173"/>
    <x v="173"/>
    <x v="175"/>
  </r>
  <r>
    <x v="176"/>
    <x v="171"/>
    <x v="174"/>
    <n v="-18952.686399999937"/>
    <n v="-2787.8691999999987"/>
    <x v="167"/>
    <x v="176"/>
    <n v="13521.483899999934"/>
    <x v="174"/>
    <x v="174"/>
    <x v="176"/>
  </r>
  <r>
    <x v="177"/>
    <x v="172"/>
    <x v="175"/>
    <n v="-59714.249299999778"/>
    <n v="-8585.1741999999704"/>
    <x v="168"/>
    <x v="177"/>
    <n v="35408.575399999681"/>
    <x v="175"/>
    <x v="175"/>
    <x v="177"/>
  </r>
  <r>
    <x v="178"/>
    <x v="173"/>
    <x v="176"/>
    <n v="-30380.941299999948"/>
    <n v="-4315.2150000000011"/>
    <x v="169"/>
    <x v="178"/>
    <n v="22641.352399999923"/>
    <x v="176"/>
    <x v="176"/>
    <x v="178"/>
  </r>
  <r>
    <x v="179"/>
    <x v="174"/>
    <x v="177"/>
    <n v="-19757.315499999979"/>
    <n v="-2847.1581999999999"/>
    <x v="170"/>
    <x v="179"/>
    <n v="13671.515099999966"/>
    <x v="177"/>
    <x v="177"/>
    <x v="179"/>
  </r>
  <r>
    <x v="180"/>
    <x v="175"/>
    <x v="178"/>
    <n v="-16585.37609999991"/>
    <n v="-2398.6437999999985"/>
    <x v="171"/>
    <x v="180"/>
    <n v="11465.676599999913"/>
    <x v="178"/>
    <x v="178"/>
    <x v="180"/>
  </r>
  <r>
    <x v="181"/>
    <x v="176"/>
    <x v="179"/>
    <n v="-15341.89999999989"/>
    <n v="-2229.1007000000027"/>
    <x v="172"/>
    <x v="181"/>
    <n v="10619.240999999893"/>
    <x v="179"/>
    <x v="179"/>
    <x v="181"/>
  </r>
  <r>
    <x v="182"/>
    <x v="177"/>
    <x v="180"/>
    <n v="-49389.369100000047"/>
    <n v="-7071.5816999999934"/>
    <x v="173"/>
    <x v="182"/>
    <n v="33539.776800000094"/>
    <x v="180"/>
    <x v="180"/>
    <x v="182"/>
  </r>
  <r>
    <x v="183"/>
    <x v="178"/>
    <x v="181"/>
    <n v="-25989.63150000004"/>
    <n v="-3690.897800000012"/>
    <x v="174"/>
    <x v="183"/>
    <n v="16857.597200000069"/>
    <x v="181"/>
    <x v="181"/>
    <x v="183"/>
  </r>
  <r>
    <x v="184"/>
    <x v="179"/>
    <x v="182"/>
    <n v="-70740.890999999654"/>
    <n v="-10180.058699999978"/>
    <x v="175"/>
    <x v="184"/>
    <n v="44787.082499999611"/>
    <x v="182"/>
    <x v="182"/>
    <x v="184"/>
  </r>
  <r>
    <x v="185"/>
    <x v="180"/>
    <x v="183"/>
    <n v="-45483.352499999994"/>
    <n v="-6533.9092999999839"/>
    <x v="176"/>
    <x v="185"/>
    <n v="30828.261899999961"/>
    <x v="183"/>
    <x v="183"/>
    <x v="185"/>
  </r>
  <r>
    <x v="186"/>
    <x v="181"/>
    <x v="184"/>
    <n v="-34125.360200000046"/>
    <n v="-5012.3309999999892"/>
    <x v="177"/>
    <x v="186"/>
    <n v="24639.059800000072"/>
    <x v="184"/>
    <x v="184"/>
    <x v="186"/>
  </r>
  <r>
    <x v="187"/>
    <x v="182"/>
    <x v="185"/>
    <n v="-35578.256700000122"/>
    <n v="-5162.2858999999989"/>
    <x v="178"/>
    <x v="187"/>
    <n v="26757.069900000093"/>
    <x v="185"/>
    <x v="185"/>
    <x v="187"/>
  </r>
  <r>
    <x v="188"/>
    <x v="183"/>
    <x v="186"/>
    <n v="-9598.3570000000163"/>
    <n v="-1408.8460000000018"/>
    <x v="179"/>
    <x v="188"/>
    <n v="5776.614500000017"/>
    <x v="186"/>
    <x v="186"/>
    <x v="188"/>
  </r>
  <r>
    <x v="189"/>
    <x v="184"/>
    <x v="187"/>
    <n v="-14512.095599999913"/>
    <n v="-2090.0943000000048"/>
    <x v="180"/>
    <x v="189"/>
    <n v="9955.2999999998974"/>
    <x v="187"/>
    <x v="187"/>
    <x v="189"/>
  </r>
  <r>
    <x v="190"/>
    <x v="185"/>
    <x v="188"/>
    <n v="-2016.3782999999983"/>
    <n v="-272.13800000000009"/>
    <x v="181"/>
    <x v="190"/>
    <n v="1390.796199999998"/>
    <x v="188"/>
    <x v="188"/>
    <x v="190"/>
  </r>
  <r>
    <x v="191"/>
    <x v="186"/>
    <x v="189"/>
    <n v="-36578.49989999993"/>
    <n v="-5397.6699999999855"/>
    <x v="182"/>
    <x v="191"/>
    <n v="26337.798999999904"/>
    <x v="189"/>
    <x v="189"/>
    <x v="191"/>
  </r>
  <r>
    <x v="192"/>
    <x v="187"/>
    <x v="190"/>
    <n v="-23969.266799999961"/>
    <n v="-3462.0411000000045"/>
    <x v="183"/>
    <x v="192"/>
    <n v="12285.260699999966"/>
    <x v="190"/>
    <x v="190"/>
    <x v="192"/>
  </r>
  <r>
    <x v="193"/>
    <x v="188"/>
    <x v="191"/>
    <n v="-10849.443499999923"/>
    <n v="-1558.0207999999989"/>
    <x v="184"/>
    <x v="193"/>
    <n v="9175.2091999999284"/>
    <x v="191"/>
    <x v="191"/>
    <x v="193"/>
  </r>
  <r>
    <x v="194"/>
    <x v="189"/>
    <x v="192"/>
    <n v="-24500.856700000033"/>
    <n v="-3500.8176000000058"/>
    <x v="185"/>
    <x v="194"/>
    <n v="17130.629300000022"/>
    <x v="192"/>
    <x v="192"/>
    <x v="194"/>
  </r>
  <r>
    <x v="195"/>
    <x v="190"/>
    <x v="193"/>
    <n v="-26527.219800000043"/>
    <n v="-3910.4900000000134"/>
    <x v="186"/>
    <x v="195"/>
    <n v="17852.902000000009"/>
    <x v="193"/>
    <x v="193"/>
    <x v="195"/>
  </r>
  <r>
    <x v="196"/>
    <x v="191"/>
    <x v="194"/>
    <n v="-28943.290000000125"/>
    <n v="-4157.9591000000064"/>
    <x v="187"/>
    <x v="196"/>
    <n v="20568.107900000119"/>
    <x v="194"/>
    <x v="194"/>
    <x v="196"/>
  </r>
  <r>
    <x v="197"/>
    <x v="0"/>
    <x v="195"/>
    <n v="0"/>
    <n v="0"/>
    <x v="0"/>
    <x v="197"/>
    <n v="-41.5"/>
    <x v="195"/>
    <x v="195"/>
    <x v="197"/>
  </r>
  <r>
    <x v="198"/>
    <x v="192"/>
    <x v="196"/>
    <n v="-16636.920899999855"/>
    <n v="-2399.0061999999998"/>
    <x v="188"/>
    <x v="198"/>
    <n v="12430.751699999846"/>
    <x v="196"/>
    <x v="196"/>
    <x v="198"/>
  </r>
  <r>
    <x v="199"/>
    <x v="193"/>
    <x v="197"/>
    <n v="-38523.500500000097"/>
    <n v="-5536.5856999999933"/>
    <x v="189"/>
    <x v="199"/>
    <n v="21889.864900000077"/>
    <x v="197"/>
    <x v="197"/>
    <x v="199"/>
  </r>
  <r>
    <x v="200"/>
    <x v="194"/>
    <x v="198"/>
    <n v="-22585.891599999952"/>
    <n v="-3259.0633000000093"/>
    <x v="190"/>
    <x v="200"/>
    <n v="17384.053399999961"/>
    <x v="198"/>
    <x v="198"/>
    <x v="200"/>
  </r>
  <r>
    <x v="201"/>
    <x v="195"/>
    <x v="199"/>
    <n v="-17861.331599999936"/>
    <n v="-2590.2169000000022"/>
    <x v="191"/>
    <x v="201"/>
    <n v="14565.521399999949"/>
    <x v="199"/>
    <x v="199"/>
    <x v="201"/>
  </r>
  <r>
    <x v="202"/>
    <x v="196"/>
    <x v="200"/>
    <n v="-75346.077099999951"/>
    <n v="-10688.542399999948"/>
    <x v="192"/>
    <x v="202"/>
    <n v="49947.908399999709"/>
    <x v="200"/>
    <x v="200"/>
    <x v="202"/>
  </r>
  <r>
    <x v="203"/>
    <x v="197"/>
    <x v="201"/>
    <n v="-16457.75859999991"/>
    <n v="-2373.9818999999993"/>
    <x v="193"/>
    <x v="203"/>
    <n v="11854.771599999913"/>
    <x v="201"/>
    <x v="201"/>
    <x v="203"/>
  </r>
  <r>
    <x v="204"/>
    <x v="198"/>
    <x v="202"/>
    <n v="-36017.370500000143"/>
    <n v="-5178.7158000000018"/>
    <x v="194"/>
    <x v="204"/>
    <n v="25590.588600000166"/>
    <x v="202"/>
    <x v="202"/>
    <x v="204"/>
  </r>
  <r>
    <x v="205"/>
    <x v="199"/>
    <x v="203"/>
    <n v="-22436.364899999971"/>
    <n v="-3244.0962000000131"/>
    <x v="195"/>
    <x v="205"/>
    <n v="16353.389899999993"/>
    <x v="203"/>
    <x v="203"/>
    <x v="205"/>
  </r>
  <r>
    <x v="206"/>
    <x v="200"/>
    <x v="204"/>
    <n v="-22939.376000000102"/>
    <n v="-3274.1391000000021"/>
    <x v="196"/>
    <x v="206"/>
    <n v="13736.115500000113"/>
    <x v="204"/>
    <x v="204"/>
    <x v="206"/>
  </r>
  <r>
    <x v="207"/>
    <x v="201"/>
    <x v="205"/>
    <n v="-34703.484500000188"/>
    <n v="-4942.7987999999887"/>
    <x v="197"/>
    <x v="207"/>
    <n v="25849.728200000089"/>
    <x v="205"/>
    <x v="205"/>
    <x v="207"/>
  </r>
  <r>
    <x v="208"/>
    <x v="202"/>
    <x v="206"/>
    <n v="-32449.32680000017"/>
    <n v="-4622.1284000000041"/>
    <x v="198"/>
    <x v="208"/>
    <n v="22330.824100000136"/>
    <x v="206"/>
    <x v="206"/>
    <x v="208"/>
  </r>
  <r>
    <x v="209"/>
    <x v="203"/>
    <x v="207"/>
    <n v="-50793.636299999896"/>
    <n v="-7427.6175999999487"/>
    <x v="199"/>
    <x v="209"/>
    <n v="34846.411399999808"/>
    <x v="207"/>
    <x v="207"/>
    <x v="209"/>
  </r>
  <r>
    <x v="210"/>
    <x v="204"/>
    <x v="208"/>
    <n v="-19031.433799999919"/>
    <n v="-2733.2743000000009"/>
    <x v="200"/>
    <x v="210"/>
    <n v="13666.159399999931"/>
    <x v="208"/>
    <x v="208"/>
    <x v="210"/>
  </r>
  <r>
    <x v="211"/>
    <x v="205"/>
    <x v="209"/>
    <n v="-30966.856300000101"/>
    <n v="-4455.3965000000035"/>
    <x v="201"/>
    <x v="211"/>
    <n v="22991.109500000101"/>
    <x v="209"/>
    <x v="209"/>
    <x v="211"/>
  </r>
  <r>
    <x v="212"/>
    <x v="206"/>
    <x v="210"/>
    <m/>
    <m/>
    <x v="202"/>
    <x v="212"/>
    <m/>
    <x v="210"/>
    <x v="210"/>
    <x v="212"/>
  </r>
  <r>
    <x v="213"/>
    <x v="207"/>
    <x v="211"/>
    <n v="-5117524.8951999927"/>
    <n v="-703089.83709999884"/>
    <x v="203"/>
    <x v="213"/>
    <n v="3354641.4351999871"/>
    <x v="211"/>
    <x v="211"/>
    <x v="2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7">
  <r>
    <x v="0"/>
    <x v="0"/>
    <x v="0"/>
    <n v="-14357.799100000002"/>
    <n v="-2062.4859999999981"/>
    <x v="0"/>
    <x v="0"/>
    <n v="9472.8323999999993"/>
    <x v="0"/>
    <x v="0"/>
    <x v="0"/>
  </r>
  <r>
    <x v="1"/>
    <x v="1"/>
    <x v="1"/>
    <n v="-26325.863700000002"/>
    <n v="-3772.4858000000008"/>
    <x v="1"/>
    <x v="1"/>
    <n v="15410.607900000003"/>
    <x v="1"/>
    <x v="1"/>
    <x v="1"/>
  </r>
  <r>
    <x v="2"/>
    <x v="2"/>
    <x v="2"/>
    <n v="-69254.306299999997"/>
    <n v="-10302.738599999986"/>
    <x v="2"/>
    <x v="2"/>
    <n v="46859.486199999999"/>
    <x v="2"/>
    <x v="2"/>
    <x v="2"/>
  </r>
  <r>
    <x v="3"/>
    <x v="3"/>
    <x v="3"/>
    <n v="-33852.998400000011"/>
    <n v="-4885.3916000000017"/>
    <x v="3"/>
    <x v="3"/>
    <n v="22739.455200000011"/>
    <x v="3"/>
    <x v="3"/>
    <x v="3"/>
  </r>
  <r>
    <x v="4"/>
    <x v="4"/>
    <x v="4"/>
    <m/>
    <m/>
    <x v="4"/>
    <x v="4"/>
    <n v="-36.44"/>
    <x v="4"/>
    <x v="4"/>
    <x v="4"/>
  </r>
  <r>
    <x v="5"/>
    <x v="5"/>
    <x v="5"/>
    <n v="-27713.0864"/>
    <n v="-3989.6170000000152"/>
    <x v="5"/>
    <x v="5"/>
    <n v="19705.291500000014"/>
    <x v="5"/>
    <x v="5"/>
    <x v="5"/>
  </r>
  <r>
    <x v="6"/>
    <x v="6"/>
    <x v="6"/>
    <n v="-65703.991199999989"/>
    <n v="-9478.0140999999949"/>
    <x v="6"/>
    <x v="6"/>
    <n v="41062.722499999996"/>
    <x v="6"/>
    <x v="6"/>
    <x v="6"/>
  </r>
  <r>
    <x v="7"/>
    <x v="7"/>
    <x v="7"/>
    <n v="-5064.6623999999983"/>
    <n v="-726.64150000000006"/>
    <x v="7"/>
    <x v="7"/>
    <n v="3457.5431999999983"/>
    <x v="7"/>
    <x v="7"/>
    <x v="7"/>
  </r>
  <r>
    <x v="8"/>
    <x v="8"/>
    <x v="8"/>
    <n v="-7025.8912999999993"/>
    <n v="-1036.2757999999999"/>
    <x v="8"/>
    <x v="8"/>
    <n v="5093.8993999999993"/>
    <x v="8"/>
    <x v="8"/>
    <x v="8"/>
  </r>
  <r>
    <x v="9"/>
    <x v="9"/>
    <x v="9"/>
    <n v="-35368.000100000005"/>
    <m/>
    <x v="9"/>
    <x v="9"/>
    <n v="19235.45150000001"/>
    <x v="9"/>
    <x v="9"/>
    <x v="9"/>
  </r>
  <r>
    <x v="10"/>
    <x v="10"/>
    <x v="10"/>
    <n v="-19412.927999999993"/>
    <n v="-2770.7856999999999"/>
    <x v="10"/>
    <x v="10"/>
    <n v="13443.061899999995"/>
    <x v="10"/>
    <x v="10"/>
    <x v="10"/>
  </r>
  <r>
    <x v="11"/>
    <x v="11"/>
    <x v="11"/>
    <n v="-22093.109399999994"/>
    <n v="-3329.2433000000037"/>
    <x v="11"/>
    <x v="11"/>
    <n v="11587.556099999993"/>
    <x v="11"/>
    <x v="11"/>
    <x v="11"/>
  </r>
  <r>
    <x v="12"/>
    <x v="12"/>
    <x v="12"/>
    <n v="-19484.0327"/>
    <n v="-2825.4623000000006"/>
    <x v="12"/>
    <x v="12"/>
    <n v="12907.690699999997"/>
    <x v="12"/>
    <x v="12"/>
    <x v="12"/>
  </r>
  <r>
    <x v="13"/>
    <x v="13"/>
    <x v="13"/>
    <n v="-49227.586199999998"/>
    <n v="-7323.431600000009"/>
    <x v="13"/>
    <x v="13"/>
    <n v="35782.224100000014"/>
    <x v="13"/>
    <x v="13"/>
    <x v="13"/>
  </r>
  <r>
    <x v="14"/>
    <x v="14"/>
    <x v="14"/>
    <n v="-35254.298499999997"/>
    <n v="-5053.5361000000084"/>
    <x v="14"/>
    <x v="14"/>
    <n v="20762.124400000004"/>
    <x v="14"/>
    <x v="14"/>
    <x v="14"/>
  </r>
  <r>
    <x v="15"/>
    <x v="15"/>
    <x v="15"/>
    <n v="-28249.804200000002"/>
    <n v="-4041.9261999999981"/>
    <x v="15"/>
    <x v="15"/>
    <n v="17177.216100000001"/>
    <x v="15"/>
    <x v="15"/>
    <x v="15"/>
  </r>
  <r>
    <x v="16"/>
    <x v="16"/>
    <x v="16"/>
    <n v="-57493.783099999986"/>
    <n v="-8274.2502000000095"/>
    <x v="16"/>
    <x v="16"/>
    <n v="34731.994200000008"/>
    <x v="16"/>
    <x v="16"/>
    <x v="16"/>
  </r>
  <r>
    <x v="17"/>
    <x v="17"/>
    <x v="17"/>
    <n v="-24063.558100000002"/>
    <n v="-3506.1621000000009"/>
    <x v="17"/>
    <x v="17"/>
    <n v="11906.541100000009"/>
    <x v="17"/>
    <x v="17"/>
    <x v="17"/>
  </r>
  <r>
    <x v="18"/>
    <x v="18"/>
    <x v="18"/>
    <n v="-36216.221800000007"/>
    <n v="-5149.654300000012"/>
    <x v="18"/>
    <x v="18"/>
    <n v="25455.850000000013"/>
    <x v="18"/>
    <x v="18"/>
    <x v="18"/>
  </r>
  <r>
    <x v="19"/>
    <x v="19"/>
    <x v="19"/>
    <n v="-56938.790899999993"/>
    <n v="-8194.1329000000023"/>
    <x v="19"/>
    <x v="19"/>
    <n v="34672.032400000011"/>
    <x v="19"/>
    <x v="19"/>
    <x v="19"/>
  </r>
  <r>
    <x v="20"/>
    <x v="20"/>
    <x v="20"/>
    <n v="-26860.345999999994"/>
    <n v="-3864.2066000000013"/>
    <x v="20"/>
    <x v="20"/>
    <n v="14631.500299999994"/>
    <x v="20"/>
    <x v="20"/>
    <x v="20"/>
  </r>
  <r>
    <x v="21"/>
    <x v="21"/>
    <x v="21"/>
    <n v="-61844.330600000016"/>
    <n v="-8911.1152999999977"/>
    <x v="21"/>
    <x v="21"/>
    <n v="29675.902600000023"/>
    <x v="21"/>
    <x v="21"/>
    <x v="21"/>
  </r>
  <r>
    <x v="22"/>
    <x v="22"/>
    <x v="22"/>
    <n v="-18054.754799999999"/>
    <n v="-2611.2241000000013"/>
    <x v="22"/>
    <x v="22"/>
    <n v="11364.453700000004"/>
    <x v="22"/>
    <x v="22"/>
    <x v="22"/>
  </r>
  <r>
    <x v="23"/>
    <x v="23"/>
    <x v="23"/>
    <n v="-27347.406699999985"/>
    <n v="-3935.5941000000021"/>
    <x v="23"/>
    <x v="23"/>
    <n v="13805.512199999983"/>
    <x v="23"/>
    <x v="23"/>
    <x v="23"/>
  </r>
  <r>
    <x v="24"/>
    <x v="24"/>
    <x v="24"/>
    <n v="-37455.172599999998"/>
    <n v="-5470.9205999999976"/>
    <x v="24"/>
    <x v="24"/>
    <n v="27199.159099999997"/>
    <x v="24"/>
    <x v="24"/>
    <x v="24"/>
  </r>
  <r>
    <x v="25"/>
    <x v="25"/>
    <x v="25"/>
    <n v="-73521.267300000007"/>
    <n v="-10663.913299999993"/>
    <x v="25"/>
    <x v="25"/>
    <n v="49486.118300000002"/>
    <x v="25"/>
    <x v="25"/>
    <x v="25"/>
  </r>
  <r>
    <x v="26"/>
    <x v="26"/>
    <x v="26"/>
    <n v="-56564.250500000002"/>
    <n v="-8237.0810000000056"/>
    <x v="26"/>
    <x v="26"/>
    <n v="37809.189200000008"/>
    <x v="26"/>
    <x v="26"/>
    <x v="26"/>
  </r>
  <r>
    <x v="27"/>
    <x v="27"/>
    <x v="27"/>
    <n v="-16818.100799999997"/>
    <n v="-2440.4190999999992"/>
    <x v="27"/>
    <x v="27"/>
    <n v="7790.1321999999946"/>
    <x v="27"/>
    <x v="27"/>
    <x v="27"/>
  </r>
  <r>
    <x v="28"/>
    <x v="28"/>
    <x v="28"/>
    <n v="-25652.708899999994"/>
    <n v="-3769.2565000000104"/>
    <x v="28"/>
    <x v="28"/>
    <n v="19531.129200000003"/>
    <x v="28"/>
    <x v="28"/>
    <x v="28"/>
  </r>
  <r>
    <x v="29"/>
    <x v="29"/>
    <x v="29"/>
    <n v="-46057.402200000011"/>
    <n v="-6492.0209000000068"/>
    <x v="29"/>
    <x v="29"/>
    <n v="29603.721900000011"/>
    <x v="29"/>
    <x v="29"/>
    <x v="29"/>
  </r>
  <r>
    <x v="30"/>
    <x v="30"/>
    <x v="30"/>
    <n v="-22862.928299999996"/>
    <n v="-3291.8231000000005"/>
    <x v="30"/>
    <x v="30"/>
    <n v="16524.258199999997"/>
    <x v="30"/>
    <x v="30"/>
    <x v="30"/>
  </r>
  <r>
    <x v="31"/>
    <x v="31"/>
    <x v="31"/>
    <n v="-27068.972399999991"/>
    <n v="-3901.144900000003"/>
    <x v="31"/>
    <x v="31"/>
    <n v="17062.206299999991"/>
    <x v="31"/>
    <x v="31"/>
    <x v="31"/>
  </r>
  <r>
    <x v="32"/>
    <x v="32"/>
    <x v="32"/>
    <n v="-15159.5339"/>
    <n v="-2197.4871999999996"/>
    <x v="32"/>
    <x v="32"/>
    <n v="10686.474999999999"/>
    <x v="32"/>
    <x v="32"/>
    <x v="32"/>
  </r>
  <r>
    <x v="33"/>
    <x v="33"/>
    <x v="33"/>
    <n v="-49580.241800000018"/>
    <n v="-7263.0869000000157"/>
    <x v="33"/>
    <x v="33"/>
    <n v="25280.945200000035"/>
    <x v="33"/>
    <x v="33"/>
    <x v="33"/>
  </r>
  <r>
    <x v="34"/>
    <x v="34"/>
    <x v="34"/>
    <n v="-18613.799200000009"/>
    <n v="-2602.6283000000017"/>
    <x v="34"/>
    <x v="34"/>
    <n v="14121.427200000007"/>
    <x v="34"/>
    <x v="34"/>
    <x v="34"/>
  </r>
  <r>
    <x v="35"/>
    <x v="35"/>
    <x v="35"/>
    <n v="-30957.284099999986"/>
    <n v="-4594.7753000000048"/>
    <x v="35"/>
    <x v="35"/>
    <n v="20889.192699999989"/>
    <x v="35"/>
    <x v="35"/>
    <x v="35"/>
  </r>
  <r>
    <x v="36"/>
    <x v="36"/>
    <x v="36"/>
    <n v="-33556.896800000002"/>
    <n v="-4840.3200000000106"/>
    <x v="36"/>
    <x v="36"/>
    <n v="21710.330400000006"/>
    <x v="36"/>
    <x v="36"/>
    <x v="36"/>
  </r>
  <r>
    <x v="37"/>
    <x v="37"/>
    <x v="37"/>
    <n v="-33289.781999999992"/>
    <n v="-4982.9270000000051"/>
    <x v="37"/>
    <x v="37"/>
    <n v="22032.514999999999"/>
    <x v="37"/>
    <x v="37"/>
    <x v="37"/>
  </r>
  <r>
    <x v="38"/>
    <x v="38"/>
    <x v="38"/>
    <n v="-12326.717100000002"/>
    <n v="-1813.3784000000001"/>
    <x v="38"/>
    <x v="38"/>
    <n v="5515.7595000000038"/>
    <x v="38"/>
    <x v="38"/>
    <x v="38"/>
  </r>
  <r>
    <x v="39"/>
    <x v="39"/>
    <x v="39"/>
    <n v="-25405.173399999996"/>
    <n v="-3617.5441000000055"/>
    <x v="39"/>
    <x v="39"/>
    <n v="17363.503000000004"/>
    <x v="39"/>
    <x v="39"/>
    <x v="39"/>
  </r>
  <r>
    <x v="40"/>
    <x v="40"/>
    <x v="40"/>
    <n v="-91460.35289999994"/>
    <n v="-13292.824999999939"/>
    <x v="40"/>
    <x v="40"/>
    <n v="59737.14959999991"/>
    <x v="40"/>
    <x v="40"/>
    <x v="40"/>
  </r>
  <r>
    <x v="41"/>
    <x v="41"/>
    <x v="41"/>
    <n v="-28063.775900000001"/>
    <n v="-4048.4751999999999"/>
    <x v="41"/>
    <x v="41"/>
    <n v="20225.7765"/>
    <x v="41"/>
    <x v="41"/>
    <x v="41"/>
  </r>
  <r>
    <x v="42"/>
    <x v="42"/>
    <x v="42"/>
    <n v="-48631.174999999988"/>
    <n v="-7119.7671999999948"/>
    <x v="42"/>
    <x v="42"/>
    <n v="33781.357599999981"/>
    <x v="42"/>
    <x v="42"/>
    <x v="42"/>
  </r>
  <r>
    <x v="43"/>
    <x v="43"/>
    <x v="43"/>
    <n v="-64374.96780000002"/>
    <n v="-9274.1774000000005"/>
    <x v="43"/>
    <x v="43"/>
    <n v="31237.790600000037"/>
    <x v="43"/>
    <x v="43"/>
    <x v="43"/>
  </r>
  <r>
    <x v="44"/>
    <x v="44"/>
    <x v="44"/>
    <n v="-64997.407499999987"/>
    <n v="-9386.2860000000037"/>
    <x v="44"/>
    <x v="44"/>
    <n v="39885.240400000002"/>
    <x v="44"/>
    <x v="44"/>
    <x v="44"/>
  </r>
  <r>
    <x v="45"/>
    <x v="45"/>
    <x v="45"/>
    <n v="-50908.527099999978"/>
    <n v="-7081.2227000000003"/>
    <x v="45"/>
    <x v="45"/>
    <n v="36764.781899999973"/>
    <x v="45"/>
    <x v="45"/>
    <x v="45"/>
  </r>
  <r>
    <x v="46"/>
    <x v="46"/>
    <x v="46"/>
    <n v="-38965.561599999994"/>
    <n v="-5852.9771000000019"/>
    <x v="46"/>
    <x v="46"/>
    <n v="23536.104099999993"/>
    <x v="46"/>
    <x v="46"/>
    <x v="46"/>
  </r>
  <r>
    <x v="47"/>
    <x v="47"/>
    <x v="47"/>
    <n v="-34276.725900000005"/>
    <n v="-4963.0424999999977"/>
    <x v="47"/>
    <x v="47"/>
    <n v="22229.914699999998"/>
    <x v="47"/>
    <x v="47"/>
    <x v="47"/>
  </r>
  <r>
    <x v="48"/>
    <x v="48"/>
    <x v="48"/>
    <n v="-73598.171399999992"/>
    <n v="-10039.227399999963"/>
    <x v="48"/>
    <x v="48"/>
    <n v="52015.349099999963"/>
    <x v="48"/>
    <x v="48"/>
    <x v="48"/>
  </r>
  <r>
    <x v="49"/>
    <x v="49"/>
    <x v="49"/>
    <n v="-72315.046600000001"/>
    <n v="-10434.262499999986"/>
    <x v="49"/>
    <x v="49"/>
    <n v="46336.666299999975"/>
    <x v="49"/>
    <x v="49"/>
    <x v="49"/>
  </r>
  <r>
    <x v="50"/>
    <x v="50"/>
    <x v="50"/>
    <n v="-67058.72560000002"/>
    <n v="-9697.6723999999886"/>
    <x v="50"/>
    <x v="50"/>
    <n v="38486.891000000025"/>
    <x v="50"/>
    <x v="50"/>
    <x v="50"/>
  </r>
  <r>
    <x v="51"/>
    <x v="51"/>
    <x v="51"/>
    <n v="-66887.308399999994"/>
    <n v="-9759.3187999999973"/>
    <x v="51"/>
    <x v="51"/>
    <n v="42388.952799999985"/>
    <x v="51"/>
    <x v="51"/>
    <x v="51"/>
  </r>
  <r>
    <x v="52"/>
    <x v="52"/>
    <x v="52"/>
    <n v="0"/>
    <n v="0"/>
    <x v="4"/>
    <x v="52"/>
    <n v="0"/>
    <x v="52"/>
    <x v="52"/>
    <x v="52"/>
  </r>
  <r>
    <x v="53"/>
    <x v="53"/>
    <x v="53"/>
    <n v="-42091.366700000013"/>
    <n v="-6064.9591999999975"/>
    <x v="52"/>
    <x v="53"/>
    <n v="27720.151100000003"/>
    <x v="53"/>
    <x v="53"/>
    <x v="53"/>
  </r>
  <r>
    <x v="54"/>
    <x v="54"/>
    <x v="54"/>
    <n v="-58880.947800000002"/>
    <n v="-8475.5373000000054"/>
    <x v="53"/>
    <x v="54"/>
    <n v="37720.430700000026"/>
    <x v="54"/>
    <x v="54"/>
    <x v="54"/>
  </r>
  <r>
    <x v="55"/>
    <x v="55"/>
    <x v="55"/>
    <n v="-30507.3181"/>
    <n v="-4405.208800000004"/>
    <x v="54"/>
    <x v="55"/>
    <n v="19806.351300000002"/>
    <x v="55"/>
    <x v="55"/>
    <x v="55"/>
  </r>
  <r>
    <x v="56"/>
    <x v="56"/>
    <x v="56"/>
    <n v="-27764.2219"/>
    <n v="-4137.7162000000108"/>
    <x v="55"/>
    <x v="56"/>
    <n v="16969.319400000008"/>
    <x v="56"/>
    <x v="56"/>
    <x v="56"/>
  </r>
  <r>
    <x v="57"/>
    <x v="57"/>
    <x v="57"/>
    <n v="-28801.715199999999"/>
    <n v="-4119.3665000000019"/>
    <x v="56"/>
    <x v="57"/>
    <n v="19634.432200000003"/>
    <x v="57"/>
    <x v="57"/>
    <x v="57"/>
  </r>
  <r>
    <x v="58"/>
    <x v="58"/>
    <x v="58"/>
    <m/>
    <m/>
    <x v="4"/>
    <x v="58"/>
    <n v="0"/>
    <x v="52"/>
    <x v="52"/>
    <x v="58"/>
  </r>
  <r>
    <x v="59"/>
    <x v="59"/>
    <x v="59"/>
    <n v="-10974.990400000001"/>
    <n v="-1540.6868999999997"/>
    <x v="57"/>
    <x v="59"/>
    <n v="6539.206799999999"/>
    <x v="58"/>
    <x v="58"/>
    <x v="59"/>
  </r>
  <r>
    <x v="60"/>
    <x v="60"/>
    <x v="60"/>
    <n v="-35480.436499999996"/>
    <n v="-5068.187800000007"/>
    <x v="58"/>
    <x v="60"/>
    <n v="23785.470700000005"/>
    <x v="59"/>
    <x v="59"/>
    <x v="60"/>
  </r>
  <r>
    <x v="61"/>
    <x v="61"/>
    <x v="61"/>
    <n v="-61387.9211"/>
    <n v="-8658.5483000000095"/>
    <x v="59"/>
    <x v="61"/>
    <n v="41450.389500000005"/>
    <x v="60"/>
    <x v="60"/>
    <x v="61"/>
  </r>
  <r>
    <x v="62"/>
    <x v="62"/>
    <x v="62"/>
    <n v="-44611.358800000009"/>
    <n v="-6398.7455000000245"/>
    <x v="60"/>
    <x v="62"/>
    <n v="26908.353100000044"/>
    <x v="61"/>
    <x v="61"/>
    <x v="62"/>
  </r>
  <r>
    <x v="63"/>
    <x v="63"/>
    <x v="63"/>
    <n v="-19849.0952"/>
    <n v="-2865.5520000000001"/>
    <x v="61"/>
    <x v="63"/>
    <n v="15289.023799999999"/>
    <x v="62"/>
    <x v="62"/>
    <x v="63"/>
  </r>
  <r>
    <x v="64"/>
    <x v="64"/>
    <x v="64"/>
    <n v="-65273.15679999999"/>
    <n v="-9821.1453999999903"/>
    <x v="62"/>
    <x v="64"/>
    <n v="43497.252399999983"/>
    <x v="63"/>
    <x v="63"/>
    <x v="64"/>
  </r>
  <r>
    <x v="65"/>
    <x v="65"/>
    <x v="65"/>
    <n v="-8562.93"/>
    <n v="-1278.0705999999991"/>
    <x v="63"/>
    <x v="65"/>
    <n v="4763.8415999999979"/>
    <x v="64"/>
    <x v="64"/>
    <x v="65"/>
  </r>
  <r>
    <x v="66"/>
    <x v="66"/>
    <x v="66"/>
    <n v="-61496.89709999998"/>
    <n v="-8840.6710999999923"/>
    <x v="64"/>
    <x v="66"/>
    <n v="44712.42379999999"/>
    <x v="65"/>
    <x v="65"/>
    <x v="66"/>
  </r>
  <r>
    <x v="67"/>
    <x v="67"/>
    <x v="67"/>
    <n v="-27286.191700000003"/>
    <n v="-3978.8983000000026"/>
    <x v="65"/>
    <x v="67"/>
    <n v="17470.365000000002"/>
    <x v="66"/>
    <x v="66"/>
    <x v="67"/>
  </r>
  <r>
    <x v="68"/>
    <x v="68"/>
    <x v="68"/>
    <n v="-17725.856900000002"/>
    <n v="-2560.6393000000007"/>
    <x v="66"/>
    <x v="68"/>
    <n v="11118.328100000001"/>
    <x v="67"/>
    <x v="67"/>
    <x v="68"/>
  </r>
  <r>
    <x v="69"/>
    <x v="69"/>
    <x v="69"/>
    <n v="-21981.911599999999"/>
    <n v="-3174.4564000000037"/>
    <x v="67"/>
    <x v="69"/>
    <n v="16401.201800000003"/>
    <x v="68"/>
    <x v="68"/>
    <x v="69"/>
  </r>
  <r>
    <x v="70"/>
    <x v="70"/>
    <x v="70"/>
    <n v="-472224.23009999975"/>
    <n v="-75207.184200000047"/>
    <x v="68"/>
    <x v="70"/>
    <n v="290251.21120000014"/>
    <x v="69"/>
    <x v="69"/>
    <x v="70"/>
  </r>
  <r>
    <x v="71"/>
    <x v="71"/>
    <x v="71"/>
    <n v="-27025.855900000006"/>
    <n v="-3948.0494000000044"/>
    <x v="69"/>
    <x v="71"/>
    <n v="16503.500000000007"/>
    <x v="70"/>
    <x v="70"/>
    <x v="71"/>
  </r>
  <r>
    <x v="72"/>
    <x v="72"/>
    <x v="72"/>
    <n v="-23829.861199999999"/>
    <n v="-3456.883700000004"/>
    <x v="70"/>
    <x v="72"/>
    <n v="13411.709500000004"/>
    <x v="71"/>
    <x v="71"/>
    <x v="72"/>
  </r>
  <r>
    <x v="73"/>
    <x v="73"/>
    <x v="73"/>
    <n v="-25361.192000000006"/>
    <n v="-3853.462800000003"/>
    <x v="71"/>
    <x v="73"/>
    <n v="9941.2965000000149"/>
    <x v="72"/>
    <x v="72"/>
    <x v="73"/>
  </r>
  <r>
    <x v="74"/>
    <x v="74"/>
    <x v="74"/>
    <n v="-21351.545099999999"/>
    <n v="-3231.3369000000007"/>
    <x v="72"/>
    <x v="74"/>
    <n v="14526.126100000001"/>
    <x v="73"/>
    <x v="73"/>
    <x v="74"/>
  </r>
  <r>
    <x v="75"/>
    <x v="75"/>
    <x v="75"/>
    <n v="-21538.788700000001"/>
    <n v="-3096.2172000000028"/>
    <x v="73"/>
    <x v="75"/>
    <n v="13075.404700000001"/>
    <x v="74"/>
    <x v="74"/>
    <x v="75"/>
  </r>
  <r>
    <x v="76"/>
    <x v="76"/>
    <x v="76"/>
    <n v="-7347.4073999999982"/>
    <n v="-474.80409999999995"/>
    <x v="74"/>
    <x v="76"/>
    <n v="4429.1432999999979"/>
    <x v="75"/>
    <x v="75"/>
    <x v="76"/>
  </r>
  <r>
    <x v="77"/>
    <x v="77"/>
    <x v="77"/>
    <n v="-18068.970200000003"/>
    <n v="-2592.2843000000021"/>
    <x v="75"/>
    <x v="77"/>
    <n v="12967.259200000006"/>
    <x v="76"/>
    <x v="76"/>
    <x v="77"/>
  </r>
  <r>
    <x v="78"/>
    <x v="78"/>
    <x v="78"/>
    <n v="-14015.498499999998"/>
    <n v="-2020.4054999999985"/>
    <x v="76"/>
    <x v="78"/>
    <n v="10114.712899999995"/>
    <x v="77"/>
    <x v="77"/>
    <x v="78"/>
  </r>
  <r>
    <x v="79"/>
    <x v="79"/>
    <x v="79"/>
    <n v="-10093.9604"/>
    <n v="-1608.9862999999996"/>
    <x v="77"/>
    <x v="79"/>
    <n v="6912.7796000000017"/>
    <x v="78"/>
    <x v="78"/>
    <x v="79"/>
  </r>
  <r>
    <x v="80"/>
    <x v="80"/>
    <x v="80"/>
    <n v="-5226.2963000000009"/>
    <n v="-752.1934"/>
    <x v="78"/>
    <x v="80"/>
    <n v="3851.739700000001"/>
    <x v="79"/>
    <x v="79"/>
    <x v="80"/>
  </r>
  <r>
    <x v="81"/>
    <x v="81"/>
    <x v="81"/>
    <n v="-34080.118300000009"/>
    <n v="-4803.6130000000085"/>
    <x v="79"/>
    <x v="81"/>
    <n v="22087.274700000016"/>
    <x v="80"/>
    <x v="80"/>
    <x v="81"/>
  </r>
  <r>
    <x v="82"/>
    <x v="82"/>
    <x v="58"/>
    <m/>
    <m/>
    <x v="4"/>
    <x v="82"/>
    <n v="0"/>
    <x v="52"/>
    <x v="52"/>
    <x v="82"/>
  </r>
  <r>
    <x v="83"/>
    <x v="83"/>
    <x v="82"/>
    <n v="-60797.771599999993"/>
    <n v="-8615.7201000000059"/>
    <x v="80"/>
    <x v="83"/>
    <n v="41486.014299999995"/>
    <x v="81"/>
    <x v="81"/>
    <x v="83"/>
  </r>
  <r>
    <x v="84"/>
    <x v="84"/>
    <x v="83"/>
    <n v="-20540.306500000002"/>
    <n v="-2873.893399999999"/>
    <x v="81"/>
    <x v="84"/>
    <n v="13891.3431"/>
    <x v="82"/>
    <x v="82"/>
    <x v="84"/>
  </r>
  <r>
    <x v="85"/>
    <x v="85"/>
    <x v="84"/>
    <n v="-20344.852300000002"/>
    <n v="-2924.0996000000023"/>
    <x v="82"/>
    <x v="85"/>
    <n v="10296.663600000002"/>
    <x v="83"/>
    <x v="83"/>
    <x v="85"/>
  </r>
  <r>
    <x v="86"/>
    <x v="86"/>
    <x v="85"/>
    <n v="-48984.8027"/>
    <n v="-7264.1766000000025"/>
    <x v="83"/>
    <x v="86"/>
    <n v="30109.616100000007"/>
    <x v="84"/>
    <x v="84"/>
    <x v="86"/>
  </r>
  <r>
    <x v="87"/>
    <x v="87"/>
    <x v="86"/>
    <n v="-12484.476600000002"/>
    <n v="-1778.9895999999994"/>
    <x v="84"/>
    <x v="87"/>
    <n v="8590.0342000000001"/>
    <x v="85"/>
    <x v="85"/>
    <x v="87"/>
  </r>
  <r>
    <x v="88"/>
    <x v="88"/>
    <x v="87"/>
    <n v="-40694.639900000009"/>
    <n v="-5897.2308000000003"/>
    <x v="85"/>
    <x v="88"/>
    <n v="19568.475900000012"/>
    <x v="86"/>
    <x v="86"/>
    <x v="88"/>
  </r>
  <r>
    <x v="89"/>
    <x v="89"/>
    <x v="88"/>
    <n v="-38760.546699999984"/>
    <n v="-5507.2212000000145"/>
    <x v="86"/>
    <x v="89"/>
    <n v="27401.273699999998"/>
    <x v="87"/>
    <x v="87"/>
    <x v="89"/>
  </r>
  <r>
    <x v="90"/>
    <x v="90"/>
    <x v="89"/>
    <n v="-43789.614099999992"/>
    <n v="-6682.448700000009"/>
    <x v="87"/>
    <x v="90"/>
    <n v="30965.3845"/>
    <x v="88"/>
    <x v="88"/>
    <x v="90"/>
  </r>
  <r>
    <x v="91"/>
    <x v="91"/>
    <x v="90"/>
    <n v="-25912.062900000001"/>
    <n v="-3744.4444000000085"/>
    <x v="88"/>
    <x v="91"/>
    <n v="19217.585100000011"/>
    <x v="89"/>
    <x v="89"/>
    <x v="91"/>
  </r>
  <r>
    <x v="92"/>
    <x v="92"/>
    <x v="91"/>
    <n v="-51602.292199999996"/>
    <n v="-7566.3279000000057"/>
    <x v="89"/>
    <x v="92"/>
    <n v="31601.186999999998"/>
    <x v="90"/>
    <x v="90"/>
    <x v="92"/>
  </r>
  <r>
    <x v="93"/>
    <x v="93"/>
    <x v="92"/>
    <n v="-31155.9647"/>
    <m/>
    <x v="90"/>
    <x v="93"/>
    <n v="19055.879700000005"/>
    <x v="91"/>
    <x v="91"/>
    <x v="93"/>
  </r>
  <r>
    <x v="94"/>
    <x v="94"/>
    <x v="52"/>
    <n v="0"/>
    <n v="0"/>
    <x v="4"/>
    <x v="94"/>
    <n v="0"/>
    <x v="52"/>
    <x v="52"/>
    <x v="94"/>
  </r>
  <r>
    <x v="95"/>
    <x v="95"/>
    <x v="93"/>
    <n v="-17958.903200000001"/>
    <n v="-2559.7624999999998"/>
    <x v="91"/>
    <x v="95"/>
    <n v="13102.292099999999"/>
    <x v="92"/>
    <x v="92"/>
    <x v="95"/>
  </r>
  <r>
    <x v="96"/>
    <x v="96"/>
    <x v="94"/>
    <n v="-28827.409700000004"/>
    <n v="-4084.103100000003"/>
    <x v="92"/>
    <x v="96"/>
    <n v="21547.694800000005"/>
    <x v="93"/>
    <x v="93"/>
    <x v="96"/>
  </r>
  <r>
    <x v="97"/>
    <x v="97"/>
    <x v="95"/>
    <n v="-21667.758199999993"/>
    <n v="-3182.9785000000102"/>
    <x v="93"/>
    <x v="97"/>
    <n v="15742.364000000003"/>
    <x v="94"/>
    <x v="94"/>
    <x v="97"/>
  </r>
  <r>
    <x v="98"/>
    <x v="98"/>
    <x v="96"/>
    <n v="-22496.526700000006"/>
    <n v="-3052.5782000000045"/>
    <x v="94"/>
    <x v="98"/>
    <n v="16080.67170000001"/>
    <x v="95"/>
    <x v="95"/>
    <x v="98"/>
  </r>
  <r>
    <x v="99"/>
    <x v="99"/>
    <x v="97"/>
    <n v="-28687.036400000005"/>
    <n v="-4212.1829000000071"/>
    <x v="95"/>
    <x v="99"/>
    <n v="12165.670900000023"/>
    <x v="96"/>
    <x v="96"/>
    <x v="99"/>
  </r>
  <r>
    <x v="100"/>
    <x v="100"/>
    <x v="98"/>
    <n v="-15189.203799999999"/>
    <n v="-2156.8302000000008"/>
    <x v="96"/>
    <x v="100"/>
    <n v="6096.2238999999972"/>
    <x v="97"/>
    <x v="97"/>
    <x v="100"/>
  </r>
  <r>
    <x v="101"/>
    <x v="101"/>
    <x v="99"/>
    <n v="-35234.470400000006"/>
    <n v="-5245.7830000000004"/>
    <x v="97"/>
    <x v="101"/>
    <n v="23062.817900000016"/>
    <x v="98"/>
    <x v="98"/>
    <x v="101"/>
  </r>
  <r>
    <x v="102"/>
    <x v="102"/>
    <x v="100"/>
    <n v="-18919.345499999999"/>
    <n v="-2887.9238000000032"/>
    <x v="98"/>
    <x v="102"/>
    <n v="13522.836400000006"/>
    <x v="99"/>
    <x v="99"/>
    <x v="102"/>
  </r>
  <r>
    <x v="103"/>
    <x v="103"/>
    <x v="101"/>
    <n v="-11465.0833"/>
    <n v="-1725.9027999999994"/>
    <x v="99"/>
    <x v="103"/>
    <n v="7133.336299999999"/>
    <x v="100"/>
    <x v="100"/>
    <x v="103"/>
  </r>
  <r>
    <x v="104"/>
    <x v="104"/>
    <x v="102"/>
    <n v="-44718.011200000001"/>
    <m/>
    <x v="100"/>
    <x v="104"/>
    <n v="27966.978499999997"/>
    <x v="101"/>
    <x v="101"/>
    <x v="104"/>
  </r>
  <r>
    <x v="105"/>
    <x v="105"/>
    <x v="103"/>
    <n v="-17444.8338"/>
    <n v="-2522.0655000000015"/>
    <x v="101"/>
    <x v="105"/>
    <n v="11091.001400000001"/>
    <x v="102"/>
    <x v="102"/>
    <x v="105"/>
  </r>
  <r>
    <x v="106"/>
    <x v="106"/>
    <x v="104"/>
    <n v="-47594.402500000011"/>
    <n v="-6897.5530000000035"/>
    <x v="102"/>
    <x v="106"/>
    <n v="28007.458500000015"/>
    <x v="103"/>
    <x v="103"/>
    <x v="106"/>
  </r>
  <r>
    <x v="107"/>
    <x v="107"/>
    <x v="105"/>
    <n v="-27158.450800000002"/>
    <n v="-3909.7893000000058"/>
    <x v="103"/>
    <x v="107"/>
    <n v="15582.189800000009"/>
    <x v="104"/>
    <x v="104"/>
    <x v="107"/>
  </r>
  <r>
    <x v="108"/>
    <x v="108"/>
    <x v="106"/>
    <n v="-59145.2546"/>
    <n v="-8645.9008999999951"/>
    <x v="104"/>
    <x v="108"/>
    <n v="39156.928100000005"/>
    <x v="105"/>
    <x v="105"/>
    <x v="108"/>
  </r>
  <r>
    <x v="109"/>
    <x v="109"/>
    <x v="107"/>
    <n v="-16022.419899999995"/>
    <n v="-2349.0593999999996"/>
    <x v="105"/>
    <x v="109"/>
    <n v="9987.9866999999958"/>
    <x v="106"/>
    <x v="106"/>
    <x v="109"/>
  </r>
  <r>
    <x v="110"/>
    <x v="110"/>
    <x v="108"/>
    <n v="-25985.522300000004"/>
    <n v="-3769.1817000000055"/>
    <x v="106"/>
    <x v="110"/>
    <n v="16465.784100000004"/>
    <x v="107"/>
    <x v="107"/>
    <x v="110"/>
  </r>
  <r>
    <x v="111"/>
    <x v="111"/>
    <x v="58"/>
    <m/>
    <m/>
    <x v="4"/>
    <x v="111"/>
    <n v="0"/>
    <x v="52"/>
    <x v="52"/>
    <x v="111"/>
  </r>
  <r>
    <x v="112"/>
    <x v="112"/>
    <x v="109"/>
    <n v="-33142.553599999999"/>
    <n v="-4696.5713000000014"/>
    <x v="107"/>
    <x v="112"/>
    <n v="20572.9709"/>
    <x v="108"/>
    <x v="108"/>
    <x v="112"/>
  </r>
  <r>
    <x v="113"/>
    <x v="113"/>
    <x v="110"/>
    <n v="-30502.836700000011"/>
    <n v="-4446.8755000000037"/>
    <x v="108"/>
    <x v="113"/>
    <n v="19343.277300000016"/>
    <x v="109"/>
    <x v="109"/>
    <x v="113"/>
  </r>
  <r>
    <x v="114"/>
    <x v="114"/>
    <x v="111"/>
    <n v="-21556.8842"/>
    <n v="-3099.5836000000018"/>
    <x v="109"/>
    <x v="114"/>
    <n v="11254.308000000006"/>
    <x v="110"/>
    <x v="110"/>
    <x v="114"/>
  </r>
  <r>
    <x v="115"/>
    <x v="115"/>
    <x v="112"/>
    <n v="-34330.176499999987"/>
    <n v="-4954.1334000000033"/>
    <x v="110"/>
    <x v="115"/>
    <n v="26462.700799999991"/>
    <x v="111"/>
    <x v="111"/>
    <x v="115"/>
  </r>
  <r>
    <x v="116"/>
    <x v="116"/>
    <x v="113"/>
    <n v="-87687.828299999979"/>
    <n v="-12703.697299999974"/>
    <x v="111"/>
    <x v="116"/>
    <n v="60195.956899999939"/>
    <x v="112"/>
    <x v="112"/>
    <x v="116"/>
  </r>
  <r>
    <x v="117"/>
    <x v="117"/>
    <x v="114"/>
    <n v="-1802.6029999999998"/>
    <n v="-276.83180000000004"/>
    <x v="112"/>
    <x v="117"/>
    <n v="832.54140000000007"/>
    <x v="113"/>
    <x v="113"/>
    <x v="117"/>
  </r>
  <r>
    <x v="118"/>
    <x v="118"/>
    <x v="115"/>
    <n v="-3534.6662999999999"/>
    <n v="-492.58120000000008"/>
    <x v="113"/>
    <x v="118"/>
    <n v="1529.6404000000002"/>
    <x v="114"/>
    <x v="114"/>
    <x v="118"/>
  </r>
  <r>
    <x v="119"/>
    <x v="119"/>
    <x v="116"/>
    <n v="-1408.6203"/>
    <n v="-199.44799999999998"/>
    <x v="114"/>
    <x v="119"/>
    <n v="671.36619999999994"/>
    <x v="115"/>
    <x v="115"/>
    <x v="119"/>
  </r>
  <r>
    <x v="120"/>
    <x v="120"/>
    <x v="117"/>
    <n v="-3060.35"/>
    <n v="-454.62959999999998"/>
    <x v="115"/>
    <x v="120"/>
    <n v="1862.6204999999995"/>
    <x v="116"/>
    <x v="116"/>
    <x v="120"/>
  </r>
  <r>
    <x v="121"/>
    <x v="121"/>
    <x v="118"/>
    <n v="-2428.4477999999999"/>
    <n v="-385.79280000000006"/>
    <x v="116"/>
    <x v="121"/>
    <n v="1515.9492"/>
    <x v="117"/>
    <x v="117"/>
    <x v="121"/>
  </r>
  <r>
    <x v="122"/>
    <x v="122"/>
    <x v="119"/>
    <n v="-7534.6261000000022"/>
    <n v="-797.26519999999994"/>
    <x v="117"/>
    <x v="122"/>
    <n v="3760.5048000000024"/>
    <x v="118"/>
    <x v="118"/>
    <x v="122"/>
  </r>
  <r>
    <x v="123"/>
    <x v="123"/>
    <x v="120"/>
    <n v="-2294.8447000000001"/>
    <n v="-348.29129999999998"/>
    <x v="118"/>
    <x v="123"/>
    <n v="1219.6046999999999"/>
    <x v="119"/>
    <x v="119"/>
    <x v="123"/>
  </r>
  <r>
    <x v="124"/>
    <x v="124"/>
    <x v="121"/>
    <n v="-718.10300000000007"/>
    <n v="-80.275800000000004"/>
    <x v="119"/>
    <x v="124"/>
    <n v="393.14760000000007"/>
    <x v="120"/>
    <x v="120"/>
    <x v="124"/>
  </r>
  <r>
    <x v="125"/>
    <x v="125"/>
    <x v="122"/>
    <n v="-27730.165799999999"/>
    <n v="-4015.4610000000011"/>
    <x v="120"/>
    <x v="125"/>
    <n v="16236.583100000002"/>
    <x v="121"/>
    <x v="121"/>
    <x v="125"/>
  </r>
  <r>
    <x v="126"/>
    <x v="126"/>
    <x v="123"/>
    <n v="-14109.1559"/>
    <n v="-1944.674999999999"/>
    <x v="121"/>
    <x v="126"/>
    <n v="9198.9430999999968"/>
    <x v="122"/>
    <x v="122"/>
    <x v="126"/>
  </r>
  <r>
    <x v="127"/>
    <x v="127"/>
    <x v="124"/>
    <n v="-80958.43379999997"/>
    <n v="-11539.933799999984"/>
    <x v="122"/>
    <x v="127"/>
    <n v="49701.486299999982"/>
    <x v="123"/>
    <x v="123"/>
    <x v="127"/>
  </r>
  <r>
    <x v="128"/>
    <x v="128"/>
    <x v="125"/>
    <n v="-66387.926199999987"/>
    <n v="-9836.0476999999955"/>
    <x v="123"/>
    <x v="128"/>
    <n v="44029.881699999998"/>
    <x v="124"/>
    <x v="124"/>
    <x v="128"/>
  </r>
  <r>
    <x v="129"/>
    <x v="129"/>
    <x v="126"/>
    <n v="-22409.721699999998"/>
    <n v="-3228.1897000000058"/>
    <x v="124"/>
    <x v="129"/>
    <n v="11925.378400000005"/>
    <x v="125"/>
    <x v="125"/>
    <x v="129"/>
  </r>
  <r>
    <x v="130"/>
    <x v="130"/>
    <x v="127"/>
    <n v="-33514.726599999987"/>
    <n v="-4830.4896000000044"/>
    <x v="125"/>
    <x v="130"/>
    <n v="25090.5389"/>
    <x v="126"/>
    <x v="126"/>
    <x v="130"/>
  </r>
  <r>
    <x v="131"/>
    <x v="131"/>
    <x v="128"/>
    <n v="-18140.508600000001"/>
    <n v="-2721.1737000000003"/>
    <x v="126"/>
    <x v="131"/>
    <n v="9619.9920999999995"/>
    <x v="127"/>
    <x v="127"/>
    <x v="131"/>
  </r>
  <r>
    <x v="132"/>
    <x v="132"/>
    <x v="129"/>
    <n v="-65368.102400000011"/>
    <n v="-9436.1532999999908"/>
    <x v="127"/>
    <x v="132"/>
    <n v="44922.314500000022"/>
    <x v="128"/>
    <x v="128"/>
    <x v="132"/>
  </r>
  <r>
    <x v="133"/>
    <x v="133"/>
    <x v="130"/>
    <n v="-1923.3199"/>
    <n v="-307.73219999999998"/>
    <x v="128"/>
    <x v="133"/>
    <n v="1534.5411999999997"/>
    <x v="129"/>
    <x v="129"/>
    <x v="133"/>
  </r>
  <r>
    <x v="134"/>
    <x v="134"/>
    <x v="131"/>
    <n v="-701.72429999999997"/>
    <n v="-112.27599999999998"/>
    <x v="129"/>
    <x v="134"/>
    <n v="592.09659999999997"/>
    <x v="130"/>
    <x v="130"/>
    <x v="134"/>
  </r>
  <r>
    <x v="135"/>
    <x v="135"/>
    <x v="132"/>
    <n v="-4170.5197000000007"/>
    <n v="-667.2833999999998"/>
    <x v="130"/>
    <x v="135"/>
    <n v="3312.0304000000006"/>
    <x v="131"/>
    <x v="131"/>
    <x v="135"/>
  </r>
  <r>
    <x v="136"/>
    <x v="136"/>
    <x v="133"/>
    <n v="-554.33690000000013"/>
    <n v="-88.694199999999967"/>
    <x v="131"/>
    <x v="136"/>
    <n v="514.20970000000011"/>
    <x v="132"/>
    <x v="132"/>
    <x v="136"/>
  </r>
  <r>
    <x v="137"/>
    <x v="137"/>
    <x v="134"/>
    <n v="-3391.3792000000003"/>
    <n v="-542.6244999999999"/>
    <x v="132"/>
    <x v="137"/>
    <n v="2507.7214000000004"/>
    <x v="133"/>
    <x v="133"/>
    <x v="137"/>
  </r>
  <r>
    <x v="138"/>
    <x v="136"/>
    <x v="135"/>
    <n v="-634.63879999999995"/>
    <n v="-101.54209999999999"/>
    <x v="133"/>
    <x v="138"/>
    <n v="573.73439999999994"/>
    <x v="134"/>
    <x v="134"/>
    <x v="138"/>
  </r>
  <r>
    <x v="139"/>
    <x v="138"/>
    <x v="136"/>
    <n v="-322.41399999999999"/>
    <n v="-51.586600000000011"/>
    <x v="134"/>
    <x v="139"/>
    <n v="285.65089999999998"/>
    <x v="135"/>
    <x v="135"/>
    <x v="139"/>
  </r>
  <r>
    <x v="140"/>
    <x v="136"/>
    <x v="137"/>
    <n v="-935.34569999999985"/>
    <n v="-149.65549999999999"/>
    <x v="135"/>
    <x v="140"/>
    <n v="709.54819999999995"/>
    <x v="136"/>
    <x v="136"/>
    <x v="140"/>
  </r>
  <r>
    <x v="141"/>
    <x v="139"/>
    <x v="138"/>
    <n v="-1894.7501999999997"/>
    <n v="-303.16059999999999"/>
    <x v="136"/>
    <x v="141"/>
    <n v="1294.1556999999998"/>
    <x v="137"/>
    <x v="137"/>
    <x v="141"/>
  </r>
  <r>
    <x v="142"/>
    <x v="140"/>
    <x v="139"/>
    <n v="-1696.5525"/>
    <n v="-271.44839999999999"/>
    <x v="137"/>
    <x v="142"/>
    <n v="1251.4619"/>
    <x v="138"/>
    <x v="138"/>
    <x v="142"/>
  </r>
  <r>
    <x v="143"/>
    <x v="141"/>
    <x v="140"/>
    <n v="-47563.000499999995"/>
    <m/>
    <x v="138"/>
    <x v="143"/>
    <n v="19441.141499999994"/>
    <x v="139"/>
    <x v="139"/>
    <x v="143"/>
  </r>
  <r>
    <x v="144"/>
    <x v="142"/>
    <x v="141"/>
    <n v="-26150.854800000001"/>
    <n v="-3768.157800000005"/>
    <x v="139"/>
    <x v="144"/>
    <n v="18776.670400000003"/>
    <x v="140"/>
    <x v="140"/>
    <x v="144"/>
  </r>
  <r>
    <x v="145"/>
    <x v="143"/>
    <x v="142"/>
    <n v="-59092.067499999997"/>
    <n v="-8538.3182000000015"/>
    <x v="140"/>
    <x v="145"/>
    <n v="42233.582000000009"/>
    <x v="141"/>
    <x v="141"/>
    <x v="145"/>
  </r>
  <r>
    <x v="146"/>
    <x v="144"/>
    <x v="143"/>
    <n v="-23368.973600000001"/>
    <n v="-3330.4820000000004"/>
    <x v="141"/>
    <x v="146"/>
    <n v="17160.9997"/>
    <x v="142"/>
    <x v="142"/>
    <x v="146"/>
  </r>
  <r>
    <x v="147"/>
    <x v="145"/>
    <x v="144"/>
    <n v="-22317.887300000002"/>
    <n v="-3234.0395000000067"/>
    <x v="142"/>
    <x v="147"/>
    <n v="16230.749500000009"/>
    <x v="143"/>
    <x v="143"/>
    <x v="147"/>
  </r>
  <r>
    <x v="148"/>
    <x v="146"/>
    <x v="145"/>
    <n v="-37840.518000000004"/>
    <n v="-5538.3756999999978"/>
    <x v="143"/>
    <x v="148"/>
    <n v="25541.723600000005"/>
    <x v="144"/>
    <x v="144"/>
    <x v="148"/>
  </r>
  <r>
    <x v="149"/>
    <x v="147"/>
    <x v="146"/>
    <n v="-40934.46610000002"/>
    <n v="-5933.5150000000085"/>
    <x v="144"/>
    <x v="149"/>
    <n v="28201.463400000026"/>
    <x v="145"/>
    <x v="145"/>
    <x v="149"/>
  </r>
  <r>
    <x v="150"/>
    <x v="148"/>
    <x v="147"/>
    <n v="-72131.901599999983"/>
    <n v="-10392.259899999977"/>
    <x v="145"/>
    <x v="150"/>
    <n v="47035.58009999997"/>
    <x v="146"/>
    <x v="146"/>
    <x v="150"/>
  </r>
  <r>
    <x v="151"/>
    <x v="149"/>
    <x v="148"/>
    <n v="-47228.44160000002"/>
    <n v="-7081.8872000000074"/>
    <x v="146"/>
    <x v="151"/>
    <n v="26512.76320000003"/>
    <x v="147"/>
    <x v="147"/>
    <x v="151"/>
  </r>
  <r>
    <x v="152"/>
    <x v="150"/>
    <x v="149"/>
    <n v="-62320.707999999984"/>
    <n v="-9247.8165999999928"/>
    <x v="147"/>
    <x v="152"/>
    <n v="40663.527800000011"/>
    <x v="148"/>
    <x v="148"/>
    <x v="152"/>
  </r>
  <r>
    <x v="153"/>
    <x v="151"/>
    <x v="150"/>
    <n v="-62387.998600000006"/>
    <n v="-8815.0463999999956"/>
    <x v="148"/>
    <x v="153"/>
    <n v="42033.648500000025"/>
    <x v="149"/>
    <x v="149"/>
    <x v="153"/>
  </r>
  <r>
    <x v="154"/>
    <x v="152"/>
    <x v="151"/>
    <n v="-62013.760899999987"/>
    <n v="-9002.1666000000041"/>
    <x v="149"/>
    <x v="154"/>
    <n v="38449.492899999997"/>
    <x v="150"/>
    <x v="150"/>
    <x v="154"/>
  </r>
  <r>
    <x v="155"/>
    <x v="153"/>
    <x v="152"/>
    <n v="-32475.10400000001"/>
    <n v="-4636.5457000000097"/>
    <x v="150"/>
    <x v="155"/>
    <n v="22370.985000000022"/>
    <x v="151"/>
    <x v="151"/>
    <x v="155"/>
  </r>
  <r>
    <x v="156"/>
    <x v="154"/>
    <x v="153"/>
    <n v="-16517.502299999996"/>
    <n v="-2369.3047999999967"/>
    <x v="151"/>
    <x v="156"/>
    <n v="11843.506699999993"/>
    <x v="152"/>
    <x v="152"/>
    <x v="156"/>
  </r>
  <r>
    <x v="157"/>
    <x v="155"/>
    <x v="154"/>
    <n v="-50766.371499999994"/>
    <n v="-7928.1639000000032"/>
    <x v="152"/>
    <x v="157"/>
    <n v="33347.749100000001"/>
    <x v="153"/>
    <x v="153"/>
    <x v="157"/>
  </r>
  <r>
    <x v="158"/>
    <x v="156"/>
    <x v="155"/>
    <n v="-73656.146600000022"/>
    <n v="-10530.033699999982"/>
    <x v="153"/>
    <x v="158"/>
    <n v="53497.463500000013"/>
    <x v="154"/>
    <x v="154"/>
    <x v="158"/>
  </r>
  <r>
    <x v="159"/>
    <x v="157"/>
    <x v="156"/>
    <n v="-36110.40630000001"/>
    <n v="-5263.0232999999953"/>
    <x v="154"/>
    <x v="159"/>
    <n v="28772.968800000006"/>
    <x v="155"/>
    <x v="155"/>
    <x v="159"/>
  </r>
  <r>
    <x v="160"/>
    <x v="158"/>
    <x v="157"/>
    <n v="-46306.891800000012"/>
    <n v="-6886.7746000000079"/>
    <x v="155"/>
    <x v="160"/>
    <n v="36808.665200000018"/>
    <x v="156"/>
    <x v="156"/>
    <x v="160"/>
  </r>
  <r>
    <x v="161"/>
    <x v="159"/>
    <x v="158"/>
    <n v="-28367.999799999998"/>
    <m/>
    <x v="156"/>
    <x v="161"/>
    <n v="19113.674800000001"/>
    <x v="157"/>
    <x v="157"/>
    <x v="161"/>
  </r>
  <r>
    <x v="162"/>
    <x v="160"/>
    <x v="159"/>
    <n v="-30911.519999999997"/>
    <m/>
    <x v="157"/>
    <x v="162"/>
    <n v="24213.568599999995"/>
    <x v="158"/>
    <x v="158"/>
    <x v="162"/>
  </r>
  <r>
    <x v="163"/>
    <x v="161"/>
    <x v="160"/>
    <n v="-15294.8303"/>
    <n v="-2174.7958000000008"/>
    <x v="158"/>
    <x v="163"/>
    <n v="10765.001200000002"/>
    <x v="159"/>
    <x v="159"/>
    <x v="163"/>
  </r>
  <r>
    <x v="164"/>
    <x v="162"/>
    <x v="161"/>
    <n v="-18096.575999999997"/>
    <n v="-2650.5004000000031"/>
    <x v="159"/>
    <x v="164"/>
    <n v="13850.871800000001"/>
    <x v="160"/>
    <x v="160"/>
    <x v="164"/>
  </r>
  <r>
    <x v="165"/>
    <x v="163"/>
    <x v="162"/>
    <n v="-17977.651399999999"/>
    <n v="-2607.3311000000008"/>
    <x v="160"/>
    <x v="165"/>
    <n v="8024.8822999999957"/>
    <x v="161"/>
    <x v="161"/>
    <x v="165"/>
  </r>
  <r>
    <x v="166"/>
    <x v="164"/>
    <x v="163"/>
    <n v="-57295.628799999999"/>
    <n v="-8349.7529000000122"/>
    <x v="161"/>
    <x v="166"/>
    <n v="39611.217900000018"/>
    <x v="162"/>
    <x v="162"/>
    <x v="166"/>
  </r>
  <r>
    <x v="167"/>
    <x v="165"/>
    <x v="164"/>
    <n v="-36249.9781"/>
    <n v="-5286.5746000000036"/>
    <x v="162"/>
    <x v="167"/>
    <n v="24441.588599999992"/>
    <x v="163"/>
    <x v="163"/>
    <x v="167"/>
  </r>
  <r>
    <x v="168"/>
    <x v="166"/>
    <x v="58"/>
    <m/>
    <m/>
    <x v="4"/>
    <x v="168"/>
    <n v="0"/>
    <x v="52"/>
    <x v="52"/>
    <x v="168"/>
  </r>
  <r>
    <x v="169"/>
    <x v="167"/>
    <x v="165"/>
    <n v="-18063.781900000002"/>
    <n v="-2611.4452000000001"/>
    <x v="163"/>
    <x v="169"/>
    <n v="11969.406900000004"/>
    <x v="164"/>
    <x v="164"/>
    <x v="169"/>
  </r>
  <r>
    <x v="170"/>
    <x v="168"/>
    <x v="166"/>
    <n v="-17813.790600000004"/>
    <n v="-2631.4575999999997"/>
    <x v="164"/>
    <x v="170"/>
    <n v="9607.960500000001"/>
    <x v="165"/>
    <x v="165"/>
    <x v="170"/>
  </r>
  <r>
    <x v="171"/>
    <x v="169"/>
    <x v="167"/>
    <n v="-67071.740600000005"/>
    <m/>
    <x v="165"/>
    <x v="171"/>
    <n v="24871.889700000022"/>
    <x v="166"/>
    <x v="166"/>
    <x v="171"/>
  </r>
  <r>
    <x v="172"/>
    <x v="170"/>
    <x v="168"/>
    <n v="-44342.960200000009"/>
    <n v="-6420.3746000000046"/>
    <x v="166"/>
    <x v="172"/>
    <n v="28607.135400000014"/>
    <x v="167"/>
    <x v="167"/>
    <x v="172"/>
  </r>
  <r>
    <x v="173"/>
    <x v="171"/>
    <x v="169"/>
    <n v="-35971.5893"/>
    <n v="-5300.7004000000125"/>
    <x v="167"/>
    <x v="173"/>
    <n v="23003.519100000009"/>
    <x v="168"/>
    <x v="168"/>
    <x v="173"/>
  </r>
  <r>
    <x v="174"/>
    <x v="172"/>
    <x v="170"/>
    <n v="-65421.720199999974"/>
    <n v="-9293.2481000000043"/>
    <x v="168"/>
    <x v="174"/>
    <n v="45533.565399999978"/>
    <x v="169"/>
    <x v="169"/>
    <x v="174"/>
  </r>
  <r>
    <x v="175"/>
    <x v="173"/>
    <x v="171"/>
    <n v="-32239.133600000001"/>
    <n v="-4766.3969000000043"/>
    <x v="169"/>
    <x v="175"/>
    <n v="21229.880100000009"/>
    <x v="170"/>
    <x v="170"/>
    <x v="175"/>
  </r>
  <r>
    <x v="176"/>
    <x v="174"/>
    <x v="172"/>
    <n v="-14815.205100000003"/>
    <n v="-2132.0851999999968"/>
    <x v="170"/>
    <x v="176"/>
    <n v="9550.1213000000025"/>
    <x v="171"/>
    <x v="171"/>
    <x v="176"/>
  </r>
  <r>
    <x v="177"/>
    <x v="175"/>
    <x v="173"/>
    <n v="-18141.805000000004"/>
    <n v="-2608.1103000000012"/>
    <x v="171"/>
    <x v="177"/>
    <n v="11181.230300000005"/>
    <x v="172"/>
    <x v="172"/>
    <x v="177"/>
  </r>
  <r>
    <x v="178"/>
    <x v="176"/>
    <x v="174"/>
    <n v="-35882.782099999989"/>
    <n v="-5182.016100000008"/>
    <x v="172"/>
    <x v="178"/>
    <n v="20835.227500000005"/>
    <x v="173"/>
    <x v="173"/>
    <x v="178"/>
  </r>
  <r>
    <x v="179"/>
    <x v="177"/>
    <x v="175"/>
    <n v="-20944.814299999998"/>
    <n v="-2981.9533000000001"/>
    <x v="173"/>
    <x v="179"/>
    <n v="13430.9221"/>
    <x v="174"/>
    <x v="174"/>
    <x v="179"/>
  </r>
  <r>
    <x v="180"/>
    <x v="178"/>
    <x v="176"/>
    <n v="-25600.843799999999"/>
    <n v="-3663.2120000000041"/>
    <x v="174"/>
    <x v="180"/>
    <n v="17368.959900000005"/>
    <x v="175"/>
    <x v="175"/>
    <x v="180"/>
  </r>
  <r>
    <x v="181"/>
    <x v="179"/>
    <x v="177"/>
    <n v="-23916.369399999992"/>
    <n v="-3399.884100000002"/>
    <x v="175"/>
    <x v="181"/>
    <n v="17703.258999999995"/>
    <x v="176"/>
    <x v="176"/>
    <x v="181"/>
  </r>
  <r>
    <x v="182"/>
    <x v="180"/>
    <x v="178"/>
    <n v="-80566.404599999965"/>
    <n v="-11680.143899999988"/>
    <x v="176"/>
    <x v="182"/>
    <n v="49685.79909999996"/>
    <x v="177"/>
    <x v="177"/>
    <x v="182"/>
  </r>
  <r>
    <x v="183"/>
    <x v="181"/>
    <x v="179"/>
    <n v="-44324.987500000003"/>
    <n v="-6448.0044000000016"/>
    <x v="177"/>
    <x v="183"/>
    <n v="30203.09940000001"/>
    <x v="178"/>
    <x v="178"/>
    <x v="183"/>
  </r>
  <r>
    <x v="184"/>
    <x v="182"/>
    <x v="180"/>
    <n v="-20593.070400000001"/>
    <n v="-2941.1204000000025"/>
    <x v="178"/>
    <x v="184"/>
    <n v="12251.0159"/>
    <x v="179"/>
    <x v="179"/>
    <x v="184"/>
  </r>
  <r>
    <x v="185"/>
    <x v="183"/>
    <x v="181"/>
    <n v="-20323.268399999997"/>
    <n v="-2933.5271999999995"/>
    <x v="179"/>
    <x v="185"/>
    <n v="14163.7811"/>
    <x v="180"/>
    <x v="180"/>
    <x v="185"/>
  </r>
  <r>
    <x v="186"/>
    <x v="184"/>
    <x v="182"/>
    <n v="-18607.87"/>
    <n v="-2695.2099000000044"/>
    <x v="180"/>
    <x v="186"/>
    <n v="12576.173300000004"/>
    <x v="181"/>
    <x v="181"/>
    <x v="186"/>
  </r>
  <r>
    <x v="187"/>
    <x v="185"/>
    <x v="183"/>
    <n v="-83534.053699999946"/>
    <n v="-12135.70339999996"/>
    <x v="181"/>
    <x v="187"/>
    <n v="53169.840999999935"/>
    <x v="182"/>
    <x v="182"/>
    <x v="187"/>
  </r>
  <r>
    <x v="188"/>
    <x v="186"/>
    <x v="184"/>
    <n v="-38735.992000000006"/>
    <n v="-5693.0750000000116"/>
    <x v="182"/>
    <x v="188"/>
    <n v="25469.837600000013"/>
    <x v="183"/>
    <x v="183"/>
    <x v="188"/>
  </r>
  <r>
    <x v="189"/>
    <x v="187"/>
    <x v="185"/>
    <n v="-103999.97619999999"/>
    <n v="-15822.186199999895"/>
    <x v="183"/>
    <x v="189"/>
    <n v="67889.446799999889"/>
    <x v="184"/>
    <x v="184"/>
    <x v="189"/>
  </r>
  <r>
    <x v="190"/>
    <x v="188"/>
    <x v="186"/>
    <n v="-51150.530699999996"/>
    <n v="-7379.8070000000007"/>
    <x v="184"/>
    <x v="190"/>
    <n v="33234.679099999987"/>
    <x v="185"/>
    <x v="185"/>
    <x v="190"/>
  </r>
  <r>
    <x v="191"/>
    <x v="189"/>
    <x v="187"/>
    <n v="-47712.89959999999"/>
    <n v="-7085.3699000000051"/>
    <x v="185"/>
    <x v="191"/>
    <n v="32050.777900000005"/>
    <x v="186"/>
    <x v="186"/>
    <x v="191"/>
  </r>
  <r>
    <x v="192"/>
    <x v="190"/>
    <x v="188"/>
    <n v="-49577.382399999995"/>
    <n v="-7142.1852000000154"/>
    <x v="186"/>
    <x v="192"/>
    <n v="34542.016400000015"/>
    <x v="187"/>
    <x v="187"/>
    <x v="192"/>
  </r>
  <r>
    <x v="193"/>
    <x v="191"/>
    <x v="189"/>
    <n v="-15533.786900000001"/>
    <n v="-2285.6104000000005"/>
    <x v="187"/>
    <x v="193"/>
    <n v="8615.6538999999993"/>
    <x v="188"/>
    <x v="188"/>
    <x v="193"/>
  </r>
  <r>
    <x v="194"/>
    <x v="192"/>
    <x v="190"/>
    <n v="-18883.605999999996"/>
    <n v="-2715.3177000000032"/>
    <x v="188"/>
    <x v="194"/>
    <n v="13214.468900000002"/>
    <x v="189"/>
    <x v="189"/>
    <x v="194"/>
  </r>
  <r>
    <x v="195"/>
    <x v="193"/>
    <x v="191"/>
    <n v="-4481.8948"/>
    <n v="-665.10350000000005"/>
    <x v="189"/>
    <x v="195"/>
    <n v="3012.7822000000001"/>
    <x v="190"/>
    <x v="190"/>
    <x v="195"/>
  </r>
  <r>
    <x v="196"/>
    <x v="194"/>
    <x v="192"/>
    <n v="-53115.506699999991"/>
    <n v="-7897.4668000000056"/>
    <x v="190"/>
    <x v="196"/>
    <n v="35846.782399999996"/>
    <x v="191"/>
    <x v="191"/>
    <x v="196"/>
  </r>
  <r>
    <x v="197"/>
    <x v="195"/>
    <x v="193"/>
    <n v="-43064.532800000015"/>
    <n v="-6304.6700999999994"/>
    <x v="191"/>
    <x v="197"/>
    <n v="19713.850800000033"/>
    <x v="192"/>
    <x v="192"/>
    <x v="197"/>
  </r>
  <r>
    <x v="198"/>
    <x v="196"/>
    <x v="194"/>
    <n v="-17883.369000000006"/>
    <n v="-2553.3606000000004"/>
    <x v="192"/>
    <x v="198"/>
    <n v="12334.746100000006"/>
    <x v="193"/>
    <x v="193"/>
    <x v="198"/>
  </r>
  <r>
    <x v="199"/>
    <x v="197"/>
    <x v="195"/>
    <n v="-30466.370099999996"/>
    <n v="-4460.0976000000037"/>
    <x v="193"/>
    <x v="199"/>
    <n v="19200.072800000002"/>
    <x v="194"/>
    <x v="194"/>
    <x v="199"/>
  </r>
  <r>
    <x v="200"/>
    <x v="198"/>
    <x v="196"/>
    <n v="-62376.686299999994"/>
    <n v="-9359.5487999999914"/>
    <x v="194"/>
    <x v="200"/>
    <n v="42037.982900000003"/>
    <x v="195"/>
    <x v="195"/>
    <x v="200"/>
  </r>
  <r>
    <x v="201"/>
    <x v="199"/>
    <x v="197"/>
    <n v="-54593.13979999999"/>
    <n v="-8185.110400000025"/>
    <x v="195"/>
    <x v="201"/>
    <n v="34692.698200000013"/>
    <x v="196"/>
    <x v="196"/>
    <x v="201"/>
  </r>
  <r>
    <x v="202"/>
    <x v="200"/>
    <x v="198"/>
    <n v="-38394.8338"/>
    <n v="-5534.6474000000098"/>
    <x v="196"/>
    <x v="202"/>
    <n v="27098.81860000001"/>
    <x v="197"/>
    <x v="197"/>
    <x v="202"/>
  </r>
  <r>
    <x v="203"/>
    <x v="201"/>
    <x v="199"/>
    <n v="-22328.460000000003"/>
    <n v="-3248.4209000000028"/>
    <x v="197"/>
    <x v="203"/>
    <n v="15147.133900000003"/>
    <x v="198"/>
    <x v="198"/>
    <x v="203"/>
  </r>
  <r>
    <x v="204"/>
    <x v="202"/>
    <x v="200"/>
    <n v="-48840.422500000001"/>
    <n v="-7053.2382000000125"/>
    <x v="198"/>
    <x v="204"/>
    <n v="27324.506400000024"/>
    <x v="199"/>
    <x v="199"/>
    <x v="204"/>
  </r>
  <r>
    <x v="205"/>
    <x v="203"/>
    <x v="201"/>
    <n v="-27927.580399999988"/>
    <n v="-4011.1047000000126"/>
    <x v="199"/>
    <x v="205"/>
    <n v="19411.691000000006"/>
    <x v="200"/>
    <x v="200"/>
    <x v="205"/>
  </r>
  <r>
    <x v="206"/>
    <x v="204"/>
    <x v="202"/>
    <n v="-22664.541300000008"/>
    <n v="-3297.6354999999985"/>
    <x v="200"/>
    <x v="206"/>
    <n v="17921.52250000001"/>
    <x v="201"/>
    <x v="201"/>
    <x v="206"/>
  </r>
  <r>
    <x v="207"/>
    <x v="205"/>
    <x v="203"/>
    <n v="-90006.905100000004"/>
    <n v="-12592.488499999923"/>
    <x v="201"/>
    <x v="207"/>
    <n v="55489.045899999932"/>
    <x v="202"/>
    <x v="202"/>
    <x v="207"/>
  </r>
  <r>
    <x v="208"/>
    <x v="206"/>
    <x v="204"/>
    <n v="-23131.029400000003"/>
    <n v="-3377.7588999999998"/>
    <x v="202"/>
    <x v="208"/>
    <n v="15565.496300000001"/>
    <x v="203"/>
    <x v="203"/>
    <x v="208"/>
  </r>
  <r>
    <x v="209"/>
    <x v="207"/>
    <x v="205"/>
    <n v="-42920.169400000006"/>
    <n v="-6209.0859000000082"/>
    <x v="203"/>
    <x v="209"/>
    <n v="28502.529500000008"/>
    <x v="204"/>
    <x v="204"/>
    <x v="209"/>
  </r>
  <r>
    <x v="210"/>
    <x v="208"/>
    <x v="206"/>
    <n v="-31009.464899999988"/>
    <n v="-4467.7205000000158"/>
    <x v="204"/>
    <x v="210"/>
    <n v="21995.409000000003"/>
    <x v="205"/>
    <x v="205"/>
    <x v="210"/>
  </r>
  <r>
    <x v="211"/>
    <x v="209"/>
    <x v="207"/>
    <n v="-30572.285"/>
    <n v="-4389.78100000001"/>
    <x v="205"/>
    <x v="211"/>
    <n v="18433.506800000003"/>
    <x v="206"/>
    <x v="206"/>
    <x v="211"/>
  </r>
  <r>
    <x v="212"/>
    <x v="210"/>
    <x v="208"/>
    <n v="-49194.329799999992"/>
    <n v="-6996.4622000000254"/>
    <x v="206"/>
    <x v="212"/>
    <n v="34644.547500000022"/>
    <x v="207"/>
    <x v="207"/>
    <x v="212"/>
  </r>
  <r>
    <x v="213"/>
    <x v="211"/>
    <x v="209"/>
    <n v="-47627.934299999994"/>
    <n v="-6774.3997000000072"/>
    <x v="207"/>
    <x v="213"/>
    <n v="30642.264100000004"/>
    <x v="208"/>
    <x v="208"/>
    <x v="213"/>
  </r>
  <r>
    <x v="214"/>
    <x v="212"/>
    <x v="210"/>
    <n v="-58256.672799999993"/>
    <n v="-8352.9929000000229"/>
    <x v="208"/>
    <x v="214"/>
    <n v="39272.337500000009"/>
    <x v="209"/>
    <x v="209"/>
    <x v="214"/>
  </r>
  <r>
    <x v="215"/>
    <x v="213"/>
    <x v="211"/>
    <n v="-24212.087899999995"/>
    <n v="-3488.8822000000036"/>
    <x v="209"/>
    <x v="215"/>
    <n v="17222.258899999993"/>
    <x v="210"/>
    <x v="210"/>
    <x v="215"/>
  </r>
  <r>
    <x v="216"/>
    <x v="214"/>
    <x v="212"/>
    <n v="-39380.155300000006"/>
    <n v="-5775.4586000000045"/>
    <x v="210"/>
    <x v="216"/>
    <n v="25970.511200000012"/>
    <x v="211"/>
    <x v="211"/>
    <x v="21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">
  <r>
    <x v="0"/>
    <n v="0"/>
    <n v="0"/>
    <n v="0"/>
    <n v="0"/>
    <n v="0"/>
    <n v="0"/>
    <n v="0"/>
    <n v="0"/>
    <n v="0"/>
    <n v="0"/>
    <m/>
    <n v="0"/>
    <m/>
    <n v="0"/>
    <m/>
    <n v="0"/>
    <n v="391.17899999999997"/>
    <n v="0"/>
    <m/>
    <n v="0"/>
    <m/>
    <n v="0"/>
    <m/>
    <n v="0"/>
    <m/>
    <n v="0"/>
    <x v="0"/>
    <n v="0"/>
    <x v="0"/>
    <n v="0"/>
    <n v="0"/>
    <n v="0"/>
    <x v="0"/>
    <n v="0"/>
    <x v="0"/>
    <x v="0"/>
    <x v="0"/>
    <x v="0"/>
    <x v="0"/>
    <x v="0"/>
    <n v="0"/>
    <x v="0"/>
    <x v="0"/>
  </r>
  <r>
    <x v="1"/>
    <n v="0"/>
    <n v="0"/>
    <n v="1200"/>
    <n v="2.4433315069430316E-2"/>
    <n v="0"/>
    <n v="0"/>
    <n v="0"/>
    <n v="0"/>
    <n v="3343.9580000000001"/>
    <n v="6.8086649494118384E-2"/>
    <m/>
    <n v="0"/>
    <m/>
    <n v="0"/>
    <n v="171.01"/>
    <n v="3.4819510083527318E-3"/>
    <n v="4800.1319999999996"/>
    <n v="9.7735947942378901E-2"/>
    <m/>
    <n v="0"/>
    <m/>
    <n v="0"/>
    <n v="174.2"/>
    <n v="3.5469029042456343E-3"/>
    <n v="176.57900000000001"/>
    <n v="3.5953419513707801E-3"/>
    <x v="1"/>
    <n v="0.20088010836989678"/>
    <x v="1"/>
    <n v="0.4625486757448648"/>
    <n v="-42850.541000000005"/>
    <n v="-6262.7290000000003"/>
    <x v="1"/>
    <n v="49113.270000000004"/>
    <x v="1"/>
    <x v="1"/>
    <x v="1"/>
    <x v="1"/>
    <x v="1"/>
    <x v="1"/>
    <n v="0.22499829179893402"/>
    <x v="1"/>
    <x v="1"/>
  </r>
  <r>
    <x v="2"/>
    <n v="0"/>
    <n v="0"/>
    <n v="940"/>
    <n v="1.6508077314421023E-2"/>
    <n v="0"/>
    <n v="0"/>
    <n v="0"/>
    <n v="0"/>
    <n v="2821.0569999999998"/>
    <n v="4.9542794749349604E-2"/>
    <m/>
    <n v="0"/>
    <m/>
    <n v="0"/>
    <n v="62.92"/>
    <n v="1.1049874730035859E-3"/>
    <n v="502.625"/>
    <n v="8.8269918725115606E-3"/>
    <m/>
    <n v="0"/>
    <m/>
    <n v="0"/>
    <n v="287.09000000000003"/>
    <n v="5.0418126768054603E-3"/>
    <n v="99.995999999999995"/>
    <n v="1.7561081905668561E-3"/>
    <x v="2"/>
    <n v="8.2780772276658102E-2"/>
    <x v="2"/>
    <n v="0.51066918793009475"/>
    <n v="-49631.89"/>
    <n v="-7309.9319999999998"/>
    <x v="2"/>
    <n v="56941.822"/>
    <x v="2"/>
    <x v="2"/>
    <x v="2"/>
    <x v="2"/>
    <x v="2"/>
    <x v="2"/>
    <n v="0.24792078939086074"/>
    <x v="2"/>
    <x v="2"/>
  </r>
  <r>
    <x v="3"/>
    <n v="0"/>
    <n v="0"/>
    <n v="1700"/>
    <n v="1.42980847723858E-2"/>
    <n v="0"/>
    <n v="0"/>
    <n v="0"/>
    <n v="0"/>
    <n v="5335.9079999999994"/>
    <n v="4.487839113038327E-2"/>
    <m/>
    <n v="0"/>
    <m/>
    <n v="0"/>
    <n v="104.24"/>
    <n v="8.7672491569029166E-4"/>
    <n v="88.044000000000011"/>
    <n v="7.4050622099996208E-4"/>
    <m/>
    <n v="0"/>
    <m/>
    <n v="0"/>
    <n v="123.32"/>
    <n v="1.0371998906650688E-3"/>
    <n v="51.832000000000001"/>
    <n v="4.3594019407194168E-4"/>
    <x v="3"/>
    <n v="6.2266847124196348E-2"/>
    <x v="3"/>
    <n v="0.5068479878006722"/>
    <n v="-104454.00400000002"/>
    <n v="-14443.038999999999"/>
    <x v="3"/>
    <n v="118897.04300000002"/>
    <x v="3"/>
    <x v="3"/>
    <x v="3"/>
    <x v="3"/>
    <x v="3"/>
    <x v="3"/>
    <n v="0.23708816200969549"/>
    <x v="3"/>
    <x v="3"/>
  </r>
  <r>
    <x v="4"/>
    <n v="0"/>
    <n v="0"/>
    <n v="730"/>
    <n v="8.6751593704020892E-3"/>
    <n v="0"/>
    <n v="0"/>
    <n v="0"/>
    <n v="0"/>
    <n v="4044.558"/>
    <n v="4.8064637305253066E-2"/>
    <m/>
    <n v="0"/>
    <m/>
    <n v="0"/>
    <n v="70.290000000000006"/>
    <n v="8.353108933500862E-4"/>
    <n v="292.649"/>
    <n v="3.4777763213545221E-3"/>
    <n v="1.89"/>
    <n v="2.2460344123369793E-5"/>
    <m/>
    <n v="0"/>
    <n v="281.86"/>
    <n v="3.3495622193719632E-3"/>
    <n v="-6.5950000000000024"/>
    <n v="-7.8373528832605206E-5"/>
    <x v="4"/>
    <n v="6.4346532925022473E-2"/>
    <x v="4"/>
    <n v="0.48918089977089263"/>
    <n v="-73293.141000000018"/>
    <n v="-10855.169"/>
    <x v="4"/>
    <n v="84148.310000000012"/>
    <x v="4"/>
    <x v="4"/>
    <x v="4"/>
    <x v="4"/>
    <x v="4"/>
    <x v="4"/>
    <n v="0.2450776390197594"/>
    <x v="4"/>
    <x v="4"/>
  </r>
  <r>
    <x v="5"/>
    <n v="0"/>
    <n v="0"/>
    <n v="0"/>
    <n v="0"/>
    <n v="0"/>
    <n v="0"/>
    <n v="0"/>
    <n v="0"/>
    <n v="0"/>
    <n v="0"/>
    <m/>
    <n v="0"/>
    <m/>
    <n v="0"/>
    <m/>
    <n v="0"/>
    <m/>
    <n v="0"/>
    <m/>
    <n v="0"/>
    <m/>
    <n v="0"/>
    <m/>
    <n v="0"/>
    <n v="-11.032999999999999"/>
    <n v="0"/>
    <x v="5"/>
    <n v="0"/>
    <x v="0"/>
    <n v="0"/>
    <n v="0"/>
    <n v="0"/>
    <x v="0"/>
    <n v="0"/>
    <x v="0"/>
    <x v="0"/>
    <x v="0"/>
    <x v="0"/>
    <x v="0"/>
    <x v="0"/>
    <n v="0"/>
    <x v="5"/>
    <x v="5"/>
  </r>
  <r>
    <x v="6"/>
    <n v="0"/>
    <n v="0"/>
    <n v="0"/>
    <n v="0"/>
    <n v="30"/>
    <n v="1.5520647090957358E-3"/>
    <n v="0"/>
    <n v="0"/>
    <n v="924"/>
    <n v="4.7803593040148661E-2"/>
    <m/>
    <n v="0"/>
    <m/>
    <n v="0"/>
    <n v="433.46"/>
    <n v="2.2425265626821254E-2"/>
    <n v="10854.949999999999"/>
    <n v="0.56158616046662524"/>
    <n v="90"/>
    <n v="4.6561941272872075E-3"/>
    <m/>
    <n v="0"/>
    <n v="89.1"/>
    <n v="4.6096321860143348E-3"/>
    <n v="12700.181"/>
    <n v="0.65705009097427303"/>
    <x v="6"/>
    <n v="1.2996830011302654"/>
    <x v="5"/>
    <n v="0.31157709382194954"/>
    <n v="-17002.862999999998"/>
    <n v="-2326.2280000000001"/>
    <x v="5"/>
    <n v="19329.090999999997"/>
    <x v="5"/>
    <x v="5"/>
    <x v="5"/>
    <x v="5"/>
    <x v="5"/>
    <x v="5"/>
    <n v="0.35122991178437318"/>
    <x v="6"/>
    <x v="6"/>
  </r>
  <r>
    <x v="7"/>
    <n v="0"/>
    <n v="0"/>
    <n v="1500"/>
    <n v="0.13042388370850055"/>
    <n v="0"/>
    <n v="0"/>
    <n v="0"/>
    <n v="0"/>
    <n v="3892.1289999999999"/>
    <n v="0.33841772004965498"/>
    <m/>
    <n v="0"/>
    <n v="228.45"/>
    <n v="1.9863557488804633E-2"/>
    <n v="98.63"/>
    <n v="8.5758051001129394E-3"/>
    <n v="877.58500000000004"/>
    <n v="7.6305362656216305E-2"/>
    <m/>
    <n v="0"/>
    <m/>
    <n v="0"/>
    <n v="112.89000000000001"/>
    <n v="9.8157014879017516E-3"/>
    <n v="13.17"/>
    <n v="1.1451216989606348E-3"/>
    <x v="7"/>
    <n v="0.58454715219015185"/>
    <x v="6"/>
    <n v="0.48198824428671661"/>
    <n v="-10027.620999999999"/>
    <n v="-1473.34"/>
    <x v="6"/>
    <n v="11500.960999999999"/>
    <x v="6"/>
    <x v="6"/>
    <x v="6"/>
    <x v="6"/>
    <x v="6"/>
    <x v="6"/>
    <n v="0.24445786765370067"/>
    <x v="7"/>
    <x v="7"/>
  </r>
  <r>
    <x v="8"/>
    <n v="0"/>
    <n v="0"/>
    <n v="1420"/>
    <n v="1.5176191684534941E-2"/>
    <n v="0"/>
    <n v="0"/>
    <n v="47.2"/>
    <n v="5.0444806162679525E-4"/>
    <n v="4245.4539999999997"/>
    <n v="4.5373115275968733E-2"/>
    <m/>
    <n v="0"/>
    <m/>
    <n v="0"/>
    <n v="119.18"/>
    <n v="1.2737313556076581E-3"/>
    <n v="732.84399999999982"/>
    <n v="7.8322401541276922E-3"/>
    <m/>
    <n v="0"/>
    <m/>
    <n v="0"/>
    <n v="229.98000000000002"/>
    <n v="2.4579018053586944E-3"/>
    <n v="461.54300000000001"/>
    <n v="4.9327218582079649E-3"/>
    <x v="8"/>
    <n v="7.755035019543248E-2"/>
    <x v="7"/>
    <n v="0.52735419310855347"/>
    <n v="-81546.615999999995"/>
    <n v="-12020.995000000001"/>
    <x v="7"/>
    <n v="93567.61099999999"/>
    <x v="7"/>
    <x v="7"/>
    <x v="7"/>
    <x v="7"/>
    <x v="7"/>
    <x v="7"/>
    <n v="0.24390723186333574"/>
    <x v="8"/>
    <x v="8"/>
  </r>
  <r>
    <x v="9"/>
    <n v="0"/>
    <n v="0"/>
    <n v="215"/>
    <n v="0"/>
    <n v="0"/>
    <n v="0"/>
    <n v="0"/>
    <n v="0"/>
    <n v="1488.5040000000001"/>
    <n v="0"/>
    <m/>
    <n v="0"/>
    <m/>
    <n v="0"/>
    <m/>
    <n v="0"/>
    <m/>
    <n v="0"/>
    <m/>
    <n v="0"/>
    <m/>
    <n v="0"/>
    <n v="100.22999999999999"/>
    <n v="0"/>
    <n v="3.3500000000000005"/>
    <n v="0"/>
    <x v="9"/>
    <n v="0"/>
    <x v="8"/>
    <n v="0"/>
    <n v="0"/>
    <n v="0"/>
    <x v="0"/>
    <n v="0"/>
    <x v="0"/>
    <x v="0"/>
    <x v="0"/>
    <x v="0"/>
    <x v="0"/>
    <x v="0"/>
    <n v="0"/>
    <x v="9"/>
    <x v="9"/>
  </r>
  <r>
    <x v="10"/>
    <n v="0"/>
    <n v="0"/>
    <n v="215"/>
    <n v="0"/>
    <n v="0"/>
    <n v="0"/>
    <n v="0"/>
    <n v="0"/>
    <n v="1477.4549999999999"/>
    <n v="0"/>
    <m/>
    <n v="0"/>
    <m/>
    <n v="0"/>
    <m/>
    <n v="0"/>
    <n v="258.20699999999999"/>
    <n v="0"/>
    <m/>
    <n v="0"/>
    <m/>
    <n v="0"/>
    <n v="85.22999999999999"/>
    <n v="0"/>
    <n v="138.37199999999999"/>
    <n v="0"/>
    <x v="10"/>
    <n v="0"/>
    <x v="9"/>
    <n v="0"/>
    <n v="0"/>
    <n v="0"/>
    <x v="0"/>
    <n v="0"/>
    <x v="0"/>
    <x v="0"/>
    <x v="0"/>
    <x v="0"/>
    <x v="0"/>
    <x v="0"/>
    <n v="0"/>
    <x v="10"/>
    <x v="10"/>
  </r>
  <r>
    <x v="11"/>
    <n v="0"/>
    <n v="0"/>
    <n v="0"/>
    <n v="0"/>
    <n v="0"/>
    <n v="0"/>
    <n v="0"/>
    <n v="0"/>
    <n v="0"/>
    <n v="0"/>
    <m/>
    <n v="0"/>
    <m/>
    <n v="0"/>
    <m/>
    <n v="0"/>
    <n v="9.74"/>
    <n v="0"/>
    <m/>
    <n v="0"/>
    <m/>
    <n v="0"/>
    <m/>
    <n v="0"/>
    <n v="6.88"/>
    <n v="0"/>
    <x v="11"/>
    <n v="0"/>
    <x v="10"/>
    <n v="0"/>
    <n v="0"/>
    <n v="0"/>
    <x v="0"/>
    <n v="0"/>
    <x v="0"/>
    <x v="0"/>
    <x v="0"/>
    <x v="0"/>
    <x v="0"/>
    <x v="0"/>
    <n v="0"/>
    <x v="11"/>
    <x v="11"/>
  </r>
  <r>
    <x v="12"/>
    <n v="-3100"/>
    <n v="-7.7263184476420568E-2"/>
    <n v="1100"/>
    <n v="2.741596868518149E-2"/>
    <n v="0"/>
    <n v="0"/>
    <n v="0"/>
    <n v="0"/>
    <n v="2174.0730000000003"/>
    <n v="5.4185742988453259E-2"/>
    <m/>
    <n v="0"/>
    <m/>
    <n v="0"/>
    <m/>
    <n v="0"/>
    <n v="54.170999999999999"/>
    <n v="1.3501367633136059E-3"/>
    <m/>
    <n v="0"/>
    <m/>
    <n v="0"/>
    <n v="40.700000000000003"/>
    <n v="1.0143908413517153E-3"/>
    <n v="41.244"/>
    <n v="1.0279492840469322E-3"/>
    <x v="12"/>
    <n v="7.7310040859264323E-3"/>
    <x v="11"/>
    <n v="0.45709672568095161"/>
    <n v="-35063.774999999994"/>
    <n v="-5058.8270000000002"/>
    <x v="8"/>
    <n v="40122.601999999992"/>
    <x v="8"/>
    <x v="8"/>
    <x v="8"/>
    <x v="8"/>
    <x v="8"/>
    <x v="8"/>
    <n v="0.2327497634973521"/>
    <x v="12"/>
    <x v="12"/>
  </r>
  <r>
    <x v="13"/>
    <n v="0"/>
    <n v="0"/>
    <n v="800"/>
    <n v="1.8073194177268666E-2"/>
    <n v="20"/>
    <n v="4.5182985443171662E-4"/>
    <n v="0"/>
    <n v="0"/>
    <n v="2448.8209999999999"/>
    <n v="5.5322521797966533E-2"/>
    <m/>
    <n v="0"/>
    <n v="10.06"/>
    <n v="2.2727041677915346E-4"/>
    <n v="111.93"/>
    <n v="2.5286657803271022E-3"/>
    <n v="444.20499999999998"/>
    <n v="1.0035254024392034E-2"/>
    <m/>
    <n v="0"/>
    <m/>
    <n v="0"/>
    <n v="185.98000000000002"/>
    <n v="4.201565816360533E-3"/>
    <n v="44.692"/>
    <n v="1.0096589927131138E-3"/>
    <x v="13"/>
    <n v="9.1849960860238847E-2"/>
    <x v="12"/>
    <n v="0.56202643430563359"/>
    <n v="-44264.450000000004"/>
    <n v="0"/>
    <x v="9"/>
    <n v="44264.450000000004"/>
    <x v="9"/>
    <x v="9"/>
    <x v="9"/>
    <x v="9"/>
    <x v="9"/>
    <x v="9"/>
    <n v="0.2291403096068598"/>
    <x v="13"/>
    <x v="13"/>
  </r>
  <r>
    <x v="14"/>
    <n v="0"/>
    <n v="0"/>
    <n v="1100"/>
    <n v="2.4345378231345454E-2"/>
    <n v="22.5"/>
    <n v="4.9797364564115694E-4"/>
    <n v="47.2"/>
    <n v="1.0446380477450049E-3"/>
    <n v="3563.221"/>
    <n v="7.8861784515339067E-2"/>
    <m/>
    <n v="0"/>
    <m/>
    <n v="0"/>
    <n v="165.95"/>
    <n v="3.6728322886288886E-3"/>
    <n v="117.381"/>
    <n v="2.5978953110668735E-3"/>
    <m/>
    <n v="0"/>
    <m/>
    <n v="0"/>
    <n v="310.72000000000003"/>
    <n v="6.8769053854942364E-3"/>
    <n v="32.403000000000006"/>
    <n v="7.1714844620935172E-4"/>
    <x v="14"/>
    <n v="0.11861455587147003"/>
    <x v="13"/>
    <n v="0.49995841366754845"/>
    <n v="-39774.959999999999"/>
    <n v="-5408.1540000000005"/>
    <x v="10"/>
    <n v="45183.114000000001"/>
    <x v="10"/>
    <x v="10"/>
    <x v="10"/>
    <x v="10"/>
    <x v="10"/>
    <x v="10"/>
    <n v="0.23154367043355867"/>
    <x v="14"/>
    <x v="14"/>
  </r>
  <r>
    <x v="15"/>
    <n v="0"/>
    <n v="0"/>
    <n v="600"/>
    <n v="1.8180168193826042E-2"/>
    <n v="0"/>
    <n v="0"/>
    <n v="0"/>
    <n v="0"/>
    <n v="2727.4080000000004"/>
    <n v="8.2641226955311176E-2"/>
    <m/>
    <n v="0"/>
    <m/>
    <n v="0"/>
    <m/>
    <n v="0"/>
    <n v="4273.5290000000005"/>
    <n v="0.12948912666865539"/>
    <m/>
    <n v="0"/>
    <m/>
    <n v="0"/>
    <n v="29.47"/>
    <n v="8.9294926112008918E-4"/>
    <n v="634.18600000000004"/>
    <n v="1.9216013576949607E-2"/>
    <x v="15"/>
    <n v="0.25041948465586222"/>
    <x v="14"/>
    <n v="0.5203569554823736"/>
    <n v="-28714.826000000001"/>
    <n v="-4288.1689999999999"/>
    <x v="11"/>
    <n v="33002.995000000003"/>
    <x v="11"/>
    <x v="11"/>
    <x v="11"/>
    <x v="11"/>
    <x v="11"/>
    <x v="11"/>
    <n v="0.24307014168690427"/>
    <x v="15"/>
    <x v="15"/>
  </r>
  <r>
    <x v="16"/>
    <n v="0"/>
    <n v="0"/>
    <n v="350"/>
    <n v="1.0770656804191644E-2"/>
    <n v="0"/>
    <n v="0"/>
    <n v="0"/>
    <n v="0"/>
    <n v="2436.2930000000001"/>
    <n v="7.4972787935584206E-2"/>
    <m/>
    <n v="0"/>
    <m/>
    <n v="0"/>
    <n v="57.82"/>
    <n v="1.7793125040524596E-3"/>
    <n v="240.77100000000002"/>
    <n v="7.4093194554343614E-3"/>
    <m/>
    <n v="0"/>
    <m/>
    <n v="0"/>
    <n v="345.33000000000004"/>
    <n v="1.0626945469118574E-2"/>
    <n v="131.11500000000001"/>
    <n v="4.0348419053759643E-3"/>
    <x v="16"/>
    <n v="0.10959386407375722"/>
    <x v="15"/>
    <n v="0.50675509437449517"/>
    <n v="-28423.280999999999"/>
    <n v="-4072.4160000000002"/>
    <x v="12"/>
    <n v="32495.697"/>
    <x v="12"/>
    <x v="12"/>
    <x v="12"/>
    <x v="12"/>
    <x v="12"/>
    <x v="12"/>
    <n v="0.23504489121876651"/>
    <x v="16"/>
    <x v="16"/>
  </r>
  <r>
    <x v="17"/>
    <n v="0"/>
    <n v="0"/>
    <n v="2508.33"/>
    <n v="3.159094971362314E-2"/>
    <n v="0"/>
    <n v="0"/>
    <n v="0"/>
    <n v="0"/>
    <n v="4308.1570000000002"/>
    <n v="5.4258718408420559E-2"/>
    <m/>
    <n v="0"/>
    <m/>
    <n v="0"/>
    <n v="357.02"/>
    <n v="4.4964581481534462E-3"/>
    <n v="11.99"/>
    <n v="1.5100703937135124E-4"/>
    <m/>
    <n v="0"/>
    <m/>
    <n v="0"/>
    <n v="109.28999999999999"/>
    <n v="1.3764436474474544E-3"/>
    <n v="35.715000000000003"/>
    <n v="4.4980954221416269E-4"/>
    <x v="17"/>
    <n v="9.2323386499230095E-2"/>
    <x v="16"/>
    <n v="0.48573245441778845"/>
    <n v="-69454.678000000014"/>
    <n v="-9945.5939999999991"/>
    <x v="13"/>
    <n v="79400.272000000012"/>
    <x v="13"/>
    <x v="13"/>
    <x v="13"/>
    <x v="13"/>
    <x v="13"/>
    <x v="13"/>
    <n v="0.2428851324357508"/>
    <x v="17"/>
    <x v="17"/>
  </r>
  <r>
    <x v="18"/>
    <n v="0"/>
    <n v="0"/>
    <n v="1030"/>
    <n v="2.1256953371304302E-2"/>
    <n v="66.98"/>
    <n v="1.3823211036989925E-3"/>
    <n v="0"/>
    <n v="0"/>
    <n v="3584.88"/>
    <n v="7.398410388516638E-2"/>
    <m/>
    <n v="0"/>
    <m/>
    <n v="0"/>
    <n v="183.06"/>
    <n v="3.7779591108261803E-3"/>
    <n v="932.26799999999992"/>
    <n v="1.9239978063649629E-2"/>
    <m/>
    <n v="0"/>
    <m/>
    <n v="0"/>
    <n v="273.55"/>
    <n v="5.6454753346798954E-3"/>
    <n v="32.210999999999999"/>
    <n v="6.6476478159522613E-4"/>
    <x v="18"/>
    <n v="0.12595155565092059"/>
    <x v="17"/>
    <n v="0.49411057532811081"/>
    <n v="-42456.901000000005"/>
    <n v="-5997.8320000000003"/>
    <x v="14"/>
    <n v="48454.733000000007"/>
    <x v="14"/>
    <x v="14"/>
    <x v="14"/>
    <x v="14"/>
    <x v="14"/>
    <x v="14"/>
    <n v="0.26788576626542288"/>
    <x v="18"/>
    <x v="18"/>
  </r>
  <r>
    <x v="19"/>
    <n v="0"/>
    <n v="0"/>
    <n v="700"/>
    <n v="1.4391389968551523E-2"/>
    <n v="239.18"/>
    <n v="4.9173323609687904E-3"/>
    <n v="0"/>
    <n v="0"/>
    <n v="3011.9650000000001"/>
    <n v="6.1923375552326125E-2"/>
    <m/>
    <n v="0"/>
    <m/>
    <n v="0"/>
    <n v="59.23"/>
    <n v="1.2177171826247238E-3"/>
    <n v="2486.3919999999998"/>
    <n v="5.1118052695266793E-2"/>
    <m/>
    <n v="0"/>
    <m/>
    <n v="0"/>
    <n v="157.32"/>
    <n v="3.2343620997893219E-3"/>
    <n v="-43.906000000000034"/>
    <n v="-9.0266909708460515E-4"/>
    <x v="19"/>
    <n v="0.13589956076244269"/>
    <x v="18"/>
    <n v="0.49757036330899496"/>
    <n v="-42637.384000000005"/>
    <n v="-6002.8099999999995"/>
    <x v="15"/>
    <n v="48640.194000000003"/>
    <x v="15"/>
    <x v="15"/>
    <x v="15"/>
    <x v="15"/>
    <x v="15"/>
    <x v="15"/>
    <n v="0.23989750726295955"/>
    <x v="19"/>
    <x v="19"/>
  </r>
  <r>
    <x v="20"/>
    <n v="0"/>
    <n v="0"/>
    <n v="0"/>
    <n v="0"/>
    <n v="0"/>
    <n v="0"/>
    <n v="0"/>
    <n v="0"/>
    <n v="0"/>
    <n v="0"/>
    <m/>
    <n v="0"/>
    <n v="240"/>
    <n v="8.8623674337538053E-2"/>
    <n v="87.56"/>
    <n v="3.2332870520811803E-2"/>
    <n v="2.3149999999999999"/>
    <n v="8.5484919204750244E-4"/>
    <m/>
    <n v="0"/>
    <m/>
    <n v="0"/>
    <n v="53.98"/>
    <n v="1.9932941419751264E-2"/>
    <n v="0.151"/>
    <n v="5.5759061770701021E-5"/>
    <x v="20"/>
    <n v="0.1418000945319193"/>
    <x v="19"/>
    <n v="0.30108453221470577"/>
    <n v="-2366.6699999999996"/>
    <n v="-341.41"/>
    <x v="16"/>
    <n v="2708.0799999999995"/>
    <x v="16"/>
    <x v="16"/>
    <x v="16"/>
    <x v="16"/>
    <x v="16"/>
    <x v="16"/>
    <n v="0.2498031694255102"/>
    <x v="20"/>
    <x v="20"/>
  </r>
  <r>
    <x v="21"/>
    <n v="0"/>
    <n v="0"/>
    <n v="2400"/>
    <n v="2.0077592533357495E-2"/>
    <n v="49.76"/>
    <n v="4.1627541852494535E-4"/>
    <n v="0"/>
    <n v="0"/>
    <n v="6859.2190000000001"/>
    <n v="5.7381918407943273E-2"/>
    <m/>
    <n v="0"/>
    <m/>
    <n v="0"/>
    <n v="200.74"/>
    <n v="1.6793233021442431E-3"/>
    <n v="804.02299999999991"/>
    <n v="6.726185908936538E-3"/>
    <m/>
    <n v="0"/>
    <m/>
    <n v="0"/>
    <n v="231.44"/>
    <n v="1.9361491733001076E-3"/>
    <n v="651.37700000000007"/>
    <n v="5.4492008298336692E-3"/>
    <x v="21"/>
    <n v="9.366664557404028E-2"/>
    <x v="20"/>
    <n v="0.53344478516490768"/>
    <n v="-104268.81600000002"/>
    <n v="-15267.428"/>
    <x v="17"/>
    <n v="119536.24400000002"/>
    <x v="17"/>
    <x v="17"/>
    <x v="17"/>
    <x v="17"/>
    <x v="17"/>
    <x v="17"/>
    <n v="0.23432456527071424"/>
    <x v="21"/>
    <x v="21"/>
  </r>
  <r>
    <x v="22"/>
    <n v="0"/>
    <n v="0"/>
    <n v="600"/>
    <n v="1.5589314273352703E-2"/>
    <n v="26.87"/>
    <n v="6.981414575416453E-4"/>
    <n v="0"/>
    <n v="0"/>
    <n v="2970.4279999999999"/>
    <n v="7.7178226030610877E-2"/>
    <m/>
    <n v="0"/>
    <m/>
    <n v="0"/>
    <n v="146.84"/>
    <n v="3.8152248464985187E-3"/>
    <n v="85.384999999999991"/>
    <n v="2.2184893320503674E-3"/>
    <m/>
    <n v="0"/>
    <m/>
    <n v="0"/>
    <n v="172.28"/>
    <n v="4.4762117716886729E-3"/>
    <n v="26.776999999999997"/>
    <n v="6.9572511382927555E-4"/>
    <x v="22"/>
    <n v="0.10467133282557203"/>
    <x v="21"/>
    <n v="0.50047422694019539"/>
    <n v="-33678.030999999995"/>
    <n v="-4809.8710000000001"/>
    <x v="18"/>
    <n v="38487.901999999995"/>
    <x v="18"/>
    <x v="18"/>
    <x v="18"/>
    <x v="18"/>
    <x v="18"/>
    <x v="18"/>
    <n v="0.26739308240018755"/>
    <x v="22"/>
    <x v="22"/>
  </r>
  <r>
    <x v="23"/>
    <n v="0"/>
    <n v="0"/>
    <n v="1800"/>
    <n v="2.6072260457594528E-2"/>
    <n v="0"/>
    <n v="0"/>
    <n v="0"/>
    <n v="0"/>
    <n v="4635.0749999999998"/>
    <n v="6.7137157022491636E-2"/>
    <m/>
    <n v="0"/>
    <m/>
    <n v="0"/>
    <n v="115.02"/>
    <n v="1.6660174432402903E-3"/>
    <n v="4133.5319999999992"/>
    <n v="5.9872512729889783E-2"/>
    <m/>
    <n v="0"/>
    <n v="425"/>
    <n v="6.1559503858209302E-3"/>
    <n v="380.16999999999996"/>
    <n v="5.5066062545353952E-3"/>
    <n v="42.265999999999998"/>
    <n v="6.122056447226057E-4"/>
    <x v="23"/>
    <n v="0.16702270993829518"/>
    <x v="22"/>
    <n v="0.46693121223713702"/>
    <n v="-60104.394000000008"/>
    <n v="-8934.4990000000016"/>
    <x v="19"/>
    <n v="69038.893000000011"/>
    <x v="19"/>
    <x v="19"/>
    <x v="19"/>
    <x v="19"/>
    <x v="19"/>
    <x v="19"/>
    <n v="0.25549870752345089"/>
    <x v="23"/>
    <x v="23"/>
  </r>
  <r>
    <x v="24"/>
    <n v="0"/>
    <n v="0"/>
    <n v="3650"/>
    <n v="2.9540196004299208E-2"/>
    <n v="128.54"/>
    <n v="1.0403004916144164E-3"/>
    <n v="0"/>
    <n v="0"/>
    <n v="4643.6729999999998"/>
    <n v="3.7582194684896472E-2"/>
    <m/>
    <n v="0"/>
    <m/>
    <n v="0"/>
    <n v="185.55"/>
    <n v="1.501694073588416E-3"/>
    <n v="1208.2450000000001"/>
    <n v="9.7785737318395894E-3"/>
    <m/>
    <n v="0"/>
    <m/>
    <n v="0"/>
    <n v="385.90000000000003"/>
    <n v="3.123167572070977E-3"/>
    <n v="872.49699999999996"/>
    <n v="7.0612965460720677E-3"/>
    <x v="24"/>
    <n v="8.9627423104381154E-2"/>
    <x v="23"/>
    <n v="0.56457037269036237"/>
    <n v="-107646.38099999999"/>
    <n v="-15914.072"/>
    <x v="20"/>
    <n v="123560.45299999999"/>
    <x v="20"/>
    <x v="20"/>
    <x v="20"/>
    <x v="20"/>
    <x v="20"/>
    <x v="20"/>
    <n v="0.20032605514158916"/>
    <x v="24"/>
    <x v="24"/>
  </r>
  <r>
    <x v="25"/>
    <n v="0"/>
    <n v="0"/>
    <n v="1200"/>
    <n v="2.4557499440805271E-2"/>
    <n v="0"/>
    <n v="0"/>
    <n v="0"/>
    <n v="0"/>
    <n v="2917.6459999999997"/>
    <n v="5.9708408344556443E-2"/>
    <m/>
    <n v="0"/>
    <m/>
    <n v="0"/>
    <n v="129.93"/>
    <n v="2.6589632519531908E-3"/>
    <n v="309.56700000000001"/>
    <n v="6.3351595244931381E-3"/>
    <m/>
    <n v="0"/>
    <m/>
    <n v="0"/>
    <n v="184.93"/>
    <n v="3.784515309656766E-3"/>
    <n v="63.135999999999996"/>
    <n v="1.2920519039122346E-3"/>
    <x v="25"/>
    <n v="9.833659777537701E-2"/>
    <x v="24"/>
    <n v="0.57903816869815161"/>
    <n v="-43041.202000000005"/>
    <n v="-5823.7079999999996"/>
    <x v="21"/>
    <n v="48864.91"/>
    <x v="21"/>
    <x v="21"/>
    <x v="21"/>
    <x v="21"/>
    <x v="21"/>
    <x v="21"/>
    <n v="0.1961794667025801"/>
    <x v="25"/>
    <x v="25"/>
  </r>
  <r>
    <x v="26"/>
    <n v="0"/>
    <n v="0"/>
    <n v="1200"/>
    <n v="1.0757121243396998E-2"/>
    <n v="0"/>
    <n v="0"/>
    <n v="0"/>
    <n v="0"/>
    <n v="3609.0410000000002"/>
    <n v="3.2352409674492287E-2"/>
    <m/>
    <n v="0"/>
    <m/>
    <n v="0"/>
    <n v="171.98"/>
    <n v="1.5416747595328464E-3"/>
    <n v="102.43300000000001"/>
    <n v="9.1823683360407065E-4"/>
    <n v="6.57"/>
    <n v="5.8895238807598572E-5"/>
    <m/>
    <n v="0"/>
    <n v="209.17000000000002"/>
    <n v="1.8750558754011253E-3"/>
    <n v="122.607"/>
    <n v="1.0990819702409798E-3"/>
    <x v="26"/>
    <n v="4.8602475595475911E-2"/>
    <x v="25"/>
    <n v="0.58474268728432699"/>
    <n v="-97801.734000000011"/>
    <n v="-13752.275"/>
    <x v="22"/>
    <n v="111554.00900000001"/>
    <x v="22"/>
    <x v="22"/>
    <x v="22"/>
    <x v="22"/>
    <x v="22"/>
    <x v="22"/>
    <n v="0.1956233873289506"/>
    <x v="26"/>
    <x v="26"/>
  </r>
  <r>
    <x v="27"/>
    <n v="0"/>
    <n v="0"/>
    <n v="1000"/>
    <n v="2.8736000467132428E-2"/>
    <n v="0"/>
    <n v="0"/>
    <n v="0"/>
    <n v="0"/>
    <n v="2738.4539999999997"/>
    <n v="7.8692215423220649E-2"/>
    <m/>
    <n v="0"/>
    <m/>
    <n v="0"/>
    <n v="114.42"/>
    <n v="3.2879731734492923E-3"/>
    <n v="75.61"/>
    <n v="2.1727289953198826E-3"/>
    <m/>
    <n v="0"/>
    <m/>
    <n v="0"/>
    <n v="186"/>
    <n v="5.3448960868866316E-3"/>
    <n v="27.423999999999999"/>
    <n v="7.8805607681063964E-4"/>
    <x v="27"/>
    <n v="0.11902187022281954"/>
    <x v="26"/>
    <n v="0.54205625738766661"/>
    <n v="-30700.527999999998"/>
    <n v="-4099.0259999999998"/>
    <x v="23"/>
    <n v="34799.553999999996"/>
    <x v="23"/>
    <x v="23"/>
    <x v="23"/>
    <x v="23"/>
    <x v="23"/>
    <x v="23"/>
    <n v="0.2037233012495932"/>
    <x v="27"/>
    <x v="27"/>
  </r>
  <r>
    <x v="28"/>
    <n v="0"/>
    <n v="0"/>
    <n v="1200"/>
    <n v="2.0241400630705175E-2"/>
    <n v="0"/>
    <n v="0"/>
    <n v="0"/>
    <n v="0"/>
    <n v="2653.5659999999998"/>
    <n v="4.4759910421681509E-2"/>
    <m/>
    <n v="0"/>
    <m/>
    <n v="0"/>
    <n v="107.1"/>
    <n v="1.8065450062904368E-3"/>
    <n v="93.32"/>
    <n v="1.5741062557145058E-3"/>
    <n v="6.57"/>
    <n v="1.1082166845311084E-4"/>
    <m/>
    <n v="0"/>
    <n v="186.79000000000002"/>
    <n v="3.1507426865078503E-3"/>
    <n v="144.97299999999998"/>
    <n v="2.4453804780293509E-3"/>
    <x v="28"/>
    <n v="7.4088907147381949E-2"/>
    <x v="27"/>
    <n v="0.55682354061399086"/>
    <n v="-52116.930999999997"/>
    <n v="-7167.5039999999999"/>
    <x v="24"/>
    <n v="59284.434999999998"/>
    <x v="24"/>
    <x v="24"/>
    <x v="24"/>
    <x v="24"/>
    <x v="24"/>
    <x v="24"/>
    <n v="0.20569546221718804"/>
    <x v="28"/>
    <x v="28"/>
  </r>
  <r>
    <x v="29"/>
    <n v="0"/>
    <n v="0"/>
    <n v="700"/>
    <n v="9.5288515178827485E-3"/>
    <n v="149.51"/>
    <n v="2.0352265577694996E-3"/>
    <n v="0"/>
    <n v="0"/>
    <n v="3383.4340000000002"/>
    <n v="4.6057486009365857E-2"/>
    <m/>
    <n v="0"/>
    <m/>
    <n v="0"/>
    <n v="85.36"/>
    <n v="1.1619753793806733E-3"/>
    <n v="1287.0539999999999"/>
    <n v="1.7520209230710088E-2"/>
    <m/>
    <n v="0"/>
    <m/>
    <n v="0"/>
    <n v="191.87"/>
    <n v="2.6118582010516613E-3"/>
    <n v="78.073000000000008"/>
    <n v="1.0627800350795141E-3"/>
    <x v="29"/>
    <n v="7.9978386931240042E-2"/>
    <x v="28"/>
    <n v="0.48120086235017218"/>
    <n v="-64164.723999999995"/>
    <n v="-9296.3850000000002"/>
    <x v="25"/>
    <n v="73461.108999999997"/>
    <x v="25"/>
    <x v="25"/>
    <x v="25"/>
    <x v="25"/>
    <x v="25"/>
    <x v="25"/>
    <n v="0.23067295918726896"/>
    <x v="29"/>
    <x v="29"/>
  </r>
  <r>
    <x v="30"/>
    <n v="0"/>
    <n v="0"/>
    <n v="2600"/>
    <n v="1.534089220788174E-2"/>
    <n v="0"/>
    <n v="0"/>
    <n v="0"/>
    <n v="0"/>
    <n v="11218.025000000001"/>
    <n v="6.6190197042431759E-2"/>
    <m/>
    <n v="0"/>
    <n v="228.45"/>
    <n v="1.3479333941886858E-3"/>
    <n v="150.84"/>
    <n v="8.9000776178341603E-4"/>
    <n v="1163.7450000000001"/>
    <n v="6.8664948471005138E-3"/>
    <m/>
    <n v="0"/>
    <m/>
    <n v="0"/>
    <n v="352.56399999999996"/>
    <n v="2.080248584761391E-3"/>
    <n v="171.07499999999999"/>
    <n v="1.0094012055628339E-3"/>
    <x v="30"/>
    <n v="9.3725175043710349E-2"/>
    <x v="29"/>
    <n v="0.49791528485546876"/>
    <n v="-147246.171"/>
    <n v="-22235.496999999999"/>
    <x v="26"/>
    <n v="169481.66800000001"/>
    <x v="26"/>
    <x v="26"/>
    <x v="26"/>
    <x v="26"/>
    <x v="26"/>
    <x v="26"/>
    <n v="0.24843197227709343"/>
    <x v="30"/>
    <x v="30"/>
  </r>
  <r>
    <x v="31"/>
    <n v="0"/>
    <n v="0"/>
    <n v="1000"/>
    <n v="1.1708941977309874E-2"/>
    <n v="50.28"/>
    <n v="5.8872560261914047E-4"/>
    <n v="0"/>
    <n v="0"/>
    <n v="3940.9569999999994"/>
    <n v="4.6144436848073185E-2"/>
    <m/>
    <n v="0"/>
    <m/>
    <n v="0"/>
    <n v="183.4"/>
    <n v="2.147419958638631E-3"/>
    <n v="2068.9520000000002"/>
    <n v="2.4225238921839223E-2"/>
    <m/>
    <n v="0"/>
    <m/>
    <n v="0"/>
    <n v="114.69"/>
    <n v="1.3428985553776696E-3"/>
    <n v="16.533999999999999"/>
    <n v="1.9359564665284145E-4"/>
    <x v="31"/>
    <n v="8.6351257510510537E-2"/>
    <x v="30"/>
    <n v="0.50738510486522581"/>
    <n v="-74464.668999999994"/>
    <n v="-10940.144"/>
    <x v="27"/>
    <n v="85404.812999999995"/>
    <x v="27"/>
    <x v="27"/>
    <x v="27"/>
    <x v="27"/>
    <x v="27"/>
    <x v="27"/>
    <n v="0.23522280575788149"/>
    <x v="31"/>
    <x v="31"/>
  </r>
  <r>
    <x v="32"/>
    <n v="0"/>
    <n v="0"/>
    <n v="500"/>
    <n v="1.9421878271979557E-2"/>
    <n v="45.47"/>
    <n v="1.766225610053821E-3"/>
    <n v="0"/>
    <n v="0"/>
    <n v="2559.0830000000001"/>
    <n v="9.940439702778453E-2"/>
    <m/>
    <n v="0"/>
    <m/>
    <n v="0"/>
    <n v="22.67"/>
    <n v="8.8058796085155322E-4"/>
    <n v="1804.9459999999999"/>
    <n v="7.0110882998992832E-2"/>
    <m/>
    <n v="0"/>
    <m/>
    <n v="0"/>
    <n v="93.039999999999992"/>
    <n v="3.6140231088499556E-3"/>
    <n v="179.762"/>
    <n v="6.9826313638551782E-3"/>
    <x v="32"/>
    <n v="0.20218062634236744"/>
    <x v="31"/>
    <n v="0.49380047818994943"/>
    <n v="-22404.080999999998"/>
    <n v="-3340.0819999999999"/>
    <x v="28"/>
    <n v="25744.162999999997"/>
    <x v="28"/>
    <x v="28"/>
    <x v="28"/>
    <x v="28"/>
    <x v="28"/>
    <x v="28"/>
    <n v="0.2310706045062878"/>
    <x v="32"/>
    <x v="32"/>
  </r>
  <r>
    <x v="33"/>
    <n v="0"/>
    <n v="0"/>
    <n v="600"/>
    <n v="1.4626037095725363E-2"/>
    <n v="70"/>
    <n v="1.7063709945012925E-3"/>
    <n v="0"/>
    <n v="0"/>
    <n v="3951.3490000000002"/>
    <n v="9.6320961753595544E-2"/>
    <m/>
    <n v="0"/>
    <m/>
    <n v="0"/>
    <n v="26.68"/>
    <n v="6.5037111618992114E-4"/>
    <n v="629.40299999999991"/>
    <n v="1.5342786043601384E-2"/>
    <m/>
    <n v="0"/>
    <m/>
    <n v="0"/>
    <n v="45.9"/>
    <n v="1.1188918378229904E-3"/>
    <n v="93.4"/>
    <n v="2.2767864412345817E-3"/>
    <x v="33"/>
    <n v="0.13204220528267108"/>
    <x v="32"/>
    <n v="0.44131651202557648"/>
    <n v="-36012.324000000001"/>
    <n v="-5010.4080000000004"/>
    <x v="29"/>
    <n v="41022.732000000004"/>
    <x v="29"/>
    <x v="29"/>
    <x v="29"/>
    <x v="29"/>
    <x v="29"/>
    <x v="29"/>
    <n v="0.24215218465238467"/>
    <x v="33"/>
    <x v="33"/>
  </r>
  <r>
    <x v="34"/>
    <n v="0"/>
    <n v="0"/>
    <n v="1007"/>
    <n v="1.3376157049207535E-2"/>
    <n v="24.51"/>
    <n v="3.2557061497127775E-4"/>
    <n v="0"/>
    <n v="0"/>
    <n v="6370.228000000001"/>
    <n v="8.461685220184631E-2"/>
    <m/>
    <n v="0"/>
    <n v="291.2"/>
    <n v="3.8680605091650786E-3"/>
    <n v="161.59"/>
    <n v="2.1464282200411577E-3"/>
    <n v="1725.395"/>
    <n v="2.2918723427921981E-2"/>
    <m/>
    <n v="0"/>
    <m/>
    <n v="0"/>
    <n v="123.68"/>
    <n v="1.6428630624091241E-3"/>
    <n v="28.607999999999997"/>
    <n v="3.8000506540588789E-4"/>
    <x v="34"/>
    <n v="0.12927466015096833"/>
    <x v="33"/>
    <n v="0.47863711491461824"/>
    <n v="-65915.318999999989"/>
    <n v="-9367.8880000000008"/>
    <x v="30"/>
    <n v="75283.206999999995"/>
    <x v="30"/>
    <x v="30"/>
    <x v="30"/>
    <x v="30"/>
    <x v="30"/>
    <x v="30"/>
    <n v="0.23978173696188759"/>
    <x v="34"/>
    <x v="34"/>
  </r>
  <r>
    <x v="35"/>
    <n v="0"/>
    <n v="0"/>
    <n v="2212.9699999999998"/>
    <n v="4.6472404761358763E-2"/>
    <n v="11.43"/>
    <n v="2.4003017954257432E-4"/>
    <n v="0"/>
    <n v="0"/>
    <n v="3744.306"/>
    <n v="7.8630484815602655E-2"/>
    <m/>
    <n v="0"/>
    <n v="29.14"/>
    <n v="6.1194045773146249E-4"/>
    <n v="482.9"/>
    <n v="1.0140907585398875E-2"/>
    <n v="153.69200000000001"/>
    <n v="3.2275344141957422E-3"/>
    <m/>
    <n v="0"/>
    <m/>
    <n v="0"/>
    <n v="976.26"/>
    <n v="2.0501475335103554E-2"/>
    <n v="279.31099999999998"/>
    <n v="5.8655353874204697E-3"/>
    <x v="35"/>
    <n v="0.16569031293635408"/>
    <x v="34"/>
    <n v="0.43441447294202584"/>
    <n v="-41597.092999999993"/>
    <n v="-6021.9189999999999"/>
    <x v="31"/>
    <n v="47619.011999999995"/>
    <x v="31"/>
    <x v="31"/>
    <x v="31"/>
    <x v="31"/>
    <x v="31"/>
    <x v="31"/>
    <n v="0.23266104592136261"/>
    <x v="35"/>
    <x v="35"/>
  </r>
  <r>
    <x v="36"/>
    <n v="0"/>
    <n v="0"/>
    <n v="575"/>
    <n v="1.2508857358736712E-2"/>
    <n v="67.5"/>
    <n v="1.4684310812430055E-3"/>
    <n v="0"/>
    <n v="0"/>
    <n v="2136.5070000000001"/>
    <n v="4.6478715319899999E-2"/>
    <m/>
    <n v="0"/>
    <m/>
    <n v="0"/>
    <m/>
    <n v="0"/>
    <n v="714.85299999999995"/>
    <n v="1.5551294277330459E-2"/>
    <m/>
    <n v="0"/>
    <m/>
    <n v="0"/>
    <n v="69.650000000000006"/>
    <n v="1.5152033304974123E-3"/>
    <n v="112.768"/>
    <n v="2.4532153506609073E-3"/>
    <x v="36"/>
    <n v="7.9975716718368506E-2"/>
    <x v="35"/>
    <n v="0.55143979341197857"/>
    <n v="-40119.565999999999"/>
    <n v="-5847.8620000000001"/>
    <x v="32"/>
    <n v="45967.428"/>
    <x v="32"/>
    <x v="32"/>
    <x v="32"/>
    <x v="32"/>
    <x v="32"/>
    <x v="32"/>
    <n v="0.22776268392369459"/>
    <x v="36"/>
    <x v="36"/>
  </r>
  <r>
    <x v="37"/>
    <n v="0"/>
    <n v="0"/>
    <n v="1200"/>
    <n v="1.8084440320857157E-2"/>
    <n v="0"/>
    <n v="0"/>
    <n v="0"/>
    <n v="0"/>
    <n v="2388.4139999999998"/>
    <n v="3.5994275370416433E-2"/>
    <m/>
    <n v="0"/>
    <m/>
    <n v="0"/>
    <n v="126.27"/>
    <n v="1.9029352327621942E-3"/>
    <n v="731.87699999999995"/>
    <n v="1.1029654940589976E-2"/>
    <m/>
    <n v="0"/>
    <m/>
    <n v="0"/>
    <n v="356.42999999999995"/>
    <n v="5.3715308863025958E-3"/>
    <n v="516.13799999999992"/>
    <n v="7.7783890486054739E-3"/>
    <x v="37"/>
    <n v="8.0161225799533817E-2"/>
    <x v="36"/>
    <n v="0.52305882936253034"/>
    <n v="-59060.347000000002"/>
    <n v="-7295.0379999999996"/>
    <x v="33"/>
    <n v="66355.384999999995"/>
    <x v="33"/>
    <x v="33"/>
    <x v="33"/>
    <x v="33"/>
    <x v="33"/>
    <x v="33"/>
    <n v="0.25307748067734059"/>
    <x v="37"/>
    <x v="37"/>
  </r>
  <r>
    <x v="38"/>
    <n v="0"/>
    <n v="0"/>
    <n v="600"/>
    <n v="1.3295815791258705E-2"/>
    <n v="0"/>
    <n v="0"/>
    <n v="0"/>
    <n v="0"/>
    <n v="3274.3940000000002"/>
    <n v="7.255956575333794E-2"/>
    <m/>
    <n v="0"/>
    <m/>
    <n v="0"/>
    <n v="83.51"/>
    <n v="1.8505559612133576E-3"/>
    <n v="1135.9589999999998"/>
    <n v="2.5172502684037409E-2"/>
    <m/>
    <n v="0"/>
    <m/>
    <n v="0"/>
    <n v="69.7"/>
    <n v="1.5445306010845531E-3"/>
    <n v="42.724999999999994"/>
    <n v="9.4677288280254691E-4"/>
    <x v="38"/>
    <n v="0.11536974367373452"/>
    <x v="37"/>
    <n v="0.48844040723399634"/>
    <n v="-39411.241999999998"/>
    <n v="-5715.7370000000001"/>
    <x v="34"/>
    <n v="45126.978999999999"/>
    <x v="34"/>
    <x v="34"/>
    <x v="34"/>
    <x v="34"/>
    <x v="34"/>
    <x v="34"/>
    <n v="0.24941562862963587"/>
    <x v="38"/>
    <x v="38"/>
  </r>
  <r>
    <x v="39"/>
    <n v="0"/>
    <n v="0"/>
    <n v="1800"/>
    <n v="6.0494296883357349E-2"/>
    <n v="0"/>
    <n v="0"/>
    <n v="0"/>
    <n v="0"/>
    <n v="2134.2460000000001"/>
    <n v="7.1727617303398827E-2"/>
    <m/>
    <n v="0"/>
    <m/>
    <n v="0"/>
    <n v="65.989999999999995"/>
    <n v="2.2177881396293064E-3"/>
    <n v="36.282000000000004"/>
    <n v="1.2193633775122064E-3"/>
    <m/>
    <n v="0"/>
    <m/>
    <n v="0"/>
    <n v="241.42999999999998"/>
    <n v="8.1139656091938697E-3"/>
    <n v="347.35699999999997"/>
    <n v="1.167395415695131E-2"/>
    <x v="39"/>
    <n v="0.15544698547004285"/>
    <x v="38"/>
    <n v="0.44026946041876647"/>
    <n v="-25910.513999999999"/>
    <n v="-3844.357"/>
    <x v="35"/>
    <n v="29754.870999999999"/>
    <x v="35"/>
    <x v="35"/>
    <x v="35"/>
    <x v="35"/>
    <x v="35"/>
    <x v="35"/>
    <n v="0.29291269182667806"/>
    <x v="39"/>
    <x v="39"/>
  </r>
  <r>
    <x v="40"/>
    <n v="0"/>
    <n v="0"/>
    <n v="3100"/>
    <n v="5.7756406913561154E-2"/>
    <n v="0"/>
    <n v="0"/>
    <n v="0"/>
    <n v="0"/>
    <n v="4919.6589999999997"/>
    <n v="9.1658653896762365E-2"/>
    <m/>
    <n v="0"/>
    <m/>
    <n v="0"/>
    <n v="44.79"/>
    <n v="8.3448692440593673E-4"/>
    <n v="1308.567"/>
    <n v="2.4380041330857413E-2"/>
    <m/>
    <n v="0"/>
    <m/>
    <n v="0"/>
    <n v="498.49"/>
    <n v="9.2874165426906768E-3"/>
    <n v="80.06"/>
    <n v="1.4916057862902278E-3"/>
    <x v="40"/>
    <n v="0.18540861139456771"/>
    <x v="39"/>
    <n v="0.46126796664414726"/>
    <n v="-46814.933999999994"/>
    <n v="-6858.7650000000003"/>
    <x v="36"/>
    <n v="53673.698999999993"/>
    <x v="36"/>
    <x v="36"/>
    <x v="36"/>
    <x v="36"/>
    <x v="36"/>
    <x v="36"/>
    <n v="0.25965172800886821"/>
    <x v="40"/>
    <x v="40"/>
  </r>
  <r>
    <x v="41"/>
    <n v="0"/>
    <n v="0"/>
    <n v="450"/>
    <n v="7.5823484747271977E-3"/>
    <n v="72.5"/>
    <n v="1.2216005875949373E-3"/>
    <n v="0"/>
    <n v="0"/>
    <n v="4393.9449999999997"/>
    <n v="7.4036493708411547E-2"/>
    <m/>
    <n v="0"/>
    <m/>
    <n v="0"/>
    <n v="92.75"/>
    <n v="1.5628062689576614E-3"/>
    <n v="81.716000000000008"/>
    <n v="1.3768870843573506E-3"/>
    <m/>
    <n v="0"/>
    <m/>
    <n v="0"/>
    <n v="162.11000000000001"/>
    <n v="2.7314989138622803E-3"/>
    <n v="12.992000000000001"/>
    <n v="2.1891082529701281E-4"/>
    <x v="41"/>
    <n v="8.8730545863207985E-2"/>
    <x v="40"/>
    <n v="0.48266632172036"/>
    <n v="-51880.448000000004"/>
    <n v="-7467.9189999999999"/>
    <x v="37"/>
    <n v="59348.367000000006"/>
    <x v="37"/>
    <x v="37"/>
    <x v="37"/>
    <x v="37"/>
    <x v="37"/>
    <x v="37"/>
    <n v="0.21680507651167483"/>
    <x v="41"/>
    <x v="41"/>
  </r>
  <r>
    <x v="42"/>
    <n v="0"/>
    <n v="0"/>
    <n v="0"/>
    <n v="0"/>
    <n v="0"/>
    <n v="0"/>
    <n v="0"/>
    <n v="0"/>
    <n v="0"/>
    <n v="0"/>
    <m/>
    <n v="0"/>
    <m/>
    <n v="0"/>
    <m/>
    <n v="0"/>
    <n v="406.73"/>
    <n v="6.9222802865718178E-2"/>
    <m/>
    <n v="0"/>
    <m/>
    <n v="0"/>
    <n v="401.58"/>
    <n v="6.8346306332985288E-2"/>
    <m/>
    <n v="0"/>
    <x v="42"/>
    <n v="0.13756910919870347"/>
    <x v="41"/>
    <n v="0.40230782388036079"/>
    <n v="-3726.1849999999999"/>
    <n v="-2149.48"/>
    <x v="38"/>
    <n v="5875.665"/>
    <x v="38"/>
    <x v="38"/>
    <x v="0"/>
    <x v="0"/>
    <x v="0"/>
    <x v="38"/>
    <n v="0.13479218615606312"/>
    <x v="42"/>
    <x v="42"/>
  </r>
  <r>
    <x v="43"/>
    <n v="0"/>
    <n v="0"/>
    <n v="0"/>
    <n v="0"/>
    <n v="0"/>
    <n v="0"/>
    <n v="0"/>
    <n v="0"/>
    <n v="0"/>
    <n v="0"/>
    <m/>
    <n v="0"/>
    <m/>
    <n v="0"/>
    <m/>
    <n v="0"/>
    <m/>
    <n v="0"/>
    <m/>
    <n v="0"/>
    <m/>
    <n v="0"/>
    <m/>
    <n v="0"/>
    <m/>
    <n v="0"/>
    <x v="43"/>
    <n v="0"/>
    <x v="42"/>
    <n v="0.20460985496912834"/>
    <n v="-1124.1369999999999"/>
    <n v="-177.37899999999999"/>
    <x v="39"/>
    <n v="1301.5159999999998"/>
    <x v="39"/>
    <x v="39"/>
    <x v="38"/>
    <x v="38"/>
    <x v="38"/>
    <x v="39"/>
    <n v="0.26070909257714042"/>
    <x v="43"/>
    <x v="43"/>
  </r>
  <r>
    <x v="44"/>
    <n v="0"/>
    <n v="0"/>
    <n v="2000"/>
    <n v="4.0722943004739089E-2"/>
    <n v="0"/>
    <n v="0"/>
    <n v="0"/>
    <n v="0"/>
    <n v="2412.6289999999999"/>
    <n v="4.9124676629290334E-2"/>
    <m/>
    <n v="0"/>
    <m/>
    <n v="0"/>
    <n v="90.87"/>
    <n v="1.8502469154203208E-3"/>
    <n v="62.542000000000002"/>
    <n v="1.2734471507011961E-3"/>
    <m/>
    <n v="0"/>
    <m/>
    <n v="0"/>
    <n v="289.01000000000005"/>
    <n v="5.8846688788998236E-3"/>
    <n v="192.80700000000002"/>
    <n v="3.9258342359573652E-3"/>
    <x v="44"/>
    <n v="0.10278181681500816"/>
    <x v="43"/>
    <n v="0.40185770735857884"/>
    <n v="-42880.256000000001"/>
    <n v="-6232.1080000000002"/>
    <x v="40"/>
    <n v="49112.364000000001"/>
    <x v="40"/>
    <x v="40"/>
    <x v="39"/>
    <x v="39"/>
    <x v="39"/>
    <x v="40"/>
    <n v="0.26498954818590081"/>
    <x v="44"/>
    <x v="44"/>
  </r>
  <r>
    <x v="45"/>
    <n v="0"/>
    <n v="0"/>
    <n v="400"/>
    <n v="1.9158366264569283E-2"/>
    <n v="0"/>
    <n v="0"/>
    <n v="0"/>
    <n v="0"/>
    <n v="2691.1170000000002"/>
    <n v="0.12889351286702225"/>
    <m/>
    <n v="0"/>
    <n v="167.68"/>
    <n v="8.0311871381074443E-3"/>
    <n v="108.55"/>
    <n v="5.1991016450474888E-3"/>
    <n v="434.31700000000001"/>
    <n v="2.0802010402322341E-2"/>
    <m/>
    <n v="0"/>
    <m/>
    <n v="0"/>
    <n v="55.29"/>
    <n v="2.6481651769200889E-3"/>
    <n v="138.721"/>
    <n v="6.6441693164682883E-3"/>
    <x v="45"/>
    <n v="0.19137651281045714"/>
    <x v="44"/>
    <n v="0.50652545928950155"/>
    <n v="-18154.254999999997"/>
    <n v="-2724.3519999999999"/>
    <x v="41"/>
    <n v="20878.606999999996"/>
    <x v="41"/>
    <x v="41"/>
    <x v="40"/>
    <x v="40"/>
    <x v="40"/>
    <x v="41"/>
    <n v="0.23007738325542762"/>
    <x v="45"/>
    <x v="45"/>
  </r>
  <r>
    <x v="46"/>
    <n v="0"/>
    <n v="0"/>
    <n v="510"/>
    <n v="8.4640406643050441E-3"/>
    <n v="20"/>
    <n v="3.3192316330608017E-4"/>
    <n v="0"/>
    <n v="0"/>
    <n v="3473.7479999999996"/>
    <n v="5.7650871234408464E-2"/>
    <m/>
    <n v="0"/>
    <m/>
    <n v="0"/>
    <n v="92.18"/>
    <n v="1.5298338596777237E-3"/>
    <n v="109.47400000000002"/>
    <n v="1.8168478189884913E-3"/>
    <m/>
    <n v="0"/>
    <m/>
    <n v="0"/>
    <n v="138.49"/>
    <n v="2.2984019443129523E-3"/>
    <n v="47.106999999999999"/>
    <n v="7.8179522269297588E-4"/>
    <x v="46"/>
    <n v="7.2873713907691734E-2"/>
    <x v="45"/>
    <n v="0.48048470208460531"/>
    <n v="-53224.148999999998"/>
    <n v="-7030.76"/>
    <x v="42"/>
    <n v="60254.909"/>
    <x v="42"/>
    <x v="42"/>
    <x v="41"/>
    <x v="41"/>
    <x v="41"/>
    <x v="42"/>
    <n v="0.23810704100164695"/>
    <x v="46"/>
    <x v="46"/>
  </r>
  <r>
    <x v="47"/>
    <n v="0"/>
    <n v="0"/>
    <n v="2680"/>
    <n v="1.7047376459332551E-2"/>
    <n v="22.13"/>
    <n v="1.4076807501680198E-4"/>
    <n v="0"/>
    <n v="0"/>
    <n v="4711.3720000000003"/>
    <n v="2.9968855270133776E-2"/>
    <m/>
    <n v="0"/>
    <m/>
    <n v="0"/>
    <n v="426.49"/>
    <n v="2.7128864127390819E-3"/>
    <n v="3007.2579999999998"/>
    <n v="1.9129051953858014E-2"/>
    <m/>
    <n v="0"/>
    <m/>
    <n v="0"/>
    <n v="163.27000000000001"/>
    <n v="1.0385541621325469E-3"/>
    <n v="256.72899999999998"/>
    <n v="1.6330432503835768E-3"/>
    <x v="47"/>
    <n v="7.1670535583596331E-2"/>
    <x v="46"/>
    <n v="0.52600559150131287"/>
    <n v="-138038.52600000001"/>
    <n v="-19170.415000000001"/>
    <x v="43"/>
    <n v="157208.94100000002"/>
    <x v="43"/>
    <x v="43"/>
    <x v="42"/>
    <x v="42"/>
    <x v="42"/>
    <x v="43"/>
    <n v="0.23205200296959749"/>
    <x v="47"/>
    <x v="47"/>
  </r>
  <r>
    <x v="48"/>
    <n v="0"/>
    <n v="0"/>
    <n v="1200"/>
    <n v="2.1309274121063922E-2"/>
    <n v="0"/>
    <n v="0"/>
    <n v="0"/>
    <n v="0"/>
    <n v="3298.2069999999999"/>
    <n v="5.8568664225843226E-2"/>
    <m/>
    <n v="0"/>
    <m/>
    <n v="0"/>
    <n v="88.18"/>
    <n v="1.5658764933295139E-3"/>
    <n v="99.373000000000005"/>
    <n v="1.7646387476937377E-3"/>
    <m/>
    <n v="0"/>
    <m/>
    <n v="0"/>
    <n v="300.26"/>
    <n v="5.3319355396588769E-3"/>
    <n v="57.969000000000001"/>
    <n v="1.0293977596032954E-3"/>
    <x v="48"/>
    <n v="8.9569786887192568E-2"/>
    <x v="47"/>
    <n v="0.49271770650981828"/>
    <n v="-49919.489999999991"/>
    <n v="-6394.0190000000002"/>
    <x v="44"/>
    <n v="56313.508999999991"/>
    <x v="44"/>
    <x v="44"/>
    <x v="43"/>
    <x v="43"/>
    <x v="43"/>
    <x v="44"/>
    <n v="0.23035403555476647"/>
    <x v="48"/>
    <x v="48"/>
  </r>
  <r>
    <x v="49"/>
    <n v="0"/>
    <n v="0"/>
    <n v="1108.01"/>
    <n v="1.1104121991268595E-2"/>
    <n v="0"/>
    <n v="0"/>
    <n v="0"/>
    <n v="0"/>
    <n v="5141.2629999999999"/>
    <n v="5.152409413380344E-2"/>
    <m/>
    <n v="0"/>
    <m/>
    <n v="0"/>
    <n v="77.05"/>
    <n v="7.7217046725863952E-4"/>
    <n v="941.14200000000005"/>
    <n v="9.4318242426571133E-3"/>
    <m/>
    <n v="0"/>
    <m/>
    <n v="0"/>
    <n v="194.31"/>
    <n v="1.9473126994552401E-3"/>
    <n v="147.98499999999999"/>
    <n v="1.4830583594713791E-3"/>
    <x v="49"/>
    <n v="7.6262581893914411E-2"/>
    <x v="48"/>
    <n v="0.47345572570965683"/>
    <n v="-87100.304999999964"/>
    <n v="-12683.361000000001"/>
    <x v="45"/>
    <n v="99783.665999999968"/>
    <x v="45"/>
    <x v="45"/>
    <x v="44"/>
    <x v="44"/>
    <x v="44"/>
    <x v="45"/>
    <n v="0.234225208932277"/>
    <x v="49"/>
    <x v="49"/>
  </r>
  <r>
    <x v="50"/>
    <n v="0"/>
    <n v="0"/>
    <n v="3500"/>
    <n v="6.4240393867766185E-2"/>
    <n v="0"/>
    <n v="0"/>
    <n v="47.2"/>
    <n v="8.6632759730244683E-4"/>
    <n v="1571.0909999999999"/>
    <n v="2.8836429897743609E-2"/>
    <m/>
    <n v="0"/>
    <m/>
    <n v="0"/>
    <n v="40"/>
    <n v="7.3417592991732771E-4"/>
    <n v="6061.7610000000004"/>
    <n v="0.11125997547778978"/>
    <m/>
    <n v="0"/>
    <m/>
    <n v="0"/>
    <n v="100"/>
    <n v="1.8354398247933195E-3"/>
    <n v="695.32600000000002"/>
    <n v="1.2762290316142396E-2"/>
    <x v="50"/>
    <n v="0.22053503291145501"/>
    <x v="49"/>
    <n v="0.55934151320340164"/>
    <n v="-47645.74"/>
    <n v="-6837.1139999999996"/>
    <x v="46"/>
    <n v="54482.853999999999"/>
    <x v="46"/>
    <x v="46"/>
    <x v="45"/>
    <x v="45"/>
    <x v="45"/>
    <x v="46"/>
    <n v="0.20446619663041962"/>
    <x v="50"/>
    <x v="50"/>
  </r>
  <r>
    <x v="51"/>
    <n v="0"/>
    <n v="0"/>
    <n v="2000"/>
    <n v="1.4884895660044464E-2"/>
    <n v="0"/>
    <n v="0"/>
    <n v="0"/>
    <n v="0"/>
    <n v="8208.9579999999987"/>
    <n v="6.1094741653843633E-2"/>
    <m/>
    <n v="0"/>
    <m/>
    <n v="0"/>
    <n v="183.27"/>
    <n v="1.3639774138081745E-3"/>
    <n v="4397.0300000000007"/>
    <n v="3.2724666382042661E-2"/>
    <m/>
    <n v="0"/>
    <m/>
    <n v="0"/>
    <n v="118.17"/>
    <n v="8.7947406007372723E-4"/>
    <n v="676.5680000000001"/>
    <n v="5.0353220434624828E-3"/>
    <x v="51"/>
    <n v="0.11598307721327515"/>
    <x v="50"/>
    <n v="0.53496874674276607"/>
    <n v="-117329.44099999999"/>
    <n v="-17034.953999999998"/>
    <x v="47"/>
    <n v="134364.39499999999"/>
    <x v="47"/>
    <x v="47"/>
    <x v="46"/>
    <x v="46"/>
    <x v="46"/>
    <x v="47"/>
    <n v="0.25559890393308277"/>
    <x v="51"/>
    <x v="51"/>
  </r>
  <r>
    <x v="52"/>
    <n v="-676.16600000000005"/>
    <n v="-1.331516902243648E-2"/>
    <n v="0"/>
    <n v="0"/>
    <n v="0"/>
    <n v="0"/>
    <n v="0"/>
    <n v="0"/>
    <n v="2443.835"/>
    <n v="4.8124389703040456E-2"/>
    <m/>
    <n v="0"/>
    <n v="120"/>
    <n v="2.363059193589115E-3"/>
    <n v="124.14"/>
    <n v="2.4445847357679393E-3"/>
    <n v="12321.671000000002"/>
    <n v="0.24264031614108655"/>
    <m/>
    <n v="0"/>
    <m/>
    <n v="0"/>
    <n v="126.76"/>
    <n v="2.4961781948279684E-3"/>
    <n v="267.447"/>
    <n v="5.2666091012318998E-3"/>
    <x v="52"/>
    <n v="0.2900199680471075"/>
    <x v="51"/>
    <n v="0.51025141354754822"/>
    <n v="-44452.949000000001"/>
    <n v="-6328.6819999999998"/>
    <x v="48"/>
    <n v="50781.631000000001"/>
    <x v="48"/>
    <x v="48"/>
    <x v="47"/>
    <x v="47"/>
    <x v="47"/>
    <x v="48"/>
    <n v="0.26083837981284974"/>
    <x v="52"/>
    <x v="52"/>
  </r>
  <r>
    <x v="53"/>
    <n v="0"/>
    <n v="0"/>
    <n v="1650"/>
    <n v="1.6164841886244247E-2"/>
    <n v="10.220000000000001"/>
    <n v="1.0012405095600984E-4"/>
    <n v="0"/>
    <n v="0"/>
    <n v="5426.3150000000005"/>
    <n v="5.3160923636336649E-2"/>
    <m/>
    <n v="0"/>
    <n v="129.52000000000001"/>
    <n v="1.2688911037008214E-3"/>
    <n v="136.61000000000001"/>
    <n v="1.3383509394423194E-3"/>
    <n v="485.40500000000003"/>
    <n v="4.7554515610862972E-3"/>
    <m/>
    <n v="0"/>
    <m/>
    <n v="0"/>
    <n v="348.93999999999994"/>
    <n v="3.4185211683551925E-3"/>
    <n v="82.643999999999991"/>
    <n v="8.0965284414955734E-4"/>
    <x v="53"/>
    <n v="8.1016757190271113E-2"/>
    <x v="52"/>
    <n v="0.47196587803693429"/>
    <n v="-90917.191999999981"/>
    <n v="-11156.184999999999"/>
    <x v="49"/>
    <n v="102073.37699999998"/>
    <x v="49"/>
    <x v="49"/>
    <x v="48"/>
    <x v="48"/>
    <x v="48"/>
    <x v="49"/>
    <n v="0.23912653807847184"/>
    <x v="53"/>
    <x v="53"/>
  </r>
  <r>
    <x v="54"/>
    <n v="0"/>
    <n v="0"/>
    <n v="0"/>
    <n v="0"/>
    <n v="212.51"/>
    <n v="3.0733554601621266E-3"/>
    <n v="0"/>
    <n v="0"/>
    <n v="8750.8179999999993"/>
    <n v="0.12655580575589392"/>
    <m/>
    <n v="0"/>
    <m/>
    <n v="0"/>
    <n v="79.680000000000007"/>
    <n v="1.1523455981634664E-3"/>
    <n v="2760.4429999999998"/>
    <n v="3.9921992219266483E-2"/>
    <m/>
    <n v="0"/>
    <m/>
    <n v="0"/>
    <n v="950.1400000000001"/>
    <n v="1.3741084922678665E-2"/>
    <n v="29.535"/>
    <n v="4.2714015112648069E-4"/>
    <x v="54"/>
    <n v="0.18487172410729119"/>
    <x v="53"/>
    <n v="0.51256848505731845"/>
    <n v="-60112.355000000003"/>
    <n v="-9033.5679999999993"/>
    <x v="50"/>
    <n v="69145.92300000001"/>
    <x v="50"/>
    <x v="50"/>
    <x v="49"/>
    <x v="49"/>
    <x v="49"/>
    <x v="50"/>
    <n v="0.21113635815378595"/>
    <x v="54"/>
    <x v="54"/>
  </r>
  <r>
    <x v="55"/>
    <n v="0"/>
    <n v="0"/>
    <n v="940"/>
    <n v="1.351742066215977E-2"/>
    <n v="32.36"/>
    <n v="4.6534439641222354E-4"/>
    <n v="0"/>
    <n v="0"/>
    <n v="3520.317"/>
    <n v="5.0622984843779036E-2"/>
    <m/>
    <n v="0"/>
    <n v="80"/>
    <n v="1.1504187797582782E-3"/>
    <n v="201.86"/>
    <n v="2.9027941860250758E-3"/>
    <n v="171.78400000000002"/>
    <n v="2.4702942457749512E-3"/>
    <m/>
    <n v="0"/>
    <m/>
    <n v="0"/>
    <n v="92.3"/>
    <n v="1.3272956671461136E-3"/>
    <n v="46.680999999999997"/>
    <n v="6.7128373822370228E-4"/>
    <x v="55"/>
    <n v="7.3127836519279149E-2"/>
    <x v="54"/>
    <n v="0.51125377038969899"/>
    <n v="-61465.545999999988"/>
    <n v="-8074.348"/>
    <x v="51"/>
    <n v="69539.893999999986"/>
    <x v="51"/>
    <x v="51"/>
    <x v="50"/>
    <x v="50"/>
    <x v="50"/>
    <x v="51"/>
    <n v="0.2485192263906893"/>
    <x v="55"/>
    <x v="55"/>
  </r>
  <r>
    <x v="56"/>
    <n v="0"/>
    <n v="0"/>
    <n v="0"/>
    <n v="0"/>
    <n v="14.95"/>
    <n v="9.6229265562217741E-5"/>
    <n v="0"/>
    <n v="0"/>
    <n v="17860.266"/>
    <n v="0.11496189163383601"/>
    <m/>
    <n v="0"/>
    <m/>
    <n v="0"/>
    <n v="680.05000000000007"/>
    <n v="4.3773051535509148E-3"/>
    <n v="950.41000000000008"/>
    <n v="6.1175422262867802E-3"/>
    <m/>
    <n v="0"/>
    <m/>
    <n v="0"/>
    <n v="934.84"/>
    <n v="6.0173221818183029E-3"/>
    <n v="794.221"/>
    <n v="5.1121942156582027E-3"/>
    <x v="56"/>
    <n v="0.13668248467671246"/>
    <x v="55"/>
    <n v="0.4658502966271939"/>
    <n v="-138029.424"/>
    <n v="-17328.719000000001"/>
    <x v="52"/>
    <n v="155358.14300000001"/>
    <x v="52"/>
    <x v="52"/>
    <x v="51"/>
    <x v="51"/>
    <x v="51"/>
    <x v="52"/>
    <n v="0.24324700338329286"/>
    <x v="56"/>
    <x v="56"/>
  </r>
  <r>
    <x v="57"/>
    <n v="0"/>
    <n v="0"/>
    <n v="1500"/>
    <n v="1.1705574735486592E-2"/>
    <n v="399.81"/>
    <n v="3.1200038899965961E-3"/>
    <n v="0"/>
    <n v="0"/>
    <n v="5734.116"/>
    <n v="4.4747415586632956E-2"/>
    <m/>
    <n v="0"/>
    <m/>
    <n v="0"/>
    <n v="95.58"/>
    <n v="7.4587922214520562E-4"/>
    <n v="455.50100000000003"/>
    <n v="3.5546006650592522E-3"/>
    <m/>
    <n v="0"/>
    <m/>
    <n v="0"/>
    <n v="271.39999999999998"/>
    <n v="2.1179286554740403E-3"/>
    <n v="288.39099999999996"/>
    <n v="2.250521602361142E-3"/>
    <x v="57"/>
    <n v="6.8241924357155787E-2"/>
    <x v="56"/>
    <n v="0.52004654979316212"/>
    <n v="-112198.212"/>
    <n v="-15945.859"/>
    <x v="53"/>
    <n v="128144.071"/>
    <x v="53"/>
    <x v="53"/>
    <x v="52"/>
    <x v="52"/>
    <x v="52"/>
    <x v="53"/>
    <n v="0.26061189746725399"/>
    <x v="57"/>
    <x v="57"/>
  </r>
  <r>
    <x v="58"/>
    <n v="0"/>
    <n v="0"/>
    <n v="500"/>
    <n v="3.2928398764278852E-3"/>
    <n v="15"/>
    <n v="9.8785196292836556E-5"/>
    <n v="0"/>
    <n v="0"/>
    <n v="4918.5209999999997"/>
    <n v="3.2391804163695914E-2"/>
    <m/>
    <n v="0"/>
    <n v="16.100000000000001"/>
    <n v="1.060294440209779E-4"/>
    <n v="855.8"/>
    <n v="5.6360247324939673E-3"/>
    <n v="112.05099999999999"/>
    <n v="7.3793200198724181E-4"/>
    <m/>
    <n v="0"/>
    <m/>
    <n v="0"/>
    <n v="253.20000000000002"/>
    <n v="1.6674941134230811E-3"/>
    <n v="104.182"/>
    <n v="6.861092880120199E-4"/>
    <x v="58"/>
    <n v="4.461701881635393E-2"/>
    <x v="57"/>
    <n v="0.60853985904300811"/>
    <n v="-135755.57400000002"/>
    <n v="-16089.04"/>
    <x v="54"/>
    <n v="151844.61400000003"/>
    <x v="54"/>
    <x v="54"/>
    <x v="53"/>
    <x v="53"/>
    <x v="53"/>
    <x v="54"/>
    <n v="0.22887197589755301"/>
    <x v="58"/>
    <x v="58"/>
  </r>
  <r>
    <x v="59"/>
    <n v="0"/>
    <n v="0"/>
    <n v="1700"/>
    <n v="1.1341633140465527E-2"/>
    <n v="0"/>
    <n v="0"/>
    <n v="0"/>
    <n v="0"/>
    <n v="5507.7739999999994"/>
    <n v="3.6745383605055512E-2"/>
    <m/>
    <n v="0"/>
    <m/>
    <n v="0"/>
    <n v="331.92"/>
    <n v="2.2144205129313635E-3"/>
    <n v="16.923000000000002"/>
    <n v="1.1290262213888126E-4"/>
    <m/>
    <n v="0"/>
    <m/>
    <n v="0"/>
    <n v="277.93"/>
    <n v="1.8542235874879907E-3"/>
    <n v="49.828000000000003"/>
    <n v="3.3242993889595076E-4"/>
    <x v="59"/>
    <n v="5.2600993406975223E-2"/>
    <x v="58"/>
    <n v="0.56388523788375"/>
    <n v="-133036.47699999998"/>
    <n v="-16853.753000000001"/>
    <x v="55"/>
    <n v="149890.22999999998"/>
    <x v="55"/>
    <x v="55"/>
    <x v="54"/>
    <x v="54"/>
    <x v="54"/>
    <x v="55"/>
    <n v="0.23284842152158797"/>
    <x v="59"/>
    <x v="59"/>
  </r>
  <r>
    <x v="60"/>
    <n v="0"/>
    <n v="0"/>
    <n v="700"/>
    <n v="1.9701648369370557E-2"/>
    <n v="0"/>
    <n v="0"/>
    <n v="0"/>
    <n v="0"/>
    <n v="3558.1260000000002"/>
    <n v="0.10014421043702142"/>
    <m/>
    <n v="0"/>
    <m/>
    <n v="0"/>
    <n v="43.61"/>
    <n v="1.2274126934117857E-3"/>
    <n v="227.97800000000001"/>
    <n v="6.4164891313605163E-3"/>
    <m/>
    <n v="0"/>
    <m/>
    <n v="0"/>
    <n v="80"/>
    <n v="2.2516169564994921E-3"/>
    <n v="146.85499999999999"/>
    <n v="4.1332651018341614E-3"/>
    <x v="60"/>
    <n v="0.13387464268949795"/>
    <x v="59"/>
    <n v="0.49343740907337469"/>
    <n v="-31157.851999999999"/>
    <n v="-4372.17"/>
    <x v="56"/>
    <n v="35530.021999999997"/>
    <x v="56"/>
    <x v="56"/>
    <x v="55"/>
    <x v="55"/>
    <x v="55"/>
    <x v="56"/>
    <n v="0.24934818076372364"/>
    <x v="60"/>
    <x v="60"/>
  </r>
  <r>
    <x v="61"/>
    <n v="0"/>
    <n v="0"/>
    <n v="600"/>
    <n v="8.5456147109908721E-3"/>
    <n v="25"/>
    <n v="3.5606727962461963E-4"/>
    <n v="0"/>
    <n v="0"/>
    <n v="3115.8069999999998"/>
    <n v="4.4377476893013891E-2"/>
    <m/>
    <n v="0"/>
    <m/>
    <n v="0"/>
    <n v="41"/>
    <n v="5.8395033858437621E-4"/>
    <n v="37.936999999999998"/>
    <n v="5.4032497548476774E-4"/>
    <m/>
    <n v="0"/>
    <m/>
    <n v="0"/>
    <n v="116.88"/>
    <n v="1.6646857457010217E-3"/>
    <n v="35.985999999999997"/>
    <n v="5.1253748498286244E-4"/>
    <x v="61"/>
    <n v="5.6580657428382412E-2"/>
    <x v="60"/>
    <n v="0.46593279301310547"/>
    <n v="-61382.254999999997"/>
    <n v="-8829.1949999999997"/>
    <x v="57"/>
    <n v="70211.45"/>
    <x v="57"/>
    <x v="57"/>
    <x v="56"/>
    <x v="56"/>
    <x v="56"/>
    <x v="57"/>
    <n v="0.24669654172692015"/>
    <x v="61"/>
    <x v="61"/>
  </r>
  <r>
    <x v="62"/>
    <n v="0"/>
    <n v="0"/>
    <n v="1489.92"/>
    <n v="1.3307953376074107E-2"/>
    <n v="0"/>
    <n v="0"/>
    <n v="0"/>
    <n v="0"/>
    <n v="3827.0119999999997"/>
    <n v="3.4182840196571702E-2"/>
    <m/>
    <n v="0"/>
    <n v="24.77"/>
    <n v="2.2124543943658425E-4"/>
    <n v="613.49"/>
    <n v="5.479687712553495E-3"/>
    <n v="96.063000000000017"/>
    <n v="8.5803393817507454E-4"/>
    <n v="47.37"/>
    <n v="4.2310845644372201E-4"/>
    <m/>
    <n v="0"/>
    <n v="338.57"/>
    <n v="3.0241044985887897E-3"/>
    <n v="370.834"/>
    <n v="3.3122862853462364E-3"/>
    <x v="62"/>
    <n v="6.0809259903189708E-2"/>
    <x v="61"/>
    <n v="0.51691784469963542"/>
    <n v="-98508.114000000001"/>
    <n v="-13448.996000000001"/>
    <x v="58"/>
    <n v="111957.11"/>
    <x v="58"/>
    <x v="58"/>
    <x v="57"/>
    <x v="57"/>
    <x v="57"/>
    <x v="58"/>
    <n v="0.22996672224969461"/>
    <x v="62"/>
    <x v="62"/>
  </r>
  <r>
    <x v="63"/>
    <n v="0"/>
    <n v="0"/>
    <n v="500"/>
    <n v="8.681368228081349E-3"/>
    <n v="0"/>
    <n v="0"/>
    <n v="0"/>
    <n v="0"/>
    <n v="3141.5619999999999"/>
    <n v="5.4546113066695399E-2"/>
    <m/>
    <n v="0"/>
    <m/>
    <n v="0"/>
    <n v="111.74"/>
    <n v="1.94011217161162E-3"/>
    <n v="420.24200000000002"/>
    <n v="7.2965510938107258E-3"/>
    <m/>
    <n v="0"/>
    <m/>
    <n v="0"/>
    <n v="52.76"/>
    <n v="9.1605797542714397E-4"/>
    <n v="19.553000000000001"/>
    <n v="3.3949358592734929E-4"/>
    <x v="63"/>
    <n v="7.3719696121553588E-2"/>
    <x v="62"/>
    <n v="0.48170761054576489"/>
    <n v="-50311.750000000007"/>
    <n v="-7282.8580000000002"/>
    <x v="59"/>
    <n v="57594.608000000007"/>
    <x v="59"/>
    <x v="59"/>
    <x v="58"/>
    <x v="58"/>
    <x v="58"/>
    <x v="59"/>
    <n v="0.24026576520210149"/>
    <x v="63"/>
    <x v="63"/>
  </r>
  <r>
    <x v="64"/>
    <n v="0"/>
    <n v="0"/>
    <n v="550"/>
    <n v="1.3537250933350379E-2"/>
    <n v="254.79"/>
    <n v="6.2711930278333506E-3"/>
    <n v="0"/>
    <n v="0"/>
    <n v="3581.56"/>
    <n v="8.8153593550637052E-2"/>
    <m/>
    <n v="0"/>
    <m/>
    <n v="0"/>
    <n v="95.5"/>
    <n v="2.3505590256999295E-3"/>
    <n v="1310.586"/>
    <n v="3.2257693730428978E-2"/>
    <m/>
    <n v="0"/>
    <m/>
    <n v="0"/>
    <n v="217.25"/>
    <n v="5.3472141186733995E-3"/>
    <n v="355.01400000000001"/>
    <n v="8.7380247324590019E-3"/>
    <x v="64"/>
    <n v="0.15665552911908209"/>
    <x v="63"/>
    <n v="0.49955355377080973"/>
    <n v="-35916.420000000006"/>
    <n v="-4712.2129999999997"/>
    <x v="60"/>
    <n v="40628.633000000002"/>
    <x v="60"/>
    <x v="60"/>
    <x v="59"/>
    <x v="59"/>
    <x v="59"/>
    <x v="60"/>
    <n v="0.25915754385612311"/>
    <x v="64"/>
    <x v="64"/>
  </r>
  <r>
    <x v="65"/>
    <n v="0"/>
    <n v="0"/>
    <n v="377.97"/>
    <n v="7.5142836398834484E-3"/>
    <n v="0"/>
    <n v="0"/>
    <n v="0"/>
    <n v="0"/>
    <n v="3222.9409999999998"/>
    <n v="6.4074113894249801E-2"/>
    <m/>
    <n v="0"/>
    <m/>
    <n v="0"/>
    <n v="64.03"/>
    <n v="1.2729570639514701E-3"/>
    <n v="553.33799999999997"/>
    <n v="1.1000710851987795E-2"/>
    <m/>
    <n v="0"/>
    <m/>
    <n v="0"/>
    <n v="77.02000000000001"/>
    <n v="1.5312065135958495E-3"/>
    <n v="110.872"/>
    <n v="2.204205772207206E-3"/>
    <x v="65"/>
    <n v="8.7597477735875603E-2"/>
    <x v="64"/>
    <n v="0.48490497175717207"/>
    <n v="-44162.941000000006"/>
    <n v="-6137.2629999999999"/>
    <x v="61"/>
    <n v="50300.204000000005"/>
    <x v="61"/>
    <x v="61"/>
    <x v="60"/>
    <x v="60"/>
    <x v="60"/>
    <x v="61"/>
    <n v="0.24220097392662729"/>
    <x v="65"/>
    <x v="65"/>
  </r>
  <r>
    <x v="66"/>
    <n v="0"/>
    <n v="0"/>
    <n v="1177.25"/>
    <n v="4.1765186030954603E-2"/>
    <n v="0"/>
    <n v="0"/>
    <n v="0"/>
    <n v="0"/>
    <n v="1385.4279999999999"/>
    <n v="4.9150697092795383E-2"/>
    <m/>
    <n v="0"/>
    <m/>
    <n v="0"/>
    <n v="65.790000000000006"/>
    <n v="2.3340255586973909E-3"/>
    <n v="1.8460000000000001"/>
    <n v="6.5490366033673557E-5"/>
    <m/>
    <n v="0"/>
    <m/>
    <n v="0"/>
    <n v="482.84"/>
    <n v="1.7129668654224776E-2"/>
    <n v="392.90899999999999"/>
    <n v="1.3939195139720825E-2"/>
    <x v="66"/>
    <n v="0.12438426284242665"/>
    <x v="65"/>
    <n v="0.54398863007777398"/>
    <n v="-24526.551999999996"/>
    <n v="-3660.8"/>
    <x v="62"/>
    <n v="28187.351999999995"/>
    <x v="62"/>
    <x v="62"/>
    <x v="61"/>
    <x v="61"/>
    <x v="61"/>
    <x v="62"/>
    <n v="0.22052841304512263"/>
    <x v="66"/>
    <x v="66"/>
  </r>
  <r>
    <x v="67"/>
    <n v="0"/>
    <n v="0"/>
    <n v="1200"/>
    <n v="1.2452495803923998E-2"/>
    <n v="0"/>
    <n v="0"/>
    <n v="47.2"/>
    <n v="4.8979816828767725E-4"/>
    <n v="3885.6080000000002"/>
    <n v="4.0321264429744597E-2"/>
    <m/>
    <n v="0"/>
    <m/>
    <n v="0"/>
    <n v="102.74"/>
    <n v="1.0661411824126261E-3"/>
    <n v="626.58100000000002"/>
    <n v="6.5020810610987518E-3"/>
    <m/>
    <n v="0"/>
    <m/>
    <n v="0"/>
    <n v="132.18900000000002"/>
    <n v="1.371735806520758E-3"/>
    <n v="77.052999999999997"/>
    <n v="7.9958513264979643E-4"/>
    <x v="67"/>
    <n v="6.3003101584638205E-2"/>
    <x v="66"/>
    <n v="0.49961113968728293"/>
    <n v="-85888.407000000007"/>
    <n v="-10477.816999999999"/>
    <x v="63"/>
    <n v="96366.224000000002"/>
    <x v="63"/>
    <x v="63"/>
    <x v="62"/>
    <x v="62"/>
    <x v="62"/>
    <x v="63"/>
    <n v="0.23065331614840653"/>
    <x v="67"/>
    <x v="67"/>
  </r>
  <r>
    <x v="68"/>
    <n v="0"/>
    <n v="0"/>
    <n v="2000"/>
    <n v="291.54518950437318"/>
    <n v="0"/>
    <n v="0"/>
    <n v="0"/>
    <n v="0"/>
    <n v="3915.8980000000001"/>
    <n v="570.83061224489791"/>
    <m/>
    <n v="0"/>
    <m/>
    <n v="0"/>
    <n v="174.59"/>
    <n v="25.450437317784257"/>
    <n v="464.83300000000003"/>
    <n v="67.759912536443153"/>
    <m/>
    <n v="0"/>
    <m/>
    <n v="0"/>
    <n v="82.88"/>
    <n v="12.081632653061224"/>
    <n v="57.789000000000001"/>
    <n v="8.4240524781341097"/>
    <x v="68"/>
    <n v="976.09183673469386"/>
    <x v="67"/>
    <n v="1961.8737609329444"/>
    <n v="0"/>
    <n v="-6.86"/>
    <x v="64"/>
    <n v="6.86"/>
    <x v="64"/>
    <x v="64"/>
    <x v="0"/>
    <x v="0"/>
    <x v="0"/>
    <x v="64"/>
    <n v="0.13479218615606312"/>
    <x v="68"/>
    <x v="68"/>
  </r>
  <r>
    <x v="69"/>
    <n v="0"/>
    <n v="0"/>
    <n v="2700"/>
    <n v="3.835404932606324E-2"/>
    <n v="0"/>
    <n v="0"/>
    <n v="0"/>
    <n v="0"/>
    <n v="7705.4679999999998"/>
    <n v="0.10945774064903772"/>
    <m/>
    <n v="0"/>
    <m/>
    <n v="0"/>
    <n v="301.16000000000003"/>
    <n v="4.2780390722360027E-3"/>
    <n v="1193.2910000000002"/>
    <n v="1.695094143494346E-2"/>
    <m/>
    <n v="0"/>
    <m/>
    <n v="0"/>
    <n v="440.74"/>
    <n v="6.2608013703589309E-3"/>
    <n v="30.614000000000004"/>
    <n v="4.3487809854374085E-4"/>
    <x v="69"/>
    <n v="0.17573644995118309"/>
    <x v="68"/>
    <n v="0.46448009473847929"/>
    <n v="-61586.48"/>
    <n v="-8810.259"/>
    <x v="65"/>
    <n v="70396.739000000001"/>
    <x v="65"/>
    <x v="65"/>
    <x v="63"/>
    <x v="63"/>
    <x v="63"/>
    <x v="65"/>
    <n v="0.25160360015943384"/>
    <x v="69"/>
    <x v="69"/>
  </r>
  <r>
    <x v="70"/>
    <n v="0"/>
    <n v="0"/>
    <n v="176"/>
    <n v="5.1752961004496757E-3"/>
    <n v="0"/>
    <n v="0"/>
    <n v="0"/>
    <n v="0"/>
    <n v="3721.0489999999995"/>
    <n v="0.10941778624592137"/>
    <m/>
    <n v="0"/>
    <m/>
    <n v="0"/>
    <m/>
    <n v="0"/>
    <n v="411.85399999999998"/>
    <n v="1.2110604546332959E-2"/>
    <m/>
    <n v="0"/>
    <m/>
    <n v="0"/>
    <n v="839.39"/>
    <n v="2.4682339737252573E-2"/>
    <n v="83.91"/>
    <n v="2.4673812260723425E-3"/>
    <x v="70"/>
    <n v="0.15385340785602891"/>
    <x v="69"/>
    <n v="0.3542433428931247"/>
    <n v="-29898.695999999996"/>
    <n v="-4109.0199999999995"/>
    <x v="66"/>
    <n v="34007.715999999993"/>
    <x v="66"/>
    <x v="66"/>
    <x v="64"/>
    <x v="64"/>
    <x v="64"/>
    <x v="66"/>
    <n v="0.27813102837501391"/>
    <x v="70"/>
    <x v="70"/>
  </r>
  <r>
    <x v="71"/>
    <n v="0"/>
    <n v="0"/>
    <n v="4290"/>
    <n v="3.7600272103265178E-2"/>
    <n v="0"/>
    <n v="0"/>
    <n v="0"/>
    <n v="0"/>
    <n v="5807.1660000000002"/>
    <n v="5.089767406732635E-2"/>
    <m/>
    <n v="0"/>
    <m/>
    <n v="0"/>
    <n v="163.15"/>
    <n v="1.4299497421090242E-3"/>
    <n v="207.494"/>
    <n v="1.8186085920267844E-3"/>
    <m/>
    <n v="0"/>
    <m/>
    <n v="0"/>
    <n v="2109.63"/>
    <n v="1.8490131011004971E-2"/>
    <n v="90.323000000000008"/>
    <n v="7.9164787346928229E-4"/>
    <x v="71"/>
    <n v="0.11102828338920158"/>
    <x v="70"/>
    <n v="0.49420439134542016"/>
    <n v="-99227.5"/>
    <n v="-14867.419"/>
    <x v="67"/>
    <n v="114094.91899999999"/>
    <x v="67"/>
    <x v="67"/>
    <x v="65"/>
    <x v="65"/>
    <x v="65"/>
    <x v="67"/>
    <n v="0.23967691884584522"/>
    <x v="71"/>
    <x v="71"/>
  </r>
  <r>
    <x v="72"/>
    <n v="0"/>
    <n v="0"/>
    <n v="1458"/>
    <n v="6.8686337057988947E-2"/>
    <n v="0"/>
    <n v="0"/>
    <n v="0"/>
    <n v="0"/>
    <n v="1242.912"/>
    <n v="5.8553547712907515E-2"/>
    <m/>
    <n v="0"/>
    <n v="228.45"/>
    <n v="1.0762272771534687E-2"/>
    <n v="41.15"/>
    <n v="1.938575288022116E-3"/>
    <n v="501.83499999999998"/>
    <n v="2.3641432069613087E-2"/>
    <n v="4.12"/>
    <n v="1.940930786549482E-4"/>
    <m/>
    <n v="0"/>
    <n v="319.95999999999998"/>
    <n v="1.5073306176319714E-2"/>
    <n v="307.16399999999999"/>
    <n v="1.4470486993196238E-2"/>
    <x v="72"/>
    <n v="0.19332005114823722"/>
    <x v="71"/>
    <n v="0.51907692346829826"/>
    <n v="-18440.446999999996"/>
    <n v="-2786.482"/>
    <x v="68"/>
    <n v="21226.928999999996"/>
    <x v="68"/>
    <x v="68"/>
    <x v="66"/>
    <x v="66"/>
    <x v="66"/>
    <x v="68"/>
    <n v="0.24486111487913129"/>
    <x v="72"/>
    <x v="72"/>
  </r>
  <r>
    <x v="73"/>
    <n v="0"/>
    <n v="0"/>
    <n v="1900"/>
    <n v="1.6531944803107889E-2"/>
    <n v="0"/>
    <n v="0"/>
    <n v="0"/>
    <n v="0"/>
    <n v="7271.9459999999999"/>
    <n v="6.3273373622726947E-2"/>
    <m/>
    <n v="0"/>
    <m/>
    <n v="0"/>
    <n v="160.99"/>
    <n v="1.4007777862380731E-3"/>
    <n v="325.04699999999997"/>
    <n v="2.8282416117977943E-3"/>
    <m/>
    <n v="0"/>
    <m/>
    <n v="0"/>
    <n v="163.68"/>
    <n v="1.4241835396698417E-3"/>
    <n v="68.588999999999999"/>
    <n v="5.9679450636861413E-4"/>
    <x v="73"/>
    <n v="8.6055315869909152E-2"/>
    <x v="72"/>
    <n v="0.49043904120741244"/>
    <n v="-100824.402"/>
    <n v="-14104.605"/>
    <x v="69"/>
    <n v="114929.007"/>
    <x v="69"/>
    <x v="69"/>
    <x v="67"/>
    <x v="67"/>
    <x v="67"/>
    <x v="69"/>
    <n v="0.24742839148841475"/>
    <x v="73"/>
    <x v="73"/>
  </r>
  <r>
    <x v="74"/>
    <n v="0"/>
    <n v="0"/>
    <n v="2900"/>
    <n v="4.6770405899870596E-2"/>
    <n v="15"/>
    <n v="2.4191589258553754E-4"/>
    <n v="0"/>
    <n v="0"/>
    <n v="3378.1570000000002"/>
    <n v="5.4481991063272117E-2"/>
    <m/>
    <n v="0"/>
    <m/>
    <n v="0"/>
    <n v="990.56"/>
    <n v="1.5975480437302004E-2"/>
    <n v="11981.789999999999"/>
    <n v="0.19323902817483118"/>
    <m/>
    <n v="0"/>
    <m/>
    <n v="0"/>
    <n v="130.41"/>
    <n v="2.1032167701386635E-3"/>
    <n v="84.965000000000003"/>
    <n v="1.3702922542353465E-3"/>
    <x v="74"/>
    <n v="0.31418233049223543"/>
    <x v="73"/>
    <n v="0.5067851359972928"/>
    <n v="-54052.601999999999"/>
    <n v="-7952.4189999999999"/>
    <x v="70"/>
    <n v="62005.021000000001"/>
    <x v="70"/>
    <x v="70"/>
    <x v="68"/>
    <x v="68"/>
    <x v="68"/>
    <x v="70"/>
    <n v="0.22611563663066733"/>
    <x v="74"/>
    <x v="74"/>
  </r>
  <r>
    <x v="75"/>
    <n v="0"/>
    <n v="0"/>
    <n v="500"/>
    <n v="1.2316400040417499E-2"/>
    <n v="37.25"/>
    <n v="9.1757180301110363E-4"/>
    <n v="0"/>
    <n v="0"/>
    <n v="3205.0479999999998"/>
    <n v="7.8949306633480043E-2"/>
    <m/>
    <n v="0"/>
    <m/>
    <n v="0"/>
    <n v="68.099999999999994"/>
    <n v="1.6774936855048631E-3"/>
    <n v="54.361999999999995"/>
    <n v="1.3390882779943519E-3"/>
    <m/>
    <n v="0"/>
    <m/>
    <n v="0"/>
    <n v="140.35"/>
    <n v="3.4572134913451917E-3"/>
    <n v="75.183000000000007"/>
    <n v="1.8519678084774178E-3"/>
    <x v="75"/>
    <n v="0.10050904174023047"/>
    <x v="74"/>
    <n v="0.47273937280654144"/>
    <n v="-35712.326999999997"/>
    <n v="-4883.951"/>
    <x v="71"/>
    <n v="40596.277999999998"/>
    <x v="71"/>
    <x v="71"/>
    <x v="69"/>
    <x v="69"/>
    <x v="69"/>
    <x v="71"/>
    <n v="0.25145946472357267"/>
    <x v="75"/>
    <x v="75"/>
  </r>
  <r>
    <x v="76"/>
    <n v="0"/>
    <n v="0"/>
    <n v="350"/>
    <n v="8.5195247059400847E-3"/>
    <n v="91"/>
    <n v="2.2150764235444216E-3"/>
    <n v="0"/>
    <n v="0"/>
    <n v="3907.0519999999997"/>
    <n v="9.510350297540747E-2"/>
    <m/>
    <n v="0"/>
    <m/>
    <n v="0"/>
    <m/>
    <n v="0"/>
    <n v="816.08799999999997"/>
    <n v="1.9864805366346373E-2"/>
    <m/>
    <n v="0"/>
    <m/>
    <n v="0"/>
    <n v="103"/>
    <n v="2.5071744134623677E-3"/>
    <n v="43.103000000000002"/>
    <n v="1.0491916382861014E-3"/>
    <x v="76"/>
    <n v="0.1292592755229868"/>
    <x v="75"/>
    <n v="0.41053632501392812"/>
    <n v="-36059.854000000007"/>
    <n v="-5022.25"/>
    <x v="72"/>
    <n v="41082.104000000007"/>
    <x v="72"/>
    <x v="72"/>
    <x v="70"/>
    <x v="70"/>
    <x v="70"/>
    <x v="72"/>
    <n v="0.25093837451821738"/>
    <x v="76"/>
    <x v="76"/>
  </r>
  <r>
    <x v="77"/>
    <n v="0"/>
    <n v="0"/>
    <n v="0"/>
    <n v="0"/>
    <n v="0"/>
    <n v="0"/>
    <n v="0"/>
    <n v="0"/>
    <n v="2902.1220000000003"/>
    <n v="1.7947229830114351E-2"/>
    <m/>
    <n v="0"/>
    <m/>
    <n v="0"/>
    <m/>
    <n v="0"/>
    <n v="116.678"/>
    <n v="7.215571509805866E-4"/>
    <n v="6.3E-2"/>
    <n v="3.896030143795485E-7"/>
    <m/>
    <n v="0"/>
    <n v="44.591000000000001"/>
    <n v="2.7575853990791186E-4"/>
    <n v="84.662000000000006"/>
    <n v="5.2356460957779895E-4"/>
    <x v="77"/>
    <n v="1.9468499733595025E-2"/>
    <x v="76"/>
    <n v="0.55724339071107631"/>
    <n v="-139682.65199999997"/>
    <n v="-22020.409"/>
    <x v="73"/>
    <n v="161703.06099999999"/>
    <x v="73"/>
    <x v="73"/>
    <x v="71"/>
    <x v="71"/>
    <x v="71"/>
    <x v="73"/>
    <n v="0.22573100999288029"/>
    <x v="77"/>
    <x v="77"/>
  </r>
  <r>
    <x v="78"/>
    <n v="0"/>
    <n v="0"/>
    <n v="450"/>
    <n v="1.1283886074074751E-2"/>
    <n v="32.01"/>
    <n v="8.0266042940251719E-4"/>
    <n v="0"/>
    <n v="0"/>
    <n v="3193.7170000000001"/>
    <n v="8.0083419512968435E-2"/>
    <m/>
    <n v="0"/>
    <m/>
    <n v="0"/>
    <n v="10"/>
    <n v="2.5075302386832782E-4"/>
    <n v="201.07300000000001"/>
    <n v="5.0419662768276278E-3"/>
    <m/>
    <n v="0"/>
    <m/>
    <n v="0"/>
    <n v="77.09"/>
    <n v="1.933055061000939E-3"/>
    <n v="53.172999999999995"/>
    <n v="1.3333290538150592E-3"/>
    <x v="78"/>
    <n v="0.10072906943195767"/>
    <x v="77"/>
    <n v="0.47402329064296544"/>
    <n v="-35193.64"/>
    <n v="-4686.2380000000003"/>
    <x v="74"/>
    <n v="39879.877999999997"/>
    <x v="74"/>
    <x v="74"/>
    <x v="72"/>
    <x v="72"/>
    <x v="72"/>
    <x v="74"/>
    <n v="0.24888606706979607"/>
    <x v="78"/>
    <x v="78"/>
  </r>
  <r>
    <x v="79"/>
    <n v="0"/>
    <n v="0"/>
    <n v="460"/>
    <n v="1.4872205722695439E-2"/>
    <n v="37.619999999999997"/>
    <n v="1.21628778106044E-3"/>
    <n v="0"/>
    <n v="0"/>
    <n v="2509.5970000000002"/>
    <n v="8.1137484489259379E-2"/>
    <m/>
    <n v="0"/>
    <m/>
    <n v="0"/>
    <m/>
    <n v="0"/>
    <n v="1223.4039999999998"/>
    <n v="3.9553730369496713E-2"/>
    <m/>
    <n v="0"/>
    <m/>
    <n v="0"/>
    <n v="59.13"/>
    <n v="1.9117250530064813E-3"/>
    <n v="258.952"/>
    <n v="8.3721465571813692E-3"/>
    <x v="79"/>
    <n v="0.14706357997269981"/>
    <x v="78"/>
    <n v="0.50144658065358827"/>
    <n v="-26868.104999999996"/>
    <n v="-4062.0749999999998"/>
    <x v="75"/>
    <n v="30930.179999999997"/>
    <x v="75"/>
    <x v="75"/>
    <x v="73"/>
    <x v="73"/>
    <x v="73"/>
    <x v="75"/>
    <n v="0.21434483886621183"/>
    <x v="79"/>
    <x v="79"/>
  </r>
  <r>
    <x v="80"/>
    <n v="0"/>
    <n v="0"/>
    <n v="3655"/>
    <n v="0.140076714516949"/>
    <n v="201.23"/>
    <n v="7.7120758583435426E-3"/>
    <n v="0"/>
    <n v="0"/>
    <n v="2271.5340000000001"/>
    <n v="8.7055819325182832E-2"/>
    <m/>
    <n v="0"/>
    <m/>
    <n v="0"/>
    <n v="66.959999999999994"/>
    <n v="2.5662207398235034E-3"/>
    <n v="1123.4960000000001"/>
    <n v="4.3057627483702912E-2"/>
    <m/>
    <n v="0"/>
    <m/>
    <n v="0"/>
    <n v="222.16"/>
    <n v="8.5142114629508589E-3"/>
    <n v="198.88400000000001"/>
    <n v="7.6221661532117346E-3"/>
    <x v="80"/>
    <n v="0.29660483554016437"/>
    <x v="79"/>
    <n v="0.56457615104830461"/>
    <n v="-22851.345999999998"/>
    <n v="-3241.4989999999998"/>
    <x v="76"/>
    <n v="26092.844999999998"/>
    <x v="76"/>
    <x v="76"/>
    <x v="74"/>
    <x v="74"/>
    <x v="74"/>
    <x v="76"/>
    <n v="0.18802629635236193"/>
    <x v="80"/>
    <x v="80"/>
  </r>
  <r>
    <x v="81"/>
    <n v="0"/>
    <n v="0"/>
    <n v="490"/>
    <n v="1.0749880275950743E-2"/>
    <n v="25"/>
    <n v="5.4846327938524206E-4"/>
    <n v="0"/>
    <n v="0"/>
    <n v="2910.9549999999999"/>
    <n v="6.386207701771468E-2"/>
    <m/>
    <n v="0"/>
    <m/>
    <n v="0"/>
    <n v="45.77"/>
    <n v="1.0041265718985011E-3"/>
    <n v="1414.1030000000001"/>
    <n v="3.1023342750740358E-2"/>
    <m/>
    <n v="0"/>
    <m/>
    <n v="0"/>
    <n v="100.89"/>
    <n v="2.2133784102870827E-3"/>
    <n v="120.94999999999999"/>
    <n v="2.6534653456658005E-3"/>
    <x v="81"/>
    <n v="0.11205473365164242"/>
    <x v="80"/>
    <n v="0.47511436720840733"/>
    <n v="-39482.781999999999"/>
    <n v="-6099.1210000000001"/>
    <x v="77"/>
    <n v="45581.902999999998"/>
    <x v="77"/>
    <x v="77"/>
    <x v="75"/>
    <x v="75"/>
    <x v="75"/>
    <x v="77"/>
    <n v="0.22385461760820971"/>
    <x v="81"/>
    <x v="81"/>
  </r>
  <r>
    <x v="82"/>
    <n v="0"/>
    <n v="0"/>
    <n v="700"/>
    <n v="1.2837440372840349E-2"/>
    <n v="0"/>
    <n v="0"/>
    <n v="0"/>
    <n v="0"/>
    <n v="2102.087"/>
    <n v="3.8550595030032643E-2"/>
    <m/>
    <n v="0"/>
    <m/>
    <n v="0"/>
    <n v="103.73"/>
    <n v="1.9023252712496135E-3"/>
    <n v="3080.6049999999996"/>
    <n v="5.6495832856819771E-2"/>
    <m/>
    <n v="0"/>
    <m/>
    <n v="0"/>
    <n v="90.97"/>
    <n v="1.6683170724532666E-3"/>
    <n v="190.846"/>
    <n v="3.4999630648501279E-3"/>
    <x v="82"/>
    <n v="0.11495447366824579"/>
    <x v="81"/>
    <n v="0.58021722196176484"/>
    <n v="-47588.814999999995"/>
    <n v="-6939.1890000000003"/>
    <x v="78"/>
    <n v="54528.003999999994"/>
    <x v="78"/>
    <x v="78"/>
    <x v="76"/>
    <x v="76"/>
    <x v="76"/>
    <x v="78"/>
    <n v="0.1899187139307438"/>
    <x v="82"/>
    <x v="82"/>
  </r>
  <r>
    <x v="83"/>
    <n v="0"/>
    <n v="0"/>
    <n v="416.64"/>
    <n v="1.766953641131478E-2"/>
    <n v="0"/>
    <n v="0"/>
    <n v="0"/>
    <n v="0"/>
    <n v="955.16300000000001"/>
    <n v="4.0508082294644442E-2"/>
    <m/>
    <n v="0"/>
    <m/>
    <n v="0"/>
    <n v="137.83000000000001"/>
    <n v="5.8453153887565203E-3"/>
    <n v="340.14400000000001"/>
    <n v="1.4425371527194352E-2"/>
    <m/>
    <n v="0"/>
    <m/>
    <n v="0"/>
    <m/>
    <n v="0"/>
    <n v="81.114000000000004"/>
    <n v="3.4400124243168856E-3"/>
    <x v="83"/>
    <n v="8.1888318046226982E-2"/>
    <x v="82"/>
    <n v="0.46703832462395617"/>
    <n v="-20570.965"/>
    <n v="-3008.6010000000001"/>
    <x v="79"/>
    <n v="23579.565999999999"/>
    <x v="79"/>
    <x v="79"/>
    <x v="77"/>
    <x v="77"/>
    <x v="77"/>
    <x v="79"/>
    <n v="0.22420050022281426"/>
    <x v="83"/>
    <x v="83"/>
  </r>
  <r>
    <x v="84"/>
    <n v="0"/>
    <n v="0"/>
    <n v="680.53"/>
    <n v="1.6596486904193176E-2"/>
    <n v="0"/>
    <n v="0"/>
    <n v="0"/>
    <n v="0"/>
    <n v="1412.941"/>
    <n v="3.4458226386636315E-2"/>
    <m/>
    <n v="0"/>
    <m/>
    <n v="0"/>
    <n v="114.29"/>
    <n v="2.7872577083747053E-3"/>
    <n v="580.67600000000004"/>
    <n v="1.4161288451029753E-2"/>
    <m/>
    <n v="0"/>
    <m/>
    <n v="0"/>
    <m/>
    <n v="0"/>
    <n v="327.096"/>
    <n v="7.9770832739393879E-3"/>
    <x v="84"/>
    <n v="7.5980342724173339E-2"/>
    <x v="83"/>
    <n v="0.47928602207452492"/>
    <n v="-35936.385000000009"/>
    <n v="-5068.076"/>
    <x v="80"/>
    <n v="41004.46100000001"/>
    <x v="80"/>
    <x v="80"/>
    <x v="78"/>
    <x v="78"/>
    <x v="78"/>
    <x v="80"/>
    <n v="0.21936958498312581"/>
    <x v="84"/>
    <x v="84"/>
  </r>
  <r>
    <x v="85"/>
    <n v="0"/>
    <n v="0"/>
    <n v="692.11"/>
    <n v="2.3039397566241224E-2"/>
    <n v="0"/>
    <n v="0"/>
    <n v="0"/>
    <n v="0"/>
    <n v="2721.9070000000002"/>
    <n v="9.0608570185859119E-2"/>
    <m/>
    <n v="0"/>
    <m/>
    <n v="0"/>
    <n v="65.69"/>
    <n v="2.1867304707725447E-3"/>
    <m/>
    <n v="0"/>
    <m/>
    <n v="0"/>
    <m/>
    <n v="0"/>
    <m/>
    <n v="0"/>
    <n v="0.35899999999999999"/>
    <n v="1.1950620170609583E-5"/>
    <x v="85"/>
    <n v="0.11584664884304349"/>
    <x v="84"/>
    <n v="0.43640802040406945"/>
    <n v="-26083.148999999998"/>
    <n v="-3957.1329999999998"/>
    <x v="81"/>
    <n v="30040.281999999999"/>
    <x v="81"/>
    <x v="81"/>
    <x v="79"/>
    <x v="79"/>
    <x v="79"/>
    <x v="81"/>
    <n v="0.2547255365436325"/>
    <x v="85"/>
    <x v="85"/>
  </r>
  <r>
    <x v="86"/>
    <n v="0"/>
    <n v="0"/>
    <n v="361.78"/>
    <n v="1.8820562804433449E-2"/>
    <n v="0"/>
    <n v="0"/>
    <n v="0"/>
    <n v="0"/>
    <n v="1536.8969999999999"/>
    <n v="7.9952641142255934E-2"/>
    <m/>
    <n v="0"/>
    <m/>
    <n v="0"/>
    <n v="29.07"/>
    <n v="1.5122830469480911E-3"/>
    <n v="19.106000000000002"/>
    <n v="9.9393463691056869E-4"/>
    <m/>
    <n v="0"/>
    <m/>
    <n v="0"/>
    <n v="72.180000000000007"/>
    <n v="3.7549566676543934E-3"/>
    <n v="18.007999999999999"/>
    <n v="9.3681434844999044E-4"/>
    <x v="86"/>
    <n v="0.10597119264665245"/>
    <x v="85"/>
    <n v="0.47902457691449724"/>
    <n v="-16729.882000000001"/>
    <n v="-2492.71"/>
    <x v="82"/>
    <n v="19222.592000000001"/>
    <x v="82"/>
    <x v="82"/>
    <x v="80"/>
    <x v="80"/>
    <x v="80"/>
    <x v="82"/>
    <n v="0.2315766824327754"/>
    <x v="86"/>
    <x v="86"/>
  </r>
  <r>
    <x v="87"/>
    <n v="0"/>
    <n v="0"/>
    <n v="392.31"/>
    <n v="4.1073056772028979E-2"/>
    <n v="0"/>
    <n v="0"/>
    <n v="0"/>
    <n v="0"/>
    <n v="1913.43"/>
    <n v="0.20032734067269103"/>
    <m/>
    <n v="0"/>
    <m/>
    <n v="0"/>
    <n v="25.15"/>
    <n v="2.6330895919464935E-3"/>
    <n v="0.5"/>
    <n v="5.234770560529808E-5"/>
    <m/>
    <n v="0"/>
    <m/>
    <n v="0"/>
    <n v="88.36"/>
    <n v="9.2508865345682766E-3"/>
    <n v="39.558"/>
    <n v="4.1415410766687628E-3"/>
    <x v="87"/>
    <n v="0.2574782623535089"/>
    <x v="86"/>
    <n v="0.45941267758828247"/>
    <n v="-8347.3280000000013"/>
    <n v="-1204.1889999999999"/>
    <x v="83"/>
    <n v="9551.5170000000016"/>
    <x v="83"/>
    <x v="83"/>
    <x v="81"/>
    <x v="81"/>
    <x v="81"/>
    <x v="83"/>
    <n v="0.22402854308824874"/>
    <x v="87"/>
    <x v="87"/>
  </r>
  <r>
    <x v="88"/>
    <n v="0"/>
    <n v="0"/>
    <n v="1200"/>
    <n v="1.5653281893170529E-2"/>
    <n v="0"/>
    <n v="0"/>
    <n v="0"/>
    <n v="0"/>
    <n v="3803.723"/>
    <n v="4.9617290302113565E-2"/>
    <m/>
    <n v="0"/>
    <m/>
    <n v="0"/>
    <n v="118.47"/>
    <n v="1.5453702549032603E-3"/>
    <n v="55.131999999999998"/>
    <n v="7.191639477785646E-4"/>
    <m/>
    <n v="0"/>
    <m/>
    <n v="0"/>
    <n v="61.57"/>
    <n v="8.0314380513542445E-4"/>
    <n v="110.30100000000002"/>
    <n v="1.4388105384155021E-3"/>
    <x v="88"/>
    <n v="6.9777060741516836E-2"/>
    <x v="87"/>
    <n v="0.5033304444331973"/>
    <n v="-66825.558999999994"/>
    <n v="-9835.6810000000005"/>
    <x v="84"/>
    <n v="76661.239999999991"/>
    <x v="84"/>
    <x v="84"/>
    <x v="82"/>
    <x v="82"/>
    <x v="82"/>
    <x v="84"/>
    <n v="0.22283065070807115"/>
    <x v="88"/>
    <x v="88"/>
  </r>
  <r>
    <x v="89"/>
    <n v="0"/>
    <n v="0"/>
    <n v="1400"/>
    <n v="9.8197179051761323E-3"/>
    <n v="0"/>
    <n v="0"/>
    <n v="0"/>
    <n v="0"/>
    <n v="6365.1210000000001"/>
    <n v="4.464549475165186E-2"/>
    <m/>
    <n v="0"/>
    <m/>
    <n v="0"/>
    <n v="430.35"/>
    <n v="3.0185111432089631E-3"/>
    <n v="1521.5420000000001"/>
    <n v="1.0672223729198217E-2"/>
    <m/>
    <n v="0"/>
    <m/>
    <n v="0"/>
    <n v="119.39"/>
    <n v="8.3741151478498453E-4"/>
    <n v="256.28999999999996"/>
    <n v="1.7976396442268502E-3"/>
    <x v="89"/>
    <n v="7.0790998688246995E-2"/>
    <x v="88"/>
    <n v="0.5298456472911498"/>
    <n v="-124744.212"/>
    <n v="-17826.075000000001"/>
    <x v="85"/>
    <n v="142570.28700000001"/>
    <x v="85"/>
    <x v="85"/>
    <x v="83"/>
    <x v="83"/>
    <x v="83"/>
    <x v="85"/>
    <n v="0.22090125150666337"/>
    <x v="89"/>
    <x v="89"/>
  </r>
  <r>
    <x v="90"/>
    <n v="0"/>
    <n v="0"/>
    <n v="400"/>
    <n v="1.0193780193658377E-2"/>
    <n v="67.63"/>
    <n v="1.72351338624279E-3"/>
    <n v="0"/>
    <n v="0"/>
    <n v="2172.2719999999999"/>
    <n v="5.535915822209668E-2"/>
    <m/>
    <n v="0"/>
    <m/>
    <n v="0"/>
    <n v="88.16"/>
    <n v="2.2467091546823064E-3"/>
    <n v="50.615000000000002"/>
    <n v="1.2898954612550471E-3"/>
    <m/>
    <n v="0"/>
    <m/>
    <n v="0"/>
    <n v="196.73"/>
    <n v="5.0135559437460312E-3"/>
    <n v="40.234999999999999"/>
    <n v="1.0253668652296121E-3"/>
    <x v="90"/>
    <n v="7.6851979226910824E-2"/>
    <x v="89"/>
    <n v="0.48909543299788821"/>
    <n v="-34689.675000000003"/>
    <n v="-4549.9390000000003"/>
    <x v="86"/>
    <n v="39239.614000000001"/>
    <x v="86"/>
    <x v="86"/>
    <x v="84"/>
    <x v="84"/>
    <x v="84"/>
    <x v="86"/>
    <n v="0.26240965245199144"/>
    <x v="90"/>
    <x v="90"/>
  </r>
  <r>
    <x v="91"/>
    <n v="0"/>
    <n v="0"/>
    <n v="1000"/>
    <n v="3.2603064890238682E-2"/>
    <n v="74.41"/>
    <n v="2.42599405848266E-3"/>
    <n v="0"/>
    <n v="0"/>
    <n v="2621.2400000000002"/>
    <n v="8.5460457812889246E-2"/>
    <m/>
    <n v="0"/>
    <m/>
    <n v="0"/>
    <n v="90.76"/>
    <n v="2.959054169438063E-3"/>
    <n v="306.65300000000002"/>
    <n v="9.9978276577863626E-3"/>
    <m/>
    <n v="0"/>
    <m/>
    <n v="0"/>
    <n v="238.32"/>
    <n v="7.7699624246416821E-3"/>
    <n v="215.95600000000002"/>
    <n v="7.0408274814363851E-3"/>
    <x v="91"/>
    <n v="0.14825718849491309"/>
    <x v="90"/>
    <n v="0.53438796858225213"/>
    <n v="-26779.65"/>
    <n v="-3892.3130000000001"/>
    <x v="87"/>
    <n v="30671.963000000003"/>
    <x v="87"/>
    <x v="87"/>
    <x v="85"/>
    <x v="85"/>
    <x v="85"/>
    <x v="87"/>
    <n v="0.23309346757216973"/>
    <x v="91"/>
    <x v="91"/>
  </r>
  <r>
    <x v="92"/>
    <n v="0"/>
    <n v="0"/>
    <n v="1100"/>
    <n v="1.2041573993983418E-2"/>
    <n v="0"/>
    <n v="0"/>
    <n v="0"/>
    <n v="0"/>
    <n v="7043.1470000000008"/>
    <n v="7.710052341000212E-2"/>
    <m/>
    <n v="0"/>
    <m/>
    <n v="0"/>
    <n v="81.03"/>
    <n v="8.8702612793861485E-4"/>
    <n v="1321.29"/>
    <n v="1.4464010275009409E-2"/>
    <m/>
    <n v="0"/>
    <m/>
    <n v="0"/>
    <n v="95.009999999999991"/>
    <n v="1.0400635865166949E-3"/>
    <n v="586.17099999999994"/>
    <n v="6.41674679057023E-3"/>
    <x v="92"/>
    <n v="0.11194994418402049"/>
    <x v="91"/>
    <n v="0.5231744032392972"/>
    <n v="-79755.775999999998"/>
    <n v="-11594.407999999999"/>
    <x v="88"/>
    <n v="91350.183999999994"/>
    <x v="88"/>
    <x v="88"/>
    <x v="86"/>
    <x v="86"/>
    <x v="86"/>
    <x v="88"/>
    <n v="0.23077384990872399"/>
    <x v="92"/>
    <x v="92"/>
  </r>
  <r>
    <x v="93"/>
    <n v="0"/>
    <n v="0"/>
    <n v="400"/>
    <n v="1.3489485367702291E-2"/>
    <n v="12.25"/>
    <n v="4.1311548938588265E-4"/>
    <n v="0"/>
    <n v="0"/>
    <n v="2414.5"/>
    <n v="8.1425906050792959E-2"/>
    <m/>
    <n v="0"/>
    <m/>
    <n v="0"/>
    <n v="80.02"/>
    <n v="2.6985715478088433E-3"/>
    <n v="8.44"/>
    <n v="2.8462814125851832E-4"/>
    <m/>
    <n v="0"/>
    <m/>
    <n v="0"/>
    <n v="155.63"/>
    <n v="5.2484215194387685E-3"/>
    <n v="46.779000000000003"/>
    <n v="1.5775615900393638E-3"/>
    <x v="93"/>
    <n v="0.10513768970642663"/>
    <x v="92"/>
    <n v="0.44199971503462149"/>
    <n v="-26230.502000000004"/>
    <n v="-3422.223"/>
    <x v="89"/>
    <n v="29652.725000000006"/>
    <x v="89"/>
    <x v="89"/>
    <x v="87"/>
    <x v="87"/>
    <x v="87"/>
    <x v="89"/>
    <n v="0.23724175133775585"/>
    <x v="93"/>
    <x v="93"/>
  </r>
  <r>
    <x v="94"/>
    <n v="0"/>
    <n v="0"/>
    <n v="2300"/>
    <n v="4.9783680169378793E-2"/>
    <n v="266.86"/>
    <n v="5.7762056043480104E-3"/>
    <n v="0"/>
    <n v="0"/>
    <n v="2045.1109999999999"/>
    <n v="4.4266587797773226E-2"/>
    <m/>
    <n v="0"/>
    <m/>
    <n v="0"/>
    <n v="78.33"/>
    <n v="1.6954589859423655E-3"/>
    <n v="349.68400000000003"/>
    <n v="7.568937572325676E-3"/>
    <m/>
    <n v="0"/>
    <m/>
    <n v="0"/>
    <n v="173.74"/>
    <n v="3.7606159098382049E-3"/>
    <n v="84.23599999999999"/>
    <n v="1.8232948185859961E-3"/>
    <x v="94"/>
    <n v="0.11467478085819227"/>
    <x v="93"/>
    <n v="0.53133898900471133"/>
    <n v="-40440.562000000005"/>
    <n v="-5759.317"/>
    <x v="90"/>
    <n v="46199.879000000008"/>
    <x v="90"/>
    <x v="90"/>
    <x v="88"/>
    <x v="88"/>
    <x v="88"/>
    <x v="90"/>
    <n v="0.21276994600890486"/>
    <x v="94"/>
    <x v="94"/>
  </r>
  <r>
    <x v="95"/>
    <n v="0"/>
    <n v="0"/>
    <n v="3200"/>
    <n v="2.2328483786680862E-2"/>
    <n v="8"/>
    <n v="5.5821209466702162E-5"/>
    <n v="0"/>
    <n v="0"/>
    <n v="5482.3040000000001"/>
    <n v="3.8253604993017387E-2"/>
    <m/>
    <n v="0"/>
    <n v="129.52000000000001"/>
    <n v="9.0374538126590802E-4"/>
    <n v="126.7"/>
    <n v="8.8406840492889543E-4"/>
    <n v="21959.282999999999"/>
    <n v="0.15322421701019898"/>
    <m/>
    <n v="0"/>
    <m/>
    <n v="0"/>
    <n v="143.06800000000001"/>
    <n v="9.9827859949776806E-4"/>
    <n v="185.714"/>
    <n v="1.2958475118623905E-3"/>
    <x v="95"/>
    <n v="0.21794406689691892"/>
    <x v="94"/>
    <n v="0.48772154583275062"/>
    <n v="-124965.86400000003"/>
    <n v="-18348.838"/>
    <x v="91"/>
    <n v="143314.70200000002"/>
    <x v="91"/>
    <x v="91"/>
    <x v="89"/>
    <x v="89"/>
    <x v="89"/>
    <x v="91"/>
    <n v="0.22316716126832159"/>
    <x v="95"/>
    <x v="95"/>
  </r>
  <r>
    <x v="96"/>
    <n v="0"/>
    <n v="0"/>
    <n v="660"/>
    <n v="6.273735871689402E-3"/>
    <n v="0"/>
    <n v="0"/>
    <n v="0"/>
    <n v="0"/>
    <n v="3995.8880000000004"/>
    <n v="3.7983554370989735E-2"/>
    <m/>
    <n v="0"/>
    <m/>
    <n v="0"/>
    <n v="410.49"/>
    <n v="3.9019785423784585E-3"/>
    <n v="1593.883"/>
    <n v="1.5150910533902908E-2"/>
    <m/>
    <n v="0"/>
    <m/>
    <n v="0"/>
    <n v="46.62"/>
    <n v="4.4315388839115139E-4"/>
    <n v="514.92600000000004"/>
    <n v="4.8947116931296018E-3"/>
    <x v="96"/>
    <n v="6.8648044900481264E-2"/>
    <x v="95"/>
    <n v="0.49885250519208679"/>
    <n v="-91658.194000000003"/>
    <n v="-13542.281999999999"/>
    <x v="92"/>
    <n v="105200.476"/>
    <x v="92"/>
    <x v="92"/>
    <x v="90"/>
    <x v="90"/>
    <x v="90"/>
    <x v="92"/>
    <n v="0.23779950776360961"/>
    <x v="96"/>
    <x v="96"/>
  </r>
  <r>
    <x v="97"/>
    <n v="0"/>
    <n v="0"/>
    <n v="2100"/>
    <n v="3.4256775839368085E-2"/>
    <n v="0"/>
    <n v="0"/>
    <n v="-1.724"/>
    <n v="-2.8123181689081228E-5"/>
    <n v="3062.5460000000003"/>
    <n v="4.9958548485596846E-2"/>
    <m/>
    <n v="0"/>
    <m/>
    <n v="0"/>
    <n v="69.319999999999993"/>
    <n v="1.1307998577071406E-3"/>
    <n v="2273.4349999999999"/>
    <n v="3.7085977704939897E-2"/>
    <m/>
    <n v="0"/>
    <m/>
    <n v="0"/>
    <n v="94.009999999999991"/>
    <n v="1.5335616650757112E-3"/>
    <n v="296.83699999999999"/>
    <n v="4.842227890395478E-3"/>
    <x v="97"/>
    <n v="0.12877976826139406"/>
    <x v="96"/>
    <n v="0.42114270457669378"/>
    <n v="-53756.559000000001"/>
    <n v="-7545.1819999999998"/>
    <x v="93"/>
    <n v="61301.741000000002"/>
    <x v="93"/>
    <x v="93"/>
    <x v="91"/>
    <x v="91"/>
    <x v="91"/>
    <x v="93"/>
    <n v="0.2702209561119619"/>
    <x v="97"/>
    <x v="97"/>
  </r>
  <r>
    <x v="98"/>
    <n v="0"/>
    <n v="0"/>
    <n v="1600"/>
    <n v="1.363041132867103E-2"/>
    <n v="0"/>
    <n v="0"/>
    <n v="0"/>
    <n v="0"/>
    <n v="4609.5839999999998"/>
    <n v="3.9269078733787953E-2"/>
    <m/>
    <n v="0"/>
    <m/>
    <n v="0"/>
    <n v="412.88"/>
    <n v="3.5173276433635593E-3"/>
    <n v="291.29000000000002"/>
    <n v="2.4815015724553653E-3"/>
    <m/>
    <n v="0"/>
    <m/>
    <n v="0"/>
    <n v="80"/>
    <n v="6.8152056643355145E-4"/>
    <n v="250.047"/>
    <n v="2.1301521634376282E-3"/>
    <x v="98"/>
    <n v="6.1709992008149084E-2"/>
    <x v="97"/>
    <n v="0.53877789834255219"/>
    <n v="-102091.48999999999"/>
    <n v="-15293.081999999999"/>
    <x v="94"/>
    <n v="117384.57199999999"/>
    <x v="94"/>
    <x v="94"/>
    <x v="92"/>
    <x v="92"/>
    <x v="92"/>
    <x v="94"/>
    <n v="0.23009850393039935"/>
    <x v="98"/>
    <x v="98"/>
  </r>
  <r>
    <x v="99"/>
    <n v="0"/>
    <n v="0"/>
    <n v="1400"/>
    <n v="3.445175204385019E-2"/>
    <n v="0"/>
    <n v="0"/>
    <n v="47.2"/>
    <n v="1.1615162117640922E-3"/>
    <n v="3996.375"/>
    <n v="9.8344371838744143E-2"/>
    <m/>
    <n v="0"/>
    <m/>
    <n v="0"/>
    <n v="79.81"/>
    <n v="1.9639959504426313E-3"/>
    <n v="831.99099999999999"/>
    <n v="2.0473962596224974E-2"/>
    <m/>
    <n v="0"/>
    <m/>
    <n v="0"/>
    <n v="195.01"/>
    <n v="4.7988829757651605E-3"/>
    <n v="356.16700000000003"/>
    <n v="8.7646979787157075E-3"/>
    <x v="99"/>
    <n v="0.16995917959550688"/>
    <x v="98"/>
    <n v="0.49762757852907752"/>
    <n v="-40505.54"/>
    <n v="-131"/>
    <x v="95"/>
    <n v="40636.54"/>
    <x v="95"/>
    <x v="95"/>
    <x v="93"/>
    <x v="93"/>
    <x v="93"/>
    <x v="95"/>
    <n v="0.229721991430652"/>
    <x v="99"/>
    <x v="99"/>
  </r>
  <r>
    <x v="100"/>
    <n v="0"/>
    <n v="0"/>
    <n v="599.99"/>
    <n v="2.0156922239311471E-2"/>
    <n v="0"/>
    <n v="0"/>
    <n v="0"/>
    <n v="0"/>
    <n v="3358.623"/>
    <n v="0.11283438497668796"/>
    <m/>
    <n v="0"/>
    <m/>
    <n v="0"/>
    <n v="101.27"/>
    <n v="3.402209228778934E-3"/>
    <n v="323.70299999999997"/>
    <n v="1.0874941581746097E-2"/>
    <m/>
    <n v="0"/>
    <m/>
    <n v="0"/>
    <n v="177.32"/>
    <n v="5.9571417048195968E-3"/>
    <n v="56.765000000000001"/>
    <n v="1.9070446022675638E-3"/>
    <x v="100"/>
    <n v="0.1551326443336116"/>
    <x v="99"/>
    <n v="0.44469347243812418"/>
    <n v="-25957.407999999999"/>
    <n v="-3808.5450000000001"/>
    <x v="96"/>
    <n v="29765.953000000001"/>
    <x v="96"/>
    <x v="96"/>
    <x v="94"/>
    <x v="94"/>
    <x v="94"/>
    <x v="96"/>
    <n v="0.25115204024727461"/>
    <x v="100"/>
    <x v="100"/>
  </r>
  <r>
    <x v="101"/>
    <n v="0"/>
    <n v="0"/>
    <n v="1850"/>
    <n v="4.5914403589146315E-2"/>
    <n v="0"/>
    <n v="0"/>
    <n v="0"/>
    <n v="0"/>
    <n v="4016.808"/>
    <n v="9.9691537109249523E-2"/>
    <m/>
    <n v="0"/>
    <m/>
    <n v="0"/>
    <n v="1342.55"/>
    <n v="3.3320206777626149E-2"/>
    <n v="410.2"/>
    <n v="1.0180588298523145E-2"/>
    <m/>
    <n v="0"/>
    <m/>
    <n v="0"/>
    <n v="140"/>
    <n v="3.4746035148543156E-3"/>
    <n v="36.070999999999998"/>
    <n v="8.9523159560221438E-4"/>
    <x v="101"/>
    <n v="0.19347657088500167"/>
    <x v="100"/>
    <n v="0.38833732453593517"/>
    <n v="-35515.533999999992"/>
    <n v="-4776.8329999999996"/>
    <x v="97"/>
    <n v="40292.366999999991"/>
    <x v="97"/>
    <x v="97"/>
    <x v="95"/>
    <x v="95"/>
    <x v="95"/>
    <x v="97"/>
    <n v="0.27276211325444144"/>
    <x v="101"/>
    <x v="101"/>
  </r>
  <r>
    <x v="102"/>
    <n v="0"/>
    <n v="0"/>
    <n v="1250"/>
    <n v="3.9311250537109613E-2"/>
    <n v="0"/>
    <n v="0"/>
    <n v="0"/>
    <n v="0"/>
    <n v="3658.3980000000001"/>
    <n v="0.11505296027396859"/>
    <m/>
    <n v="0"/>
    <m/>
    <n v="0"/>
    <n v="70.56"/>
    <n v="2.2190414703187637E-3"/>
    <n v="298.053"/>
    <n v="9.3734689250697042E-3"/>
    <m/>
    <n v="0"/>
    <m/>
    <n v="0"/>
    <n v="175.82"/>
    <n v="5.5293632555476896E-3"/>
    <n v="34.423999999999999"/>
    <n v="1.082600390791569E-3"/>
    <x v="102"/>
    <n v="0.17256868485280594"/>
    <x v="101"/>
    <n v="0.36646026373194657"/>
    <n v="-28150.888000000003"/>
    <n v="-3646.625"/>
    <x v="98"/>
    <n v="31797.513000000003"/>
    <x v="98"/>
    <x v="98"/>
    <x v="96"/>
    <x v="96"/>
    <x v="96"/>
    <x v="98"/>
    <n v="0.29882264888564192"/>
    <x v="102"/>
    <x v="102"/>
  </r>
  <r>
    <x v="103"/>
    <n v="0"/>
    <n v="0"/>
    <n v="2200"/>
    <n v="3.8457212697438889E-2"/>
    <n v="0"/>
    <n v="0"/>
    <n v="0"/>
    <n v="0"/>
    <n v="3963.4670000000001"/>
    <n v="6.9283587926490919E-2"/>
    <m/>
    <n v="0"/>
    <m/>
    <n v="0"/>
    <n v="85.92"/>
    <n v="1.5019289613472497E-3"/>
    <n v="587.03100000000006"/>
    <n v="1.0261625466813751E-2"/>
    <n v="5.62"/>
    <n v="9.8240697890730253E-5"/>
    <m/>
    <n v="0"/>
    <n v="302.98199999999997"/>
    <n v="5.2962923715888311E-3"/>
    <n v="202.744"/>
    <n v="3.544076877786159E-3"/>
    <x v="103"/>
    <n v="0.12844296499935653"/>
    <x v="102"/>
    <n v="0.23535733760296962"/>
    <n v="-50003.302000000011"/>
    <n v="-7203.1319999999996"/>
    <x v="99"/>
    <n v="57206.434000000008"/>
    <x v="99"/>
    <x v="99"/>
    <x v="97"/>
    <x v="97"/>
    <x v="97"/>
    <x v="99"/>
    <n v="0.2523434900724314"/>
    <x v="103"/>
    <x v="103"/>
  </r>
  <r>
    <x v="104"/>
    <n v="0"/>
    <n v="0"/>
    <n v="1680"/>
    <n v="6.6936071071764039E-2"/>
    <n v="45.13"/>
    <n v="1.798110052064709E-3"/>
    <n v="0"/>
    <n v="0"/>
    <n v="2058.654"/>
    <n v="8.202274431914959E-2"/>
    <m/>
    <n v="0"/>
    <m/>
    <n v="0"/>
    <n v="379.87"/>
    <n v="1.5135122213113692E-2"/>
    <n v="49.448"/>
    <n v="1.9701516918789212E-3"/>
    <m/>
    <n v="0"/>
    <m/>
    <n v="0"/>
    <n v="88.07"/>
    <n v="3.5089641543394391E-3"/>
    <n v="-154.51000000000002"/>
    <n v="-6.1561263936299182E-3"/>
    <x v="104"/>
    <n v="0.16521503710868043"/>
    <x v="103"/>
    <n v="0.47542523828544048"/>
    <n v="-21991.748"/>
    <n v="-3106.8270000000002"/>
    <x v="100"/>
    <n v="25098.575000000001"/>
    <x v="100"/>
    <x v="100"/>
    <x v="98"/>
    <x v="98"/>
    <x v="98"/>
    <x v="100"/>
    <n v="0.21261173378483228"/>
    <x v="104"/>
    <x v="104"/>
  </r>
  <r>
    <x v="105"/>
    <n v="0"/>
    <n v="0"/>
    <n v="600"/>
    <n v="2.6034646126025129E-2"/>
    <n v="91.28"/>
    <n v="3.9607374973059566E-3"/>
    <n v="0"/>
    <n v="0"/>
    <n v="2874.3759999999997"/>
    <n v="0.124722269988566"/>
    <m/>
    <n v="0"/>
    <m/>
    <n v="0"/>
    <n v="31.02"/>
    <n v="1.3459912047154993E-3"/>
    <n v="2515.4790000000003"/>
    <n v="0.10914934267074596"/>
    <m/>
    <n v="0"/>
    <m/>
    <n v="0"/>
    <n v="89.67"/>
    <n v="3.8908778635344558E-3"/>
    <n v="81.421000000000006"/>
    <n v="3.5329448703784873E-3"/>
    <x v="105"/>
    <n v="0.27263681022127151"/>
    <x v="104"/>
    <n v="0.58145331729772698"/>
    <n v="-20161.513999999999"/>
    <n v="-2884.6990000000001"/>
    <x v="101"/>
    <n v="23046.213"/>
    <x v="101"/>
    <x v="101"/>
    <x v="99"/>
    <x v="99"/>
    <x v="99"/>
    <x v="101"/>
    <n v="0.19065104385792456"/>
    <x v="105"/>
    <x v="105"/>
  </r>
  <r>
    <x v="106"/>
    <n v="0"/>
    <n v="0"/>
    <n v="3230"/>
    <n v="4.1215350076548259E-2"/>
    <n v="50"/>
    <n v="6.3800851511684612E-4"/>
    <n v="0"/>
    <n v="0"/>
    <n v="6034.826"/>
    <n v="7.700540750497073E-2"/>
    <m/>
    <n v="0"/>
    <m/>
    <n v="0"/>
    <n v="177.81"/>
    <n v="2.2688858814585281E-3"/>
    <n v="93.927999999999997"/>
    <n v="1.1985372761579025E-3"/>
    <m/>
    <n v="0"/>
    <m/>
    <n v="0"/>
    <n v="305.78999999999996"/>
    <n v="3.9019324767516073E-3"/>
    <n v="623.95699999999999"/>
    <n v="7.96179758133524E-3"/>
    <x v="106"/>
    <n v="0.13418991931233912"/>
    <x v="105"/>
    <n v="0.45062268355058371"/>
    <n v="-68731.619000000006"/>
    <n v="-9637.241"/>
    <x v="102"/>
    <n v="78368.86"/>
    <x v="102"/>
    <x v="102"/>
    <x v="100"/>
    <x v="100"/>
    <x v="100"/>
    <x v="102"/>
    <n v="0.23121130882791063"/>
    <x v="106"/>
    <x v="106"/>
  </r>
  <r>
    <x v="107"/>
    <n v="0"/>
    <n v="0"/>
    <n v="1400"/>
    <n v="3.7284028933471706E-2"/>
    <n v="0"/>
    <n v="0"/>
    <n v="0"/>
    <n v="0"/>
    <n v="4979.4400000000005"/>
    <n v="0.13260970359463312"/>
    <m/>
    <n v="0"/>
    <m/>
    <n v="0"/>
    <m/>
    <n v="0"/>
    <n v="166.94900000000001"/>
    <n v="4.446093818867263E-3"/>
    <m/>
    <n v="0"/>
    <m/>
    <n v="0"/>
    <n v="246.23999999999998"/>
    <n v="6.5577280604129087E-3"/>
    <n v="90.603000000000009"/>
    <n v="2.412889195328098E-3"/>
    <x v="107"/>
    <n v="0.18331044360271309"/>
    <x v="106"/>
    <n v="0.42414313977862339"/>
    <n v="-32561.026000000002"/>
    <n v="-4988.5640000000003"/>
    <x v="103"/>
    <n v="37549.590000000004"/>
    <x v="103"/>
    <x v="103"/>
    <x v="101"/>
    <x v="101"/>
    <x v="101"/>
    <x v="103"/>
    <n v="0.24160464363674533"/>
    <x v="107"/>
    <x v="107"/>
  </r>
  <r>
    <x v="108"/>
    <n v="0"/>
    <n v="0"/>
    <n v="398.56"/>
    <n v="1.2525004205536653E-2"/>
    <n v="9.66"/>
    <n v="3.0357170971869748E-4"/>
    <n v="0"/>
    <n v="0"/>
    <n v="2206.4009999999998"/>
    <n v="6.9337569761391701E-2"/>
    <m/>
    <n v="0"/>
    <m/>
    <n v="0"/>
    <n v="70.77"/>
    <n v="2.2239927429391531E-3"/>
    <n v="202.87099999999998"/>
    <n v="6.3753515861637543E-3"/>
    <m/>
    <n v="0"/>
    <m/>
    <n v="0"/>
    <n v="182.17000000000002"/>
    <n v="5.724809353980862E-3"/>
    <n v="43.048999999999999"/>
    <n v="1.3528424981035412E-3"/>
    <x v="108"/>
    <n v="9.7843141857834354E-2"/>
    <x v="107"/>
    <n v="0.51555724876919118"/>
    <n v="-27918.101999999999"/>
    <n v="-3903.0450000000001"/>
    <x v="104"/>
    <n v="31821.146999999997"/>
    <x v="104"/>
    <x v="104"/>
    <x v="102"/>
    <x v="102"/>
    <x v="102"/>
    <x v="104"/>
    <n v="0.22234458816494188"/>
    <x v="108"/>
    <x v="108"/>
  </r>
  <r>
    <x v="109"/>
    <n v="0"/>
    <n v="0"/>
    <n v="1700"/>
    <n v="2.855543752641378E-2"/>
    <n v="0"/>
    <n v="0"/>
    <n v="47.2"/>
    <n v="7.9283332426278259E-4"/>
    <n v="5675.4560000000001"/>
    <n v="9.5332428965829552E-2"/>
    <m/>
    <n v="0"/>
    <n v="2.2799999999999998"/>
    <n v="3.8297880917778477E-5"/>
    <n v="118.69"/>
    <n v="1.9936734588294419E-3"/>
    <n v="1711.4199999999998"/>
    <n v="2.8747262877326509E-2"/>
    <m/>
    <n v="0"/>
    <m/>
    <n v="0"/>
    <n v="237.29999999999998"/>
    <n v="3.986003132363523E-3"/>
    <n v="170.643"/>
    <n v="2.8663444269528392E-3"/>
    <x v="109"/>
    <n v="0.16231228159289621"/>
    <x v="108"/>
    <n v="0.4872516432814431"/>
    <n v="-59522.33"/>
    <n v="-10.99"/>
    <x v="105"/>
    <n v="59533.32"/>
    <x v="105"/>
    <x v="105"/>
    <x v="103"/>
    <x v="103"/>
    <x v="103"/>
    <x v="105"/>
    <n v="0.22637657498203809"/>
    <x v="109"/>
    <x v="109"/>
  </r>
  <r>
    <x v="110"/>
    <n v="0"/>
    <n v="0"/>
    <n v="600"/>
    <n v="1.4087627484810961E-2"/>
    <n v="133.22999999999999"/>
    <n v="3.1281576830022736E-3"/>
    <n v="0"/>
    <n v="0"/>
    <n v="3115.6039999999998"/>
    <n v="7.3152447570311613E-2"/>
    <m/>
    <n v="0"/>
    <m/>
    <n v="0"/>
    <n v="55.72"/>
    <n v="1.308271005756111E-3"/>
    <n v="104.88300000000001"/>
    <n v="2.4625877224823799E-3"/>
    <m/>
    <n v="0"/>
    <m/>
    <n v="0"/>
    <n v="80.930000000000007"/>
    <n v="1.9001861539095853E-3"/>
    <n v="21.337000000000003"/>
    <n v="5.0097951273901913E-4"/>
    <x v="110"/>
    <n v="9.6540257133011939E-2"/>
    <x v="109"/>
    <n v="0.51444845858345545"/>
    <n v="-36794.833999999988"/>
    <n v="-5795.73"/>
    <x v="106"/>
    <n v="42590.563999999984"/>
    <x v="106"/>
    <x v="106"/>
    <x v="104"/>
    <x v="104"/>
    <x v="104"/>
    <x v="106"/>
    <n v="0.24681928223914706"/>
    <x v="110"/>
    <x v="110"/>
  </r>
  <r>
    <x v="111"/>
    <n v="0"/>
    <n v="0"/>
    <n v="1365"/>
    <n v="1.7466820207480745E-2"/>
    <n v="0"/>
    <n v="0"/>
    <n v="0"/>
    <n v="0"/>
    <n v="4982.6630000000005"/>
    <n v="6.3759178590085452E-2"/>
    <m/>
    <n v="0"/>
    <m/>
    <n v="0"/>
    <m/>
    <n v="0"/>
    <n v="2155.6479999999997"/>
    <n v="2.7584114319864798E-2"/>
    <m/>
    <n v="0"/>
    <m/>
    <n v="0"/>
    <n v="370.19"/>
    <n v="4.7370272326793389E-3"/>
    <n v="445.07100000000003"/>
    <n v="5.6952198802664201E-3"/>
    <x v="111"/>
    <n v="0.11924236023037675"/>
    <x v="110"/>
    <n v="0.48242395138424748"/>
    <n v="-68257.936999999991"/>
    <n v="-9890.2309999999998"/>
    <x v="107"/>
    <n v="78148.167999999991"/>
    <x v="107"/>
    <x v="107"/>
    <x v="105"/>
    <x v="105"/>
    <x v="105"/>
    <x v="107"/>
    <n v="0.23084795698450181"/>
    <x v="111"/>
    <x v="111"/>
  </r>
  <r>
    <x v="112"/>
    <n v="0"/>
    <n v="0"/>
    <n v="780"/>
    <n v="1.7898710235003411E-2"/>
    <n v="527.97"/>
    <n v="1.2115361593300962E-2"/>
    <n v="0"/>
    <n v="0"/>
    <n v="3393.2339999999999"/>
    <n v="7.7864759135335332E-2"/>
    <m/>
    <n v="0"/>
    <m/>
    <n v="0"/>
    <n v="36.520000000000003"/>
    <n v="8.3802679202862125E-4"/>
    <n v="2442.5050000000001"/>
    <n v="5.6048319541726933E-2"/>
    <m/>
    <n v="0"/>
    <m/>
    <n v="0"/>
    <n v="245.31"/>
    <n v="5.6291443689085729E-3"/>
    <n v="28.087"/>
    <n v="6.4451419791094968E-4"/>
    <x v="112"/>
    <n v="0.17103883586421478"/>
    <x v="111"/>
    <n v="0.52218888192241508"/>
    <n v="-38584.902000000002"/>
    <n v="-4993.6570000000002"/>
    <x v="108"/>
    <n v="43578.559000000001"/>
    <x v="108"/>
    <x v="108"/>
    <x v="106"/>
    <x v="106"/>
    <x v="106"/>
    <x v="108"/>
    <n v="0.22641995279947863"/>
    <x v="112"/>
    <x v="112"/>
  </r>
  <r>
    <x v="113"/>
    <n v="0"/>
    <n v="0"/>
    <n v="3000"/>
    <n v="0"/>
    <n v="0"/>
    <n v="0"/>
    <n v="0"/>
    <n v="0"/>
    <n v="7944.6330000000007"/>
    <n v="0"/>
    <m/>
    <n v="0"/>
    <m/>
    <n v="0"/>
    <n v="79.33"/>
    <n v="0"/>
    <n v="886.66000000000008"/>
    <n v="0"/>
    <m/>
    <n v="0"/>
    <m/>
    <n v="0"/>
    <n v="310.20000000000005"/>
    <n v="0"/>
    <n v="57.445"/>
    <n v="0"/>
    <x v="113"/>
    <n v="0.12194098115814607"/>
    <x v="112"/>
    <n v="0.49292668860265315"/>
    <n v="-87945.262000000032"/>
    <n v="-12744.989"/>
    <x v="109"/>
    <n v="100690.25100000003"/>
    <x v="109"/>
    <x v="109"/>
    <x v="107"/>
    <x v="107"/>
    <x v="107"/>
    <x v="109"/>
    <n v="0"/>
    <x v="113"/>
    <x v="113"/>
  </r>
  <r>
    <x v="114"/>
    <n v="0"/>
    <n v="0"/>
    <n v="650"/>
    <n v="2.1415385669680528E-2"/>
    <n v="0"/>
    <n v="0"/>
    <n v="0"/>
    <n v="0"/>
    <n v="2081.828"/>
    <n v="6.8589460796830273E-2"/>
    <m/>
    <n v="0"/>
    <n v="85"/>
    <n v="2.8004735106505309E-3"/>
    <n v="303.83999999999997"/>
    <n v="1.0010539664424202E-2"/>
    <n v="31.923000000000002"/>
    <n v="1.0517590103587869E-3"/>
    <m/>
    <n v="0"/>
    <m/>
    <n v="0"/>
    <n v="130.85000000000002"/>
    <n v="4.3110818690426118E-3"/>
    <n v="80.86"/>
    <n v="2.6640739773082576E-3"/>
    <x v="114"/>
    <n v="0.1108427744982952"/>
    <x v="113"/>
    <n v="0.47428536034351609"/>
    <n v="-26499.174999999996"/>
    <n v="-3852.835"/>
    <x v="110"/>
    <n v="30352.009999999995"/>
    <x v="110"/>
    <x v="110"/>
    <x v="108"/>
    <x v="108"/>
    <x v="108"/>
    <x v="110"/>
    <n v="0.22570734383932861"/>
    <x v="114"/>
    <x v="114"/>
  </r>
  <r>
    <x v="115"/>
    <n v="-2149.59"/>
    <n v="-5.12585613951703E-2"/>
    <n v="1080"/>
    <n v="2.5753397767380719E-2"/>
    <n v="60"/>
    <n v="1.4307443204100399E-3"/>
    <n v="0"/>
    <n v="0"/>
    <n v="3258.7429999999999"/>
    <n v="7.770713398209958E-2"/>
    <m/>
    <n v="0"/>
    <m/>
    <n v="0"/>
    <n v="68.39"/>
    <n v="1.6308100678807105E-3"/>
    <n v="96.8"/>
    <n v="2.3082675035948643E-3"/>
    <m/>
    <n v="0"/>
    <m/>
    <n v="0"/>
    <n v="117.37"/>
    <n v="2.7987743481087731E-3"/>
    <n v="286.71899999999999"/>
    <n v="6.8370263467274371E-3"/>
    <x v="115"/>
    <n v="6.7207592941031818E-2"/>
    <x v="114"/>
    <n v="0.48285927766393028"/>
    <n v="-37150.006000000001"/>
    <n v="-4786.2079999999996"/>
    <x v="111"/>
    <n v="41936.214"/>
    <x v="111"/>
    <x v="111"/>
    <x v="109"/>
    <x v="109"/>
    <x v="109"/>
    <x v="111"/>
    <n v="0.26625927017538908"/>
    <x v="115"/>
    <x v="115"/>
  </r>
  <r>
    <x v="116"/>
    <n v="0"/>
    <n v="0"/>
    <n v="0"/>
    <n v="0"/>
    <n v="0"/>
    <n v="0"/>
    <n v="0"/>
    <n v="0"/>
    <n v="0"/>
    <n v="0"/>
    <m/>
    <n v="0"/>
    <m/>
    <n v="0"/>
    <n v="45.61"/>
    <n v="0"/>
    <m/>
    <n v="0"/>
    <m/>
    <n v="0"/>
    <m/>
    <n v="0"/>
    <n v="28.24"/>
    <n v="0"/>
    <m/>
    <n v="0"/>
    <x v="116"/>
    <n v="0"/>
    <x v="0"/>
    <n v="0"/>
    <n v="0"/>
    <n v="0"/>
    <x v="0"/>
    <n v="0"/>
    <x v="0"/>
    <x v="0"/>
    <x v="0"/>
    <x v="0"/>
    <x v="0"/>
    <x v="0"/>
    <n v="0"/>
    <x v="116"/>
    <x v="116"/>
  </r>
  <r>
    <x v="117"/>
    <n v="0"/>
    <n v="0"/>
    <n v="3750"/>
    <n v="5.737751873536643E-2"/>
    <n v="0"/>
    <n v="0"/>
    <n v="0"/>
    <n v="0"/>
    <n v="7538.7890000000007"/>
    <n v="0.11534853522385984"/>
    <m/>
    <n v="0"/>
    <m/>
    <n v="0"/>
    <n v="298.27"/>
    <n v="4.563731336852732E-3"/>
    <n v="2407.335"/>
    <n v="3.6833842417280896E-2"/>
    <m/>
    <n v="0"/>
    <m/>
    <n v="0"/>
    <n v="92.010999999999996"/>
    <n v="1.4078301003626135E-3"/>
    <n v="205.47700000000003"/>
    <n v="3.1439361112498374E-3"/>
    <x v="117"/>
    <n v="0.21867539392497237"/>
    <x v="115"/>
    <n v="0.54852676870868211"/>
    <n v="-56930.516000000003"/>
    <n v="-8426.0920000000006"/>
    <x v="112"/>
    <n v="65356.608000000007"/>
    <x v="112"/>
    <x v="112"/>
    <x v="110"/>
    <x v="110"/>
    <x v="110"/>
    <x v="112"/>
    <n v="0.23884871795409324"/>
    <x v="117"/>
    <x v="117"/>
  </r>
  <r>
    <x v="118"/>
    <n v="0"/>
    <n v="0"/>
    <n v="600"/>
    <n v="8.9381115325563101E-3"/>
    <n v="100"/>
    <n v="1.4896852554260518E-3"/>
    <n v="0"/>
    <n v="0"/>
    <n v="3691.6010000000001"/>
    <n v="5.4993235786160687E-2"/>
    <m/>
    <n v="0"/>
    <m/>
    <n v="0"/>
    <n v="82.4"/>
    <n v="1.2275006504710668E-3"/>
    <n v="94.683999999999997"/>
    <n v="1.4104935872476028E-3"/>
    <m/>
    <n v="0"/>
    <m/>
    <n v="0"/>
    <n v="120.31"/>
    <n v="1.7922403308030829E-3"/>
    <n v="99.700999999999993"/>
    <n v="1.4852310965123279E-3"/>
    <x v="118"/>
    <n v="7.1336498239177121E-2"/>
    <x v="116"/>
    <n v="0.52537891857609809"/>
    <n v="-58628.650999999998"/>
    <n v="-8499.6229999999996"/>
    <x v="113"/>
    <n v="67128.274000000005"/>
    <x v="113"/>
    <x v="113"/>
    <x v="111"/>
    <x v="111"/>
    <x v="111"/>
    <x v="113"/>
    <n v="0.24540219207943617"/>
    <x v="118"/>
    <x v="118"/>
  </r>
  <r>
    <x v="119"/>
    <n v="0"/>
    <n v="0"/>
    <n v="600"/>
    <n v="1.5990914601959751E-2"/>
    <n v="40"/>
    <n v="1.0660609734639834E-3"/>
    <n v="0"/>
    <n v="0"/>
    <n v="2327.8420000000001"/>
    <n v="6.2040537714758655E-2"/>
    <m/>
    <n v="0"/>
    <m/>
    <n v="0"/>
    <n v="23.18"/>
    <n v="6.1778233412237841E-4"/>
    <n v="6147.5740000000005"/>
    <n v="0.16384221807204688"/>
    <m/>
    <n v="0"/>
    <m/>
    <n v="0"/>
    <n v="60.35"/>
    <n v="1.6084194937137852E-3"/>
    <n v="518.48400000000004"/>
    <n v="1.3818388944137502E-2"/>
    <x v="119"/>
    <n v="0.25898432213420292"/>
    <x v="117"/>
    <n v="0.54728833266091548"/>
    <n v="-32773.269"/>
    <n v="-4748.0370000000003"/>
    <x v="114"/>
    <n v="37521.305999999997"/>
    <x v="114"/>
    <x v="114"/>
    <x v="112"/>
    <x v="112"/>
    <x v="112"/>
    <x v="114"/>
    <n v="0.24343518474415432"/>
    <x v="119"/>
    <x v="119"/>
  </r>
  <r>
    <x v="120"/>
    <n v="0"/>
    <n v="0"/>
    <n v="830"/>
    <n v="1.3368588179481449E-2"/>
    <n v="0"/>
    <n v="0"/>
    <n v="0"/>
    <n v="0"/>
    <n v="4277.3159999999998"/>
    <n v="6.8893585683743222E-2"/>
    <m/>
    <n v="0"/>
    <m/>
    <n v="0"/>
    <n v="50.78"/>
    <n v="8.1789988886032288E-4"/>
    <n v="12.241999999999999"/>
    <n v="1.9717862228097819E-4"/>
    <m/>
    <n v="0"/>
    <m/>
    <n v="0"/>
    <n v="721.31"/>
    <n v="1.1617947397279232E-2"/>
    <n v="7.0439999999999969"/>
    <n v="1.1345582546538226E-4"/>
    <x v="120"/>
    <n v="9.5008655597110581E-2"/>
    <x v="118"/>
    <n v="0.45722277276824391"/>
    <n v="-55327.262999999992"/>
    <n v="-6758.5749999999998"/>
    <x v="115"/>
    <n v="62085.837999999989"/>
    <x v="115"/>
    <x v="115"/>
    <x v="113"/>
    <x v="113"/>
    <x v="113"/>
    <x v="115"/>
    <n v="0.2436108058147195"/>
    <x v="120"/>
    <x v="120"/>
  </r>
  <r>
    <x v="121"/>
    <n v="0"/>
    <n v="0"/>
    <n v="2000"/>
    <n v="1.5459117629121697E-2"/>
    <n v="0"/>
    <n v="0"/>
    <n v="0"/>
    <n v="0"/>
    <n v="6254.6580000000004"/>
    <n v="4.8345746875963533E-2"/>
    <m/>
    <n v="0"/>
    <n v="77.210000000000008"/>
    <n v="5.967992360722432E-4"/>
    <n v="266.95"/>
    <n v="2.0634057255470187E-3"/>
    <n v="496.274"/>
    <n v="3.8359790711373709E-3"/>
    <m/>
    <n v="0"/>
    <m/>
    <n v="0"/>
    <n v="659.48"/>
    <n v="5.0974894470265887E-3"/>
    <n v="572.53899999999999"/>
    <n v="4.4254738741298537E-3"/>
    <x v="121"/>
    <n v="7.9824011858998317E-2"/>
    <x v="119"/>
    <n v="0.45907517838469064"/>
    <n v="-113243.07800000002"/>
    <n v="-16130.412"/>
    <x v="116"/>
    <n v="129373.49000000002"/>
    <x v="116"/>
    <x v="116"/>
    <x v="114"/>
    <x v="114"/>
    <x v="114"/>
    <x v="116"/>
    <n v="0.22966992323030203"/>
    <x v="121"/>
    <x v="121"/>
  </r>
  <r>
    <x v="122"/>
    <n v="0"/>
    <n v="0"/>
    <n v="0"/>
    <n v="0"/>
    <n v="0"/>
    <n v="0"/>
    <n v="0"/>
    <n v="0"/>
    <n v="363.798"/>
    <n v="0.12126559578134741"/>
    <n v="281.36"/>
    <n v="9.3786354045486534E-2"/>
    <m/>
    <n v="0"/>
    <m/>
    <n v="0"/>
    <m/>
    <n v="0"/>
    <m/>
    <n v="0"/>
    <m/>
    <n v="0"/>
    <m/>
    <n v="0"/>
    <n v="1.216"/>
    <n v="4.0533198222672594E-4"/>
    <x v="122"/>
    <n v="0.21545728180906065"/>
    <x v="120"/>
    <n v="0.62872690424365252"/>
    <n v="-2670.8789999999999"/>
    <n v="-329.13099999999997"/>
    <x v="117"/>
    <n v="3000.0099999999998"/>
    <x v="117"/>
    <x v="117"/>
    <x v="115"/>
    <x v="115"/>
    <x v="115"/>
    <x v="117"/>
    <n v="0.23675246115469725"/>
    <x v="122"/>
    <x v="122"/>
  </r>
  <r>
    <x v="123"/>
    <n v="0"/>
    <n v="0"/>
    <n v="0"/>
    <n v="0"/>
    <n v="0"/>
    <n v="0"/>
    <n v="0"/>
    <n v="0"/>
    <n v="823.899"/>
    <n v="7.7746344105604548E-2"/>
    <n v="262.5"/>
    <n v="2.4770530523427259E-2"/>
    <m/>
    <n v="0"/>
    <m/>
    <n v="0"/>
    <m/>
    <n v="0"/>
    <m/>
    <n v="0"/>
    <m/>
    <n v="0"/>
    <m/>
    <n v="0"/>
    <n v="3.5030000000000001"/>
    <n v="3.3055683208977406E-4"/>
    <x v="123"/>
    <n v="0.10284743146112159"/>
    <x v="121"/>
    <n v="0.6466172891697578"/>
    <n v="-9370.8880000000008"/>
    <n v="-1226.3820000000001"/>
    <x v="118"/>
    <n v="10597.27"/>
    <x v="118"/>
    <x v="118"/>
    <x v="116"/>
    <x v="116"/>
    <x v="116"/>
    <x v="118"/>
    <n v="0.27117322344802236"/>
    <x v="123"/>
    <x v="123"/>
  </r>
  <r>
    <x v="124"/>
    <n v="0"/>
    <n v="0"/>
    <n v="0"/>
    <n v="0"/>
    <n v="0"/>
    <n v="0"/>
    <n v="0"/>
    <n v="0"/>
    <n v="447.93299999999999"/>
    <n v="0.13281789514415712"/>
    <n v="152.5"/>
    <n v="4.5218211226866437E-2"/>
    <m/>
    <n v="0"/>
    <m/>
    <n v="0"/>
    <m/>
    <n v="0"/>
    <m/>
    <n v="0"/>
    <m/>
    <n v="0"/>
    <m/>
    <n v="0"/>
    <n v="1.5169999999999999"/>
    <n v="4.4981000938463199E-4"/>
    <x v="124"/>
    <n v="0.1784859163804082"/>
    <x v="122"/>
    <n v="0.59875523901160399"/>
    <n v="-3115.5600000000004"/>
    <n v="-256.97500000000002"/>
    <x v="119"/>
    <n v="3372.5350000000003"/>
    <x v="119"/>
    <x v="119"/>
    <x v="117"/>
    <x v="117"/>
    <x v="117"/>
    <x v="119"/>
    <n v="0.21221122828760866"/>
    <x v="124"/>
    <x v="124"/>
  </r>
  <r>
    <x v="125"/>
    <n v="0"/>
    <n v="0"/>
    <n v="0"/>
    <n v="0"/>
    <n v="0"/>
    <n v="0"/>
    <n v="0"/>
    <n v="0"/>
    <n v="355.77699999999999"/>
    <n v="7.809919985950893E-2"/>
    <n v="111.15"/>
    <n v="2.4399345838501132E-2"/>
    <m/>
    <n v="0"/>
    <m/>
    <n v="0"/>
    <m/>
    <n v="0"/>
    <m/>
    <n v="0"/>
    <m/>
    <n v="0"/>
    <m/>
    <n v="0"/>
    <n v="0.64700000000000002"/>
    <n v="1.4202768112919688E-4"/>
    <x v="125"/>
    <n v="0.10264057337913925"/>
    <x v="123"/>
    <n v="0.539935242401958"/>
    <n v="-3966.5840000000003"/>
    <n v="-588.86599999999999"/>
    <x v="120"/>
    <n v="4555.4500000000007"/>
    <x v="120"/>
    <x v="120"/>
    <x v="118"/>
    <x v="118"/>
    <x v="118"/>
    <x v="120"/>
    <n v="0.22517305979964528"/>
    <x v="125"/>
    <x v="125"/>
  </r>
  <r>
    <x v="126"/>
    <n v="0"/>
    <n v="0"/>
    <n v="0"/>
    <n v="0"/>
    <n v="0"/>
    <n v="0"/>
    <n v="0"/>
    <n v="0"/>
    <n v="639.27700000000004"/>
    <n v="0.23519528017868574"/>
    <n v="79.14"/>
    <n v="2.9116258638025749E-2"/>
    <m/>
    <n v="0"/>
    <m/>
    <n v="0"/>
    <n v="52.474000000000004"/>
    <n v="1.9305617333481972E-2"/>
    <m/>
    <n v="0"/>
    <m/>
    <n v="0"/>
    <m/>
    <n v="0"/>
    <n v="0.86699999999999999"/>
    <n v="3.1897644982522525E-4"/>
    <x v="126"/>
    <n v="0.28393613260001865"/>
    <x v="124"/>
    <n v="0.65328510792036576"/>
    <n v="-2389.6549999999997"/>
    <n v="-328.41399999999999"/>
    <x v="121"/>
    <n v="2718.0689999999995"/>
    <x v="121"/>
    <x v="121"/>
    <x v="119"/>
    <x v="119"/>
    <x v="119"/>
    <x v="121"/>
    <n v="0.19822225367020477"/>
    <x v="126"/>
    <x v="126"/>
  </r>
  <r>
    <x v="127"/>
    <n v="0"/>
    <n v="0"/>
    <n v="0"/>
    <n v="0"/>
    <n v="0"/>
    <n v="0"/>
    <n v="0"/>
    <n v="0"/>
    <n v="459.8"/>
    <n v="0"/>
    <n v="216.32"/>
    <n v="0"/>
    <m/>
    <n v="0"/>
    <m/>
    <n v="0"/>
    <n v="71"/>
    <n v="0"/>
    <m/>
    <n v="0"/>
    <m/>
    <n v="0"/>
    <m/>
    <n v="0"/>
    <n v="125.33499999999999"/>
    <n v="0"/>
    <x v="127"/>
    <n v="0"/>
    <x v="125"/>
    <n v="0"/>
    <n v="0"/>
    <n v="0"/>
    <x v="0"/>
    <n v="0"/>
    <x v="0"/>
    <x v="0"/>
    <x v="0"/>
    <x v="0"/>
    <x v="0"/>
    <x v="0"/>
    <n v="0"/>
    <x v="127"/>
    <x v="127"/>
  </r>
  <r>
    <x v="128"/>
    <n v="0"/>
    <n v="0"/>
    <n v="0"/>
    <n v="0"/>
    <n v="0"/>
    <n v="0"/>
    <n v="0"/>
    <n v="0"/>
    <n v="810.327"/>
    <n v="0.65122859749016504"/>
    <n v="63.27"/>
    <n v="5.0847661947834327E-2"/>
    <m/>
    <n v="0"/>
    <m/>
    <n v="0"/>
    <m/>
    <n v="0"/>
    <m/>
    <n v="0"/>
    <m/>
    <n v="0"/>
    <m/>
    <n v="0"/>
    <n v="1.149"/>
    <n v="9.2340704248556401E-4"/>
    <x v="128"/>
    <n v="0.70299966648048495"/>
    <x v="126"/>
    <n v="0.40023386549117773"/>
    <n v="-1075.0500000000002"/>
    <n v="-169.255"/>
    <x v="122"/>
    <n v="1244.3050000000003"/>
    <x v="122"/>
    <x v="122"/>
    <x v="120"/>
    <x v="120"/>
    <x v="120"/>
    <x v="122"/>
    <n v="0.20680124896160712"/>
    <x v="128"/>
    <x v="128"/>
  </r>
  <r>
    <x v="129"/>
    <n v="0"/>
    <n v="0"/>
    <n v="0"/>
    <n v="0"/>
    <n v="19.93"/>
    <n v="9.4685272425634268E-3"/>
    <n v="0"/>
    <n v="0"/>
    <n v="100"/>
    <n v="4.7508917423800437E-2"/>
    <n v="18.05"/>
    <n v="8.575359594995979E-3"/>
    <m/>
    <n v="0"/>
    <m/>
    <n v="0"/>
    <n v="146.32400000000001"/>
    <n v="6.9516948331201756E-2"/>
    <m/>
    <n v="0"/>
    <m/>
    <n v="0"/>
    <m/>
    <n v="0"/>
    <n v="52.286000000000001"/>
    <n v="2.4840512564208297E-2"/>
    <x v="129"/>
    <n v="0.1599102651567699"/>
    <x v="127"/>
    <n v="0.58312445245972666"/>
    <n v="-1815.5850000000003"/>
    <n v="-289.28300000000002"/>
    <x v="123"/>
    <n v="2104.8680000000004"/>
    <x v="123"/>
    <x v="123"/>
    <x v="121"/>
    <x v="121"/>
    <x v="121"/>
    <x v="123"/>
    <n v="0.22860287595943737"/>
    <x v="129"/>
    <x v="129"/>
  </r>
  <r>
    <x v="130"/>
    <n v="0"/>
    <n v="0"/>
    <n v="400"/>
    <n v="7.88755874850945E-3"/>
    <n v="20"/>
    <n v="3.9437793742547249E-4"/>
    <n v="0"/>
    <n v="0"/>
    <n v="3580.9720000000002"/>
    <n v="7.0612817566918465E-2"/>
    <m/>
    <n v="0"/>
    <m/>
    <n v="0"/>
    <n v="68.14"/>
    <n v="1.3436456328085849E-3"/>
    <n v="-1754.0980000000002"/>
    <n v="-3.4588877564107327E-2"/>
    <m/>
    <n v="0"/>
    <m/>
    <n v="0"/>
    <n v="168.78"/>
    <n v="3.3281554139335625E-3"/>
    <n v="201.60000000000002"/>
    <n v="3.9753296092487631E-3"/>
    <x v="130"/>
    <n v="5.2953007344736951E-2"/>
    <x v="128"/>
    <n v="0.46638365842958407"/>
    <n v="-44351.743999999992"/>
    <n v="-6361.0320000000002"/>
    <x v="124"/>
    <n v="50712.775999999991"/>
    <x v="124"/>
    <x v="124"/>
    <x v="122"/>
    <x v="122"/>
    <x v="122"/>
    <x v="124"/>
    <n v="0.2551392219576018"/>
    <x v="130"/>
    <x v="130"/>
  </r>
  <r>
    <x v="131"/>
    <n v="0"/>
    <n v="0"/>
    <n v="350"/>
    <n v="9.891124716400258E-3"/>
    <n v="0"/>
    <n v="0"/>
    <n v="0"/>
    <n v="0"/>
    <n v="3493.2809999999999"/>
    <n v="9.8721365829804036E-2"/>
    <m/>
    <n v="0"/>
    <m/>
    <n v="0"/>
    <n v="52.85"/>
    <n v="1.4935598321764391E-3"/>
    <m/>
    <n v="0"/>
    <m/>
    <n v="0"/>
    <m/>
    <n v="0"/>
    <n v="290.04000000000002"/>
    <n v="8.196633750699232E-3"/>
    <n v="677.07900000000006"/>
    <n v="1.9134493805301633E-2"/>
    <x v="131"/>
    <n v="0.13743717793438157"/>
    <x v="129"/>
    <n v="0.51791214861284895"/>
    <n v="-30863.508000000002"/>
    <n v="-4521.75"/>
    <x v="125"/>
    <n v="35385.258000000002"/>
    <x v="125"/>
    <x v="125"/>
    <x v="123"/>
    <x v="123"/>
    <x v="123"/>
    <x v="125"/>
    <n v="0.26817707322271922"/>
    <x v="131"/>
    <x v="131"/>
  </r>
  <r>
    <x v="132"/>
    <n v="0"/>
    <n v="0"/>
    <n v="1900"/>
    <n v="1.2242870560859173E-2"/>
    <n v="20"/>
    <n v="1.2887232169325445E-4"/>
    <n v="0"/>
    <n v="0"/>
    <n v="7704.4339999999993"/>
    <n v="4.9644414845622355E-2"/>
    <m/>
    <n v="0"/>
    <m/>
    <n v="0"/>
    <n v="163.53"/>
    <n v="1.0537245383248949E-3"/>
    <n v="6535.2030000000004"/>
    <n v="4.2110339167336079E-2"/>
    <m/>
    <n v="0"/>
    <m/>
    <n v="0"/>
    <n v="209.29000000000002"/>
    <n v="1.3485844103590613E-3"/>
    <n v="1053.1849999999999"/>
    <n v="6.7863198061255091E-3"/>
    <x v="132"/>
    <n v="0.1133151256503203"/>
    <x v="130"/>
    <n v="0.53551142549141673"/>
    <n v="-138174.90400000001"/>
    <n v="-17017.457999999999"/>
    <x v="126"/>
    <n v="155192.36200000002"/>
    <x v="126"/>
    <x v="126"/>
    <x v="124"/>
    <x v="124"/>
    <x v="124"/>
    <x v="126"/>
    <n v="0.22885344451294248"/>
    <x v="132"/>
    <x v="132"/>
  </r>
  <r>
    <x v="133"/>
    <n v="0"/>
    <n v="0"/>
    <n v="1560"/>
    <n v="1.5079054116067057E-2"/>
    <n v="20.67"/>
    <n v="1.9979746703788852E-4"/>
    <n v="0"/>
    <n v="0"/>
    <n v="5882.6759999999995"/>
    <n v="5.6862301122621077E-2"/>
    <m/>
    <n v="0"/>
    <m/>
    <n v="0"/>
    <n v="182.38"/>
    <n v="1.7628960831335319E-3"/>
    <n v="168.327"/>
    <n v="1.6270589373046278E-3"/>
    <m/>
    <n v="0"/>
    <m/>
    <n v="0"/>
    <n v="71.63000000000001"/>
    <n v="6.9237990149607909E-4"/>
    <n v="62.42"/>
    <n v="6.0335548584929848E-4"/>
    <x v="133"/>
    <n v="7.6826843113509555E-2"/>
    <x v="131"/>
    <n v="0.51112552428107105"/>
    <n v="-90898.308999999994"/>
    <n v="-12556.456"/>
    <x v="127"/>
    <n v="103454.765"/>
    <x v="127"/>
    <x v="127"/>
    <x v="125"/>
    <x v="125"/>
    <x v="125"/>
    <x v="127"/>
    <n v="0.23940929113010997"/>
    <x v="133"/>
    <x v="133"/>
  </r>
  <r>
    <x v="134"/>
    <n v="0"/>
    <n v="0"/>
    <n v="300"/>
    <n v="7.4455176110193077E-3"/>
    <n v="65.11"/>
    <n v="1.6159255055115571E-3"/>
    <n v="0"/>
    <n v="0"/>
    <n v="3046.1220000000003"/>
    <n v="7.5599849987711187E-2"/>
    <m/>
    <n v="0"/>
    <m/>
    <n v="0"/>
    <n v="44.57"/>
    <n v="1.1061557330771018E-3"/>
    <n v="2341.5940000000001"/>
    <n v="5.8114597882857152E-2"/>
    <n v="160"/>
    <n v="3.9709427258769643E-3"/>
    <m/>
    <n v="0"/>
    <n v="100.73"/>
    <n v="2.4999566298599162E-3"/>
    <n v="290.11199999999997"/>
    <n v="7.2001133505601106E-3"/>
    <x v="134"/>
    <n v="0.15755305942647327"/>
    <x v="132"/>
    <n v="0.52658865071312311"/>
    <n v="-35316.122999999992"/>
    <n v="-4976.576"/>
    <x v="128"/>
    <n v="40292.698999999993"/>
    <x v="128"/>
    <x v="128"/>
    <x v="126"/>
    <x v="126"/>
    <x v="126"/>
    <x v="128"/>
    <n v="0.23991363500256219"/>
    <x v="134"/>
    <x v="134"/>
  </r>
  <r>
    <x v="135"/>
    <n v="0"/>
    <n v="0"/>
    <n v="1480"/>
    <n v="0"/>
    <n v="0"/>
    <n v="0"/>
    <n v="0"/>
    <n v="0"/>
    <n v="3760.4809999999998"/>
    <n v="0"/>
    <m/>
    <n v="0"/>
    <m/>
    <n v="0"/>
    <n v="103.87"/>
    <n v="0"/>
    <n v="365.52699999999999"/>
    <n v="0"/>
    <m/>
    <n v="0"/>
    <m/>
    <n v="0"/>
    <n v="328.38"/>
    <n v="0"/>
    <n v="50.388000000000005"/>
    <n v="0"/>
    <x v="135"/>
    <n v="9.8075533085769356E-2"/>
    <x v="133"/>
    <n v="0.43554991663175552"/>
    <n v="-54368.21"/>
    <n v="-7712.982"/>
    <x v="129"/>
    <n v="62081.191999999995"/>
    <x v="129"/>
    <x v="129"/>
    <x v="127"/>
    <x v="127"/>
    <x v="127"/>
    <x v="129"/>
    <n v="0"/>
    <x v="135"/>
    <x v="135"/>
  </r>
  <r>
    <x v="136"/>
    <n v="0"/>
    <n v="0"/>
    <n v="550"/>
    <n v="0"/>
    <n v="149.93"/>
    <n v="0"/>
    <n v="0"/>
    <n v="0"/>
    <n v="2372.8969999999999"/>
    <n v="0"/>
    <m/>
    <n v="0"/>
    <m/>
    <n v="0"/>
    <n v="77.849999999999994"/>
    <n v="0"/>
    <n v="1248.4010000000001"/>
    <n v="0"/>
    <m/>
    <n v="0"/>
    <m/>
    <n v="0"/>
    <n v="93.240000000000009"/>
    <n v="0"/>
    <n v="270.15100000000001"/>
    <n v="0"/>
    <x v="136"/>
    <n v="0.18855447674198553"/>
    <x v="134"/>
    <n v="0.52051240591614745"/>
    <n v="-21987.076000000001"/>
    <n v="-3270.712"/>
    <x v="130"/>
    <n v="25257.788"/>
    <x v="130"/>
    <x v="130"/>
    <x v="128"/>
    <x v="128"/>
    <x v="128"/>
    <x v="130"/>
    <n v="0"/>
    <x v="136"/>
    <x v="136"/>
  </r>
  <r>
    <x v="137"/>
    <n v="0"/>
    <n v="0"/>
    <n v="480"/>
    <n v="0"/>
    <n v="41.94"/>
    <n v="0"/>
    <n v="0"/>
    <n v="0"/>
    <n v="4534.857"/>
    <n v="0"/>
    <m/>
    <n v="0"/>
    <m/>
    <n v="0"/>
    <n v="186.54"/>
    <n v="0"/>
    <n v="132.053"/>
    <n v="0"/>
    <m/>
    <n v="0"/>
    <m/>
    <n v="0"/>
    <n v="199.05"/>
    <n v="0"/>
    <n v="298.202"/>
    <n v="0"/>
    <x v="137"/>
    <n v="5.805997738834829E-2"/>
    <x v="135"/>
    <n v="0.45541531618486564"/>
    <n v="-88462.964000000007"/>
    <n v="-12684.887999999999"/>
    <x v="131"/>
    <n v="101147.85200000001"/>
    <x v="131"/>
    <x v="131"/>
    <x v="129"/>
    <x v="129"/>
    <x v="129"/>
    <x v="131"/>
    <n v="0"/>
    <x v="137"/>
    <x v="137"/>
  </r>
  <r>
    <x v="138"/>
    <n v="0"/>
    <n v="0"/>
    <n v="0"/>
    <n v="0"/>
    <n v="0"/>
    <n v="0"/>
    <n v="0"/>
    <n v="0"/>
    <n v="0"/>
    <n v="0"/>
    <m/>
    <n v="0"/>
    <m/>
    <n v="0"/>
    <m/>
    <n v="0"/>
    <m/>
    <n v="0"/>
    <m/>
    <n v="0"/>
    <m/>
    <n v="0"/>
    <m/>
    <n v="0"/>
    <m/>
    <n v="0"/>
    <x v="43"/>
    <n v="0"/>
    <x v="0"/>
    <n v="0"/>
    <n v="0"/>
    <n v="0"/>
    <x v="0"/>
    <n v="0"/>
    <x v="0"/>
    <x v="0"/>
    <x v="0"/>
    <x v="0"/>
    <x v="0"/>
    <x v="0"/>
    <n v="0"/>
    <x v="138"/>
    <x v="138"/>
  </r>
  <r>
    <x v="139"/>
    <n v="0"/>
    <n v="0"/>
    <n v="0"/>
    <n v="0"/>
    <n v="0"/>
    <n v="0"/>
    <n v="0"/>
    <n v="0"/>
    <n v="0"/>
    <n v="0"/>
    <m/>
    <n v="0"/>
    <m/>
    <n v="0"/>
    <m/>
    <n v="0"/>
    <m/>
    <n v="0"/>
    <m/>
    <n v="0"/>
    <m/>
    <n v="0"/>
    <m/>
    <n v="0"/>
    <m/>
    <n v="0"/>
    <x v="43"/>
    <n v="0"/>
    <x v="136"/>
    <n v="0"/>
    <n v="0"/>
    <n v="0"/>
    <x v="0"/>
    <n v="0"/>
    <x v="0"/>
    <x v="0"/>
    <x v="0"/>
    <x v="0"/>
    <x v="0"/>
    <x v="0"/>
    <n v="0"/>
    <x v="139"/>
    <x v="139"/>
  </r>
  <r>
    <x v="140"/>
    <n v="0"/>
    <n v="0"/>
    <n v="0"/>
    <n v="0"/>
    <n v="0"/>
    <n v="0"/>
    <n v="0"/>
    <n v="0"/>
    <n v="0"/>
    <n v="0"/>
    <m/>
    <n v="0"/>
    <m/>
    <n v="0"/>
    <m/>
    <n v="0"/>
    <m/>
    <n v="0"/>
    <m/>
    <n v="0"/>
    <m/>
    <n v="0"/>
    <m/>
    <n v="0"/>
    <m/>
    <n v="0"/>
    <x v="43"/>
    <n v="0"/>
    <x v="0"/>
    <n v="0"/>
    <n v="0"/>
    <n v="0"/>
    <x v="0"/>
    <n v="0"/>
    <x v="0"/>
    <x v="0"/>
    <x v="0"/>
    <x v="0"/>
    <x v="0"/>
    <x v="0"/>
    <n v="0"/>
    <x v="138"/>
    <x v="138"/>
  </r>
  <r>
    <x v="141"/>
    <n v="0"/>
    <n v="0"/>
    <n v="0"/>
    <n v="0"/>
    <n v="0"/>
    <n v="0"/>
    <n v="0"/>
    <n v="0"/>
    <n v="0"/>
    <n v="0"/>
    <m/>
    <n v="0"/>
    <m/>
    <n v="0"/>
    <m/>
    <n v="0"/>
    <m/>
    <n v="0"/>
    <m/>
    <n v="0"/>
    <m/>
    <n v="0"/>
    <m/>
    <n v="0"/>
    <m/>
    <n v="0"/>
    <x v="43"/>
    <n v="0"/>
    <x v="137"/>
    <n v="0"/>
    <n v="0"/>
    <n v="0"/>
    <x v="0"/>
    <n v="0"/>
    <x v="0"/>
    <x v="0"/>
    <x v="0"/>
    <x v="0"/>
    <x v="0"/>
    <x v="0"/>
    <n v="0"/>
    <x v="140"/>
    <x v="140"/>
  </r>
  <r>
    <x v="142"/>
    <n v="0"/>
    <n v="0"/>
    <n v="0"/>
    <n v="0"/>
    <n v="0"/>
    <n v="0"/>
    <n v="0"/>
    <n v="0"/>
    <n v="0"/>
    <n v="0"/>
    <m/>
    <n v="0"/>
    <m/>
    <n v="0"/>
    <m/>
    <n v="0"/>
    <m/>
    <n v="0"/>
    <m/>
    <n v="0"/>
    <m/>
    <n v="0"/>
    <m/>
    <n v="0"/>
    <m/>
    <n v="0"/>
    <x v="43"/>
    <n v="0"/>
    <x v="138"/>
    <n v="0"/>
    <n v="0"/>
    <n v="0"/>
    <x v="0"/>
    <n v="0"/>
    <x v="0"/>
    <x v="0"/>
    <x v="0"/>
    <x v="0"/>
    <x v="0"/>
    <x v="0"/>
    <n v="0"/>
    <x v="141"/>
    <x v="141"/>
  </r>
  <r>
    <x v="143"/>
    <n v="0"/>
    <n v="0"/>
    <n v="0"/>
    <n v="0"/>
    <n v="0"/>
    <n v="0"/>
    <n v="0"/>
    <n v="0"/>
    <n v="0"/>
    <n v="0"/>
    <m/>
    <n v="0"/>
    <m/>
    <n v="0"/>
    <m/>
    <n v="0"/>
    <n v="117.129"/>
    <n v="0"/>
    <m/>
    <n v="0"/>
    <m/>
    <n v="0"/>
    <m/>
    <n v="0"/>
    <n v="0.73099999999999998"/>
    <n v="0"/>
    <x v="138"/>
    <n v="0"/>
    <x v="139"/>
    <n v="0"/>
    <n v="0"/>
    <n v="0"/>
    <x v="0"/>
    <n v="0"/>
    <x v="0"/>
    <x v="0"/>
    <x v="0"/>
    <x v="0"/>
    <x v="0"/>
    <x v="0"/>
    <n v="0"/>
    <x v="142"/>
    <x v="142"/>
  </r>
  <r>
    <x v="144"/>
    <n v="0"/>
    <n v="0"/>
    <n v="0"/>
    <n v="0"/>
    <n v="0"/>
    <n v="0"/>
    <n v="0"/>
    <n v="0"/>
    <n v="0"/>
    <n v="0"/>
    <m/>
    <n v="0"/>
    <m/>
    <n v="0"/>
    <m/>
    <n v="0"/>
    <m/>
    <n v="0"/>
    <m/>
    <n v="0"/>
    <m/>
    <n v="0"/>
    <m/>
    <n v="0"/>
    <m/>
    <n v="0"/>
    <x v="43"/>
    <n v="0"/>
    <x v="140"/>
    <n v="0"/>
    <n v="0"/>
    <n v="0"/>
    <x v="0"/>
    <n v="0"/>
    <x v="0"/>
    <x v="0"/>
    <x v="0"/>
    <x v="0"/>
    <x v="0"/>
    <x v="0"/>
    <n v="0"/>
    <x v="143"/>
    <x v="143"/>
  </r>
  <r>
    <x v="145"/>
    <n v="0"/>
    <n v="0"/>
    <n v="0"/>
    <n v="0"/>
    <n v="0"/>
    <n v="0"/>
    <n v="0"/>
    <n v="0"/>
    <n v="0"/>
    <n v="0"/>
    <m/>
    <n v="0"/>
    <m/>
    <n v="0"/>
    <m/>
    <n v="0"/>
    <n v="0.5"/>
    <n v="0"/>
    <m/>
    <n v="0"/>
    <m/>
    <n v="0"/>
    <m/>
    <n v="0"/>
    <n v="0.86699999999999999"/>
    <n v="0"/>
    <x v="139"/>
    <n v="0"/>
    <x v="141"/>
    <n v="0"/>
    <n v="0"/>
    <n v="0"/>
    <x v="0"/>
    <n v="0"/>
    <x v="0"/>
    <x v="0"/>
    <x v="0"/>
    <x v="0"/>
    <x v="0"/>
    <x v="0"/>
    <n v="0"/>
    <x v="144"/>
    <x v="144"/>
  </r>
  <r>
    <x v="146"/>
    <n v="0"/>
    <n v="0"/>
    <n v="800"/>
    <n v="9.6402952774242E-3"/>
    <n v="0"/>
    <n v="0"/>
    <n v="0"/>
    <n v="0"/>
    <n v="4454.5599999999995"/>
    <n v="5.3679092163753425E-2"/>
    <m/>
    <n v="0"/>
    <n v="9.82"/>
    <n v="1.1833462453038206E-4"/>
    <n v="86.27"/>
    <n v="1.0395853419792322E-3"/>
    <n v="2225.223"/>
    <n v="2.681475847264464E-2"/>
    <m/>
    <n v="0"/>
    <m/>
    <n v="0"/>
    <n v="138.67000000000002"/>
    <n v="1.6710246826505176E-3"/>
    <n v="318.91699999999997"/>
    <n v="3.8430675612378669E-3"/>
    <x v="140"/>
    <n v="9.6806158124220276E-2"/>
    <x v="142"/>
    <n v="0.57235082576961804"/>
    <n v="-82985"/>
    <n v="-0.01"/>
    <x v="132"/>
    <n v="82985.009999999995"/>
    <x v="132"/>
    <x v="132"/>
    <x v="130"/>
    <x v="130"/>
    <x v="130"/>
    <x v="132"/>
    <n v="0.2195533641688823"/>
    <x v="145"/>
    <x v="145"/>
  </r>
  <r>
    <x v="147"/>
    <n v="0"/>
    <n v="0"/>
    <n v="1100"/>
    <n v="2.244536955188901E-2"/>
    <n v="105.62"/>
    <n v="2.1551635746095612E-3"/>
    <n v="0"/>
    <n v="0"/>
    <n v="2813.2150000000001"/>
    <n v="5.740331845810677E-2"/>
    <m/>
    <n v="0"/>
    <n v="203.66"/>
    <n v="4.1556581481251966E-3"/>
    <n v="1616.26"/>
    <n v="3.2979593629032848E-2"/>
    <n v="247.37799999999999"/>
    <n v="5.0477187536429081E-3"/>
    <m/>
    <n v="0"/>
    <m/>
    <n v="0"/>
    <n v="361.93"/>
    <n v="7.3851387290138088E-3"/>
    <n v="1205.433"/>
    <n v="2.4596717413674751E-2"/>
    <x v="141"/>
    <n v="0.15616867825809486"/>
    <x v="143"/>
    <n v="0.45518893175569042"/>
    <n v="-42764.673999999999"/>
    <n v="-6243.2069999999994"/>
    <x v="133"/>
    <n v="49007.881000000001"/>
    <x v="133"/>
    <x v="133"/>
    <x v="131"/>
    <x v="131"/>
    <x v="131"/>
    <x v="133"/>
    <n v="0.23536779399660618"/>
    <x v="146"/>
    <x v="146"/>
  </r>
  <r>
    <x v="148"/>
    <n v="0"/>
    <n v="0"/>
    <n v="2500"/>
    <n v="2.6923035420182321E-2"/>
    <n v="88.92"/>
    <n v="9.575985238250448E-4"/>
    <n v="47.2"/>
    <n v="5.0830690873304219E-4"/>
    <n v="7946.6720000000005"/>
    <n v="8.5579412691428436E-2"/>
    <n v="2.08"/>
    <n v="2.2399965469591691E-5"/>
    <m/>
    <n v="0"/>
    <n v="260.98"/>
    <n v="2.8105495135836728E-3"/>
    <n v="235.315"/>
    <n v="2.534157631960081E-3"/>
    <m/>
    <n v="0"/>
    <m/>
    <n v="0"/>
    <n v="360.24"/>
    <n v="3.8795017119065914E-3"/>
    <n v="171.94499999999999"/>
    <n v="1.8517125301292995E-3"/>
    <x v="142"/>
    <n v="0.12506667489721807"/>
    <x v="144"/>
    <n v="0.46594790633876582"/>
    <n v="-82245.286000000007"/>
    <n v="-10612"/>
    <x v="134"/>
    <n v="92857.286000000007"/>
    <x v="134"/>
    <x v="134"/>
    <x v="132"/>
    <x v="132"/>
    <x v="132"/>
    <x v="134"/>
    <n v="0.24480556473370896"/>
    <x v="147"/>
    <x v="147"/>
  </r>
  <r>
    <x v="149"/>
    <n v="0"/>
    <n v="0"/>
    <n v="400"/>
    <n v="1.0778775125863754E-2"/>
    <n v="0"/>
    <n v="0"/>
    <n v="0"/>
    <n v="0"/>
    <n v="2749.8690000000001"/>
    <n v="7.4100548941459593E-2"/>
    <m/>
    <n v="0"/>
    <m/>
    <n v="0"/>
    <n v="166.95"/>
    <n v="4.4987912681573846E-3"/>
    <n v="2.4089999999999998"/>
    <n v="6.491517319551446E-5"/>
    <m/>
    <n v="0"/>
    <m/>
    <n v="0"/>
    <n v="201.14999999999998"/>
    <n v="5.4203765414187347E-3"/>
    <n v="31.005000000000003"/>
    <n v="8.3548980694351431E-4"/>
    <x v="143"/>
    <n v="9.5698896857038487E-2"/>
    <x v="145"/>
    <n v="0.40446178773315022"/>
    <n v="-32742.743000000006"/>
    <n v="-4367.2250000000004"/>
    <x v="135"/>
    <n v="37109.968000000008"/>
    <x v="135"/>
    <x v="135"/>
    <x v="133"/>
    <x v="133"/>
    <x v="133"/>
    <x v="135"/>
    <n v="0.24393735958616536"/>
    <x v="148"/>
    <x v="148"/>
  </r>
  <r>
    <x v="150"/>
    <n v="0"/>
    <n v="0"/>
    <n v="3400"/>
    <n v="6.2391802979604963E-2"/>
    <n v="0"/>
    <n v="0"/>
    <n v="0"/>
    <n v="0"/>
    <n v="4040.1"/>
    <n v="7.4137977417030002E-2"/>
    <m/>
    <n v="0"/>
    <m/>
    <n v="0"/>
    <n v="47.93"/>
    <n v="8.7954091670954871E-4"/>
    <n v="11.745000000000001"/>
    <n v="2.1552697823395891E-4"/>
    <m/>
    <n v="0"/>
    <m/>
    <n v="0"/>
    <n v="265.38"/>
    <n v="4.8698637278610478E-3"/>
    <n v="50.646000000000001"/>
    <n v="9.293809569720803E-4"/>
    <x v="144"/>
    <n v="0.14342409297641159"/>
    <x v="146"/>
    <n v="0.46093522596787945"/>
    <n v="-47335.763000000006"/>
    <n v="-7158.5749999999998"/>
    <x v="136"/>
    <n v="54494.338000000003"/>
    <x v="136"/>
    <x v="136"/>
    <x v="134"/>
    <x v="134"/>
    <x v="134"/>
    <x v="136"/>
    <n v="0.26050096889152585"/>
    <x v="149"/>
    <x v="149"/>
  </r>
  <r>
    <x v="151"/>
    <n v="0"/>
    <n v="0"/>
    <n v="450"/>
    <n v="7.6102825063704398E-3"/>
    <n v="75"/>
    <n v="1.2683804177284065E-3"/>
    <n v="0"/>
    <n v="0"/>
    <n v="4298.991"/>
    <n v="7.2703413338542133E-2"/>
    <m/>
    <n v="0"/>
    <m/>
    <n v="0"/>
    <n v="89.63"/>
    <n v="1.515799157879961E-3"/>
    <n v="412.83699999999999"/>
    <n v="6.9817915535165627E-3"/>
    <m/>
    <n v="0"/>
    <m/>
    <n v="0"/>
    <n v="299.34000000000003"/>
    <n v="5.0623599232376172E-3"/>
    <n v="83.682000000000002"/>
    <n v="1.4152081348846469E-3"/>
    <x v="145"/>
    <n v="9.655723503215978E-2"/>
    <x v="147"/>
    <n v="0.4544615999942499"/>
    <n v="-51791.161000000007"/>
    <n v="-7339.3639999999996"/>
    <x v="137"/>
    <n v="59130.525000000009"/>
    <x v="137"/>
    <x v="137"/>
    <x v="135"/>
    <x v="135"/>
    <x v="135"/>
    <x v="137"/>
    <n v="0.27743379967198567"/>
    <x v="150"/>
    <x v="150"/>
  </r>
  <r>
    <x v="152"/>
    <n v="0"/>
    <n v="0"/>
    <n v="800"/>
    <n v="1.2076821932378159E-2"/>
    <n v="0"/>
    <n v="0"/>
    <n v="0"/>
    <n v="0"/>
    <n v="4221.3040000000001"/>
    <n v="6.3724920913044561E-2"/>
    <m/>
    <n v="0"/>
    <m/>
    <n v="0"/>
    <n v="104.14"/>
    <n v="1.572100295047327E-3"/>
    <n v="15.015000000000001"/>
    <n v="2.2666685164332258E-4"/>
    <m/>
    <n v="0"/>
    <m/>
    <n v="0"/>
    <n v="294.09999999999997"/>
    <n v="4.4397416628905199E-3"/>
    <n v="4.51"/>
    <n v="6.8083083643781861E-5"/>
    <x v="146"/>
    <n v="8.2108334738647676E-2"/>
    <x v="148"/>
    <n v="0.49061924553587444"/>
    <n v="-58310.270000000004"/>
    <n v="-7932.3230000000003"/>
    <x v="138"/>
    <n v="66242.593000000008"/>
    <x v="138"/>
    <x v="138"/>
    <x v="136"/>
    <x v="136"/>
    <x v="136"/>
    <x v="138"/>
    <n v="0.25288782894601292"/>
    <x v="151"/>
    <x v="151"/>
  </r>
  <r>
    <x v="153"/>
    <n v="0"/>
    <n v="0"/>
    <n v="1900"/>
    <n v="1.6843486634356489E-2"/>
    <n v="39.729999999999997"/>
    <n v="3.5220617051735955E-4"/>
    <n v="0"/>
    <n v="0"/>
    <n v="7220.9039999999995"/>
    <n v="6.4013263164195408E-2"/>
    <m/>
    <n v="0"/>
    <m/>
    <n v="0"/>
    <n v="262.97000000000003"/>
    <n v="2.3312272001245926E-3"/>
    <n v="4656.576"/>
    <n v="4.1280513483086943E-2"/>
    <m/>
    <n v="0"/>
    <m/>
    <n v="0"/>
    <n v="158.22"/>
    <n v="1.4026191869936228E-3"/>
    <n v="1982.357"/>
    <n v="1.7573580860012115E-2"/>
    <x v="147"/>
    <n v="0.14379689669928652"/>
    <x v="149"/>
    <n v="0.49727313702882031"/>
    <n v="-98945.328999999998"/>
    <n v="-13857.919"/>
    <x v="139"/>
    <n v="112803.24799999999"/>
    <x v="139"/>
    <x v="139"/>
    <x v="137"/>
    <x v="137"/>
    <x v="137"/>
    <x v="139"/>
    <n v="0.24009826130466144"/>
    <x v="152"/>
    <x v="152"/>
  </r>
  <r>
    <x v="154"/>
    <n v="0"/>
    <n v="0"/>
    <n v="750"/>
    <n v="1.3731396635181673E-2"/>
    <n v="0"/>
    <n v="0"/>
    <n v="47.2"/>
    <n v="8.6416256157409996E-4"/>
    <n v="3090.2840000000001"/>
    <n v="5.6578553759141011E-2"/>
    <m/>
    <n v="0"/>
    <m/>
    <n v="0"/>
    <n v="41.69"/>
    <n v="7.6328256762763186E-4"/>
    <n v="5718.8669999999993"/>
    <n v="0.10470404144113532"/>
    <m/>
    <n v="0"/>
    <m/>
    <n v="0"/>
    <n v="53.19"/>
    <n v="9.7383064936708416E-4"/>
    <n v="946.14100000000008"/>
    <n v="1.732244979174323E-2"/>
    <x v="148"/>
    <n v="0.19493771740577009"/>
    <x v="150"/>
    <n v="0.54864373805379929"/>
    <n v="-47496.041000000005"/>
    <n v="-7123.3119999999999"/>
    <x v="140"/>
    <n v="54619.353000000003"/>
    <x v="140"/>
    <x v="140"/>
    <x v="138"/>
    <x v="138"/>
    <x v="138"/>
    <x v="140"/>
    <n v="0.23955683327822083"/>
    <x v="153"/>
    <x v="153"/>
  </r>
  <r>
    <x v="155"/>
    <n v="0"/>
    <n v="0"/>
    <n v="600"/>
    <n v="4.6570738087053842E-3"/>
    <n v="30"/>
    <n v="2.3285369043526919E-4"/>
    <n v="0"/>
    <n v="0"/>
    <n v="4531.4230000000007"/>
    <n v="3.5171952282441965E-2"/>
    <m/>
    <n v="0"/>
    <m/>
    <n v="0"/>
    <n v="5253.09"/>
    <n v="4.0773379756286948E-2"/>
    <n v="500.142"/>
    <n v="3.8819970147225468E-3"/>
    <m/>
    <n v="0"/>
    <m/>
    <n v="0"/>
    <n v="197.99"/>
    <n v="1.5367567389759651E-3"/>
    <n v="42.882999999999996"/>
    <n v="3.3284882689785494E-4"/>
    <x v="149"/>
    <n v="8.6586862118465932E-2"/>
    <x v="151"/>
    <n v="0.52282263442810428"/>
    <n v="-112026.09"/>
    <n v="-16810.175999999999"/>
    <x v="141"/>
    <n v="128836.266"/>
    <x v="141"/>
    <x v="141"/>
    <x v="139"/>
    <x v="139"/>
    <x v="139"/>
    <x v="141"/>
    <n v="0.21982019669813121"/>
    <x v="154"/>
    <x v="154"/>
  </r>
  <r>
    <x v="156"/>
    <n v="0"/>
    <n v="0"/>
    <n v="2500"/>
    <n v="1.9035076201407403E-2"/>
    <n v="0"/>
    <n v="0"/>
    <n v="0"/>
    <n v="0"/>
    <n v="10513.734"/>
    <n v="8.0051891140531142E-2"/>
    <m/>
    <n v="0"/>
    <m/>
    <n v="0"/>
    <n v="157.44999999999999"/>
    <n v="1.1988290991646381E-3"/>
    <n v="464.32900000000001"/>
    <n v="3.5354151590093193E-3"/>
    <m/>
    <n v="0"/>
    <m/>
    <n v="0"/>
    <n v="294.26199999999994"/>
    <n v="2.2405198372714174E-3"/>
    <n v="118.065"/>
    <n v="8.9895050868766591E-4"/>
    <x v="150"/>
    <n v="0.10696068194607158"/>
    <x v="152"/>
    <n v="0.4993245403209931"/>
    <n v="-114279.83399999999"/>
    <n v="-17056.651000000002"/>
    <x v="142"/>
    <n v="131336.48499999999"/>
    <x v="142"/>
    <x v="142"/>
    <x v="140"/>
    <x v="140"/>
    <x v="140"/>
    <x v="142"/>
    <n v="0.24238284549948955"/>
    <x v="155"/>
    <x v="155"/>
  </r>
  <r>
    <x v="157"/>
    <n v="0"/>
    <n v="0"/>
    <n v="2569.64"/>
    <n v="2.0050167084205518E-2"/>
    <n v="0"/>
    <n v="0"/>
    <n v="0"/>
    <n v="0"/>
    <n v="6085.107"/>
    <n v="4.7480352140871325E-2"/>
    <m/>
    <n v="0"/>
    <m/>
    <n v="0"/>
    <n v="141.88"/>
    <n v="1.1070491220198466E-3"/>
    <n v="897.25400000000002"/>
    <n v="7.0010167248998837E-3"/>
    <m/>
    <n v="0"/>
    <m/>
    <n v="0"/>
    <n v="251.792"/>
    <n v="1.964661069436293E-3"/>
    <n v="459.94500000000005"/>
    <n v="3.5888194842642967E-3"/>
    <x v="151"/>
    <n v="8.1192065625697182E-2"/>
    <x v="153"/>
    <n v="0.51305814688903273"/>
    <n v="-111386.16300000002"/>
    <n v="-16774.365000000002"/>
    <x v="143"/>
    <n v="128160.52800000002"/>
    <x v="143"/>
    <x v="143"/>
    <x v="141"/>
    <x v="141"/>
    <x v="141"/>
    <x v="143"/>
    <n v="0.23451423370061017"/>
    <x v="156"/>
    <x v="156"/>
  </r>
  <r>
    <x v="158"/>
    <n v="0"/>
    <n v="0"/>
    <n v="600"/>
    <n v="1.9280486932553575E-2"/>
    <n v="0"/>
    <n v="0"/>
    <n v="0"/>
    <n v="0"/>
    <n v="3041.2059999999997"/>
    <n v="9.7726554237005867E-2"/>
    <m/>
    <n v="0"/>
    <m/>
    <n v="0"/>
    <n v="66.36"/>
    <n v="2.1324218547404254E-3"/>
    <n v="239.34399999999999"/>
    <n v="7.691114773975171E-3"/>
    <m/>
    <n v="0"/>
    <m/>
    <n v="0"/>
    <n v="303.39999999999998"/>
    <n v="9.7494995588945903E-3"/>
    <n v="49.685000000000002"/>
    <n v="1.5965849887398741E-3"/>
    <x v="152"/>
    <n v="0.13817666234590953"/>
    <x v="154"/>
    <n v="1.1897628904997519"/>
    <n v="-28094.173000000006"/>
    <n v="-3025.373"/>
    <x v="144"/>
    <n v="31119.546000000006"/>
    <x v="144"/>
    <x v="144"/>
    <x v="142"/>
    <x v="142"/>
    <x v="142"/>
    <x v="144"/>
    <n v="0.327833661847235"/>
    <x v="157"/>
    <x v="157"/>
  </r>
  <r>
    <x v="159"/>
    <n v="0"/>
    <n v="0"/>
    <n v="75"/>
    <n v="2.5691935198773365E-3"/>
    <n v="0"/>
    <n v="0"/>
    <n v="0"/>
    <n v="0"/>
    <n v="2828.6490000000003"/>
    <n v="9.6897955744100109E-2"/>
    <m/>
    <n v="0"/>
    <m/>
    <n v="0"/>
    <n v="97.13"/>
    <n v="3.3272768878091423E-3"/>
    <n v="804.75800000000004"/>
    <n v="2.7567720515592607E-2"/>
    <m/>
    <n v="0"/>
    <m/>
    <n v="0"/>
    <n v="283.46999999999997"/>
    <n v="9.7105238277283793E-3"/>
    <n v="125.126"/>
    <n v="4.286305444908955E-3"/>
    <x v="153"/>
    <n v="0.14435897594001654"/>
    <x v="155"/>
    <n v="0.45060074595677452"/>
    <n v="-26016.425999999999"/>
    <n v="-3175.614"/>
    <x v="145"/>
    <n v="29192.04"/>
    <x v="145"/>
    <x v="145"/>
    <x v="143"/>
    <x v="143"/>
    <x v="143"/>
    <x v="145"/>
    <n v="0.28404215002871513"/>
    <x v="158"/>
    <x v="158"/>
  </r>
  <r>
    <x v="160"/>
    <n v="0"/>
    <n v="0"/>
    <n v="600"/>
    <n v="5.43367525127284E-3"/>
    <n v="0"/>
    <n v="0"/>
    <n v="0"/>
    <n v="0"/>
    <n v="4411.5540000000001"/>
    <n v="3.9951586315756175E-2"/>
    <m/>
    <n v="0"/>
    <n v="129.52000000000001"/>
    <n v="1.1729493642414306E-3"/>
    <n v="68.14"/>
    <n v="6.1708438603621889E-4"/>
    <n v="1339.6050000000002"/>
    <n v="1.2131630891635591E-2"/>
    <m/>
    <n v="0"/>
    <m/>
    <n v="0"/>
    <n v="193.32"/>
    <n v="1.750730165960109E-3"/>
    <n v="1154.9069999999999"/>
    <n v="1.0458982639036269E-2"/>
    <x v="154"/>
    <n v="7.1516639013938635E-2"/>
    <x v="156"/>
    <n v="0.51583504734845742"/>
    <n v="-95518.772000000012"/>
    <n v="-14903.727000000001"/>
    <x v="146"/>
    <n v="110422.49900000001"/>
    <x v="146"/>
    <x v="146"/>
    <x v="144"/>
    <x v="144"/>
    <x v="144"/>
    <x v="146"/>
    <n v="0.24257748743650717"/>
    <x v="159"/>
    <x v="159"/>
  </r>
  <r>
    <x v="161"/>
    <n v="0"/>
    <n v="0"/>
    <n v="1920"/>
    <n v="1.8933262144267674E-2"/>
    <n v="0"/>
    <n v="0"/>
    <n v="0"/>
    <n v="0"/>
    <n v="5052.1459999999997"/>
    <n v="4.9819585733913194E-2"/>
    <m/>
    <n v="0"/>
    <m/>
    <n v="0"/>
    <n v="150.76"/>
    <n v="1.486655521286351E-3"/>
    <m/>
    <n v="0"/>
    <m/>
    <n v="0"/>
    <m/>
    <n v="0"/>
    <n v="425.72"/>
    <n v="4.1980564375300178E-3"/>
    <n v="711.88400000000001"/>
    <n v="7.0199408272447125E-3"/>
    <x v="155"/>
    <n v="8.1457500664241955E-2"/>
    <x v="157"/>
    <n v="0.413571689692669"/>
    <n v="-88782.444000000003"/>
    <n v="-12626.387999999999"/>
    <x v="147"/>
    <n v="101408.83199999999"/>
    <x v="147"/>
    <x v="147"/>
    <x v="145"/>
    <x v="145"/>
    <x v="145"/>
    <x v="147"/>
    <n v="0.25084672832224186"/>
    <x v="160"/>
    <x v="160"/>
  </r>
  <r>
    <x v="162"/>
    <n v="0"/>
    <n v="0"/>
    <n v="3439.37"/>
    <n v="4.9689878363479628E-2"/>
    <n v="0"/>
    <n v="0"/>
    <n v="0"/>
    <n v="0"/>
    <n v="5681.4719999999998"/>
    <n v="8.2082373401383191E-2"/>
    <m/>
    <n v="0"/>
    <m/>
    <n v="0"/>
    <n v="197.35"/>
    <n v="2.8511900420811671E-3"/>
    <n v="402.19599999999997"/>
    <n v="5.8106776294141226E-3"/>
    <m/>
    <n v="0"/>
    <m/>
    <n v="0"/>
    <n v="277.89999999999998"/>
    <n v="4.0149263374429003E-3"/>
    <n v="74.622"/>
    <n v="1.0780922387645345E-3"/>
    <x v="156"/>
    <n v="0.14552713801256556"/>
    <x v="158"/>
    <n v="0.40349223753939661"/>
    <n v="-60377.943999999989"/>
    <n v="-8838.768"/>
    <x v="148"/>
    <n v="69216.711999999985"/>
    <x v="148"/>
    <x v="148"/>
    <x v="146"/>
    <x v="146"/>
    <x v="146"/>
    <x v="148"/>
    <n v="0.28285633033178759"/>
    <x v="161"/>
    <x v="161"/>
  </r>
  <r>
    <x v="163"/>
    <n v="0"/>
    <n v="0"/>
    <n v="1897.58"/>
    <n v="2.2884591424876172E-2"/>
    <n v="0"/>
    <n v="0"/>
    <n v="0"/>
    <n v="0"/>
    <n v="4363.7039999999997"/>
    <n v="5.2625756563147719E-2"/>
    <m/>
    <n v="0"/>
    <m/>
    <n v="0"/>
    <n v="39.950000000000003"/>
    <n v="4.8179229725429397E-4"/>
    <n v="426.98199999999997"/>
    <n v="5.1493526574776707E-3"/>
    <m/>
    <n v="0"/>
    <m/>
    <n v="0"/>
    <n v="1065.53"/>
    <n v="1.2850166370297067E-2"/>
    <n v="451.20500000000004"/>
    <n v="5.4414791860481534E-3"/>
    <x v="157"/>
    <n v="9.9433138499101098E-2"/>
    <x v="159"/>
    <n v="0.41489989290703921"/>
    <n v="-73056.932000000015"/>
    <n v="-9862.6170000000002"/>
    <x v="149"/>
    <n v="82919.549000000014"/>
    <x v="149"/>
    <x v="149"/>
    <x v="147"/>
    <x v="147"/>
    <x v="147"/>
    <x v="149"/>
    <n v="0.25334406624685341"/>
    <x v="162"/>
    <x v="162"/>
  </r>
  <r>
    <x v="164"/>
    <n v="0"/>
    <n v="0"/>
    <n v="1869.5"/>
    <n v="0"/>
    <n v="0"/>
    <n v="0"/>
    <n v="47.2"/>
    <n v="0"/>
    <n v="2944.9870000000005"/>
    <n v="0"/>
    <n v="-180.34"/>
    <n v="0"/>
    <m/>
    <n v="0"/>
    <n v="252.52"/>
    <n v="0"/>
    <n v="39.705999999999996"/>
    <n v="0"/>
    <m/>
    <n v="0"/>
    <m/>
    <n v="0"/>
    <n v="103.35000000000001"/>
    <n v="0"/>
    <n v="198.53"/>
    <n v="0"/>
    <x v="158"/>
    <n v="0.13533052405304408"/>
    <x v="160"/>
    <n v="0.4574603927983254"/>
    <n v="-38981.989000000001"/>
    <n v="0"/>
    <x v="150"/>
    <n v="38981.989000000001"/>
    <x v="150"/>
    <x v="150"/>
    <x v="148"/>
    <x v="148"/>
    <x v="148"/>
    <x v="150"/>
    <n v="0"/>
    <x v="163"/>
    <x v="163"/>
  </r>
  <r>
    <x v="165"/>
    <n v="0"/>
    <n v="0"/>
    <n v="720"/>
    <n v="1.5139491489713348E-2"/>
    <n v="0"/>
    <n v="0"/>
    <n v="0"/>
    <n v="0"/>
    <n v="3109.7950000000001"/>
    <n v="6.5389881857295995E-2"/>
    <m/>
    <n v="0"/>
    <m/>
    <n v="0"/>
    <m/>
    <n v="0"/>
    <n v="62.350999999999999"/>
    <n v="1.3110589359376624E-3"/>
    <m/>
    <n v="0"/>
    <m/>
    <n v="0"/>
    <n v="97.7"/>
    <n v="2.0543448868680474E-3"/>
    <n v="45.793000000000006"/>
    <n v="9.6289268581728254E-4"/>
    <x v="159"/>
    <n v="8.4857669855632339E-2"/>
    <x v="161"/>
    <n v="0.52099811723601663"/>
    <n v="-47557.72"/>
    <n v="-0.02"/>
    <x v="151"/>
    <n v="47557.74"/>
    <x v="151"/>
    <x v="151"/>
    <x v="149"/>
    <x v="149"/>
    <x v="149"/>
    <x v="151"/>
    <n v="0.2210263919035545"/>
    <x v="164"/>
    <x v="164"/>
  </r>
  <r>
    <x v="166"/>
    <n v="0"/>
    <n v="0"/>
    <n v="1240"/>
    <n v="3.5179272009790964E-2"/>
    <n v="0"/>
    <n v="0"/>
    <n v="0"/>
    <n v="0"/>
    <n v="3012.9560000000001"/>
    <n v="8.5478708610912696E-2"/>
    <m/>
    <n v="0"/>
    <m/>
    <n v="0"/>
    <n v="502.97"/>
    <n v="1.4269450357068196E-2"/>
    <n v="25"/>
    <n v="7.0925951632643067E-4"/>
    <m/>
    <n v="0"/>
    <m/>
    <n v="0"/>
    <n v="137.09"/>
    <n v="3.8892954837276158E-3"/>
    <n v="21.113"/>
    <n v="5.9898384672799727E-4"/>
    <x v="160"/>
    <n v="0.14012496982455391"/>
    <x v="162"/>
    <n v="0.4725285490431253"/>
    <n v="-30851.016999999996"/>
    <n v="-4397.0119999999997"/>
    <x v="152"/>
    <n v="35248.028999999995"/>
    <x v="152"/>
    <x v="152"/>
    <x v="150"/>
    <x v="150"/>
    <x v="150"/>
    <x v="152"/>
    <n v="0.23187476313354774"/>
    <x v="165"/>
    <x v="165"/>
  </r>
  <r>
    <x v="167"/>
    <n v="0"/>
    <n v="0"/>
    <n v="1259.45"/>
    <n v="3.2856845376564837E-2"/>
    <n v="0"/>
    <n v="0"/>
    <n v="0"/>
    <n v="0"/>
    <n v="3840.7849999999999"/>
    <n v="0.1001993559646112"/>
    <m/>
    <n v="0"/>
    <m/>
    <n v="0"/>
    <n v="116.07"/>
    <n v="3.0280630774210016E-3"/>
    <n v="165.84"/>
    <n v="4.3264752370078307E-3"/>
    <m/>
    <n v="0"/>
    <m/>
    <n v="0"/>
    <n v="121.86"/>
    <n v="3.1791140399286921E-3"/>
    <n v="51.766000000000005"/>
    <n v="1.3504843048658189E-3"/>
    <x v="161"/>
    <n v="0.14494033800039935"/>
    <x v="163"/>
    <n v="0.46602381220593009"/>
    <n v="-33702.663999999997"/>
    <n v="-4628.7700000000004"/>
    <x v="153"/>
    <n v="38331.433999999994"/>
    <x v="153"/>
    <x v="153"/>
    <x v="151"/>
    <x v="151"/>
    <x v="151"/>
    <x v="153"/>
    <n v="0.23220501834470644"/>
    <x v="166"/>
    <x v="166"/>
  </r>
  <r>
    <x v="168"/>
    <n v="0"/>
    <n v="0"/>
    <n v="250"/>
    <n v="9.1133358505582057E-3"/>
    <n v="167.75"/>
    <n v="6.1150483557245562E-3"/>
    <n v="0"/>
    <n v="0"/>
    <n v="2207.6099999999997"/>
    <n v="8.0474765428203199E-2"/>
    <m/>
    <n v="0"/>
    <m/>
    <n v="0"/>
    <n v="25.08"/>
    <n v="9.1424985252799916E-4"/>
    <n v="201.322"/>
    <n v="7.3388600004243168E-3"/>
    <m/>
    <n v="0"/>
    <m/>
    <n v="0"/>
    <n v="272.88"/>
    <n v="9.947388347601293E-3"/>
    <n v="66.260999999999996"/>
    <n v="2.415434987175349E-3"/>
    <x v="162"/>
    <n v="0.11631908282221493"/>
    <x v="164"/>
    <n v="0.54696918518684856"/>
    <n v="-23969.562000000002"/>
    <n v="-3462.7640000000001"/>
    <x v="154"/>
    <n v="27432.326000000001"/>
    <x v="154"/>
    <x v="154"/>
    <x v="152"/>
    <x v="152"/>
    <x v="152"/>
    <x v="154"/>
    <n v="0.20117236604928118"/>
    <x v="167"/>
    <x v="167"/>
  </r>
  <r>
    <x v="169"/>
    <n v="0"/>
    <n v="0"/>
    <n v="2500"/>
    <n v="2.1474264614237768E-2"/>
    <n v="0"/>
    <n v="0"/>
    <n v="0"/>
    <n v="0"/>
    <n v="6749.6480000000001"/>
    <n v="5.7977490881984284E-2"/>
    <m/>
    <n v="0"/>
    <m/>
    <n v="0"/>
    <n v="164.17"/>
    <n v="1.4101720086877655E-3"/>
    <n v="3143.549"/>
    <n v="2.7002161221529007E-2"/>
    <n v="14.19"/>
    <n v="1.2188792595041356E-4"/>
    <m/>
    <n v="0"/>
    <n v="646.35200000000009"/>
    <n v="5.5519735527767245E-3"/>
    <n v="363.88400000000001"/>
    <n v="3.1256565219549182E-3"/>
    <x v="163"/>
    <n v="0.11666360672712088"/>
    <x v="165"/>
    <n v="0.47911416459501566"/>
    <n v="-101564.51400000002"/>
    <n v="-14853.908000000001"/>
    <x v="155"/>
    <n v="116418.42200000002"/>
    <x v="155"/>
    <x v="155"/>
    <x v="153"/>
    <x v="153"/>
    <x v="153"/>
    <x v="155"/>
    <n v="0.23586477408011522"/>
    <x v="168"/>
    <x v="168"/>
  </r>
  <r>
    <x v="170"/>
    <n v="0"/>
    <n v="0"/>
    <n v="1000"/>
    <n v="1.2144406612998591E-2"/>
    <n v="30"/>
    <n v="3.6433219838995776E-4"/>
    <n v="0"/>
    <n v="0"/>
    <n v="3598.4429999999998"/>
    <n v="4.3700954965698487E-2"/>
    <m/>
    <n v="0"/>
    <m/>
    <n v="0"/>
    <n v="93.74"/>
    <n v="1.138416675902488E-3"/>
    <n v="399.505"/>
    <n v="4.8517511639260026E-3"/>
    <m/>
    <n v="0"/>
    <m/>
    <n v="0"/>
    <n v="191.35"/>
    <n v="2.3238322053972804E-3"/>
    <n v="57.93"/>
    <n v="7.035254750910084E-4"/>
    <x v="164"/>
    <n v="6.5227219297403813E-2"/>
    <x v="166"/>
    <n v="0.51091865950914206"/>
    <n v="-72164.689999999988"/>
    <n v="-10177.744000000001"/>
    <x v="156"/>
    <n v="82342.433999999994"/>
    <x v="156"/>
    <x v="156"/>
    <x v="154"/>
    <x v="154"/>
    <x v="154"/>
    <x v="156"/>
    <n v="0.24725721908140116"/>
    <x v="169"/>
    <x v="169"/>
  </r>
  <r>
    <x v="171"/>
    <n v="0"/>
    <n v="0"/>
    <n v="0"/>
    <n v="0"/>
    <n v="0"/>
    <n v="0"/>
    <n v="0"/>
    <n v="0"/>
    <n v="315.95"/>
    <n v="0"/>
    <m/>
    <n v="0"/>
    <m/>
    <n v="0"/>
    <m/>
    <n v="0"/>
    <m/>
    <n v="0"/>
    <m/>
    <n v="0"/>
    <m/>
    <n v="0"/>
    <m/>
    <n v="0"/>
    <m/>
    <n v="0"/>
    <x v="165"/>
    <n v="0"/>
    <x v="0"/>
    <n v="0"/>
    <n v="0"/>
    <n v="0"/>
    <x v="0"/>
    <n v="0"/>
    <x v="0"/>
    <x v="0"/>
    <x v="0"/>
    <x v="0"/>
    <x v="0"/>
    <x v="0"/>
    <n v="0"/>
    <x v="170"/>
    <x v="170"/>
  </r>
  <r>
    <x v="172"/>
    <n v="0"/>
    <n v="0"/>
    <n v="250"/>
    <n v="6.3638768024726457E-3"/>
    <n v="21.96"/>
    <n v="5.5900293832919718E-4"/>
    <n v="0"/>
    <n v="0"/>
    <n v="1894.1320000000001"/>
    <n v="4.8216090782484469E-2"/>
    <m/>
    <n v="0"/>
    <m/>
    <n v="0"/>
    <n v="343.53"/>
    <n v="8.7447303918137109E-3"/>
    <n v="2161.0050000000001"/>
    <n v="5.5009478358109598E-2"/>
    <m/>
    <n v="0"/>
    <m/>
    <n v="0"/>
    <n v="147.85"/>
    <n v="3.7635967409823225E-3"/>
    <n v="334.505"/>
    <n v="8.5149944392444495E-3"/>
    <x v="166"/>
    <n v="0.13117177045343642"/>
    <x v="167"/>
    <n v="0.50307217425414719"/>
    <n v="-34466.664000000004"/>
    <n v="-4817.5659999999998"/>
    <x v="157"/>
    <n v="39284.230000000003"/>
    <x v="157"/>
    <x v="157"/>
    <x v="155"/>
    <x v="155"/>
    <x v="155"/>
    <x v="157"/>
    <n v="0.23201849570570679"/>
    <x v="171"/>
    <x v="171"/>
  </r>
  <r>
    <x v="173"/>
    <n v="0"/>
    <n v="0"/>
    <n v="500"/>
    <n v="2.4490923100607683E-2"/>
    <n v="42.41"/>
    <n v="2.0773200973935434E-3"/>
    <n v="0"/>
    <n v="0"/>
    <n v="2909.8940000000002"/>
    <n v="0.14253198036983941"/>
    <m/>
    <n v="0"/>
    <n v="39.83"/>
    <n v="1.9509469341944081E-3"/>
    <n v="21.69"/>
    <n v="1.0624162441043613E-3"/>
    <n v="557.63699999999994"/>
    <n v="2.7314089770107131E-2"/>
    <m/>
    <n v="0"/>
    <m/>
    <n v="0"/>
    <n v="111.25"/>
    <n v="5.4492303898852103E-3"/>
    <n v="88.926999999999992"/>
    <n v="4.355808637135479E-3"/>
    <x v="167"/>
    <n v="0.20923271554326725"/>
    <x v="168"/>
    <n v="0.55197182054795313"/>
    <n v="-17773.128000000001"/>
    <n v="-2642.5990000000002"/>
    <x v="158"/>
    <n v="20415.726999999999"/>
    <x v="158"/>
    <x v="158"/>
    <x v="156"/>
    <x v="156"/>
    <x v="156"/>
    <x v="158"/>
    <n v="0.20832555902883085"/>
    <x v="172"/>
    <x v="172"/>
  </r>
  <r>
    <x v="174"/>
    <n v="0"/>
    <n v="0"/>
    <n v="730"/>
    <n v="1.1979853431252388E-2"/>
    <n v="0"/>
    <n v="0"/>
    <n v="0"/>
    <n v="0"/>
    <n v="3403.6570000000002"/>
    <n v="5.5856591767474262E-2"/>
    <m/>
    <n v="0"/>
    <m/>
    <n v="0"/>
    <n v="94.15"/>
    <n v="1.5450728774690581E-3"/>
    <n v="132.26300000000001"/>
    <n v="2.1705361018873079E-3"/>
    <m/>
    <n v="0"/>
    <m/>
    <n v="0"/>
    <n v="70.41"/>
    <n v="1.1554814795814803E-3"/>
    <n v="-3.1560000000000059"/>
    <n v="-5.1792352642510423E-5"/>
    <x v="168"/>
    <n v="7.2655743305021989E-2"/>
    <x v="169"/>
    <n v="0.52798589764475579"/>
    <n v="-60935.637000000002"/>
    <n v="0"/>
    <x v="159"/>
    <n v="60935.637000000002"/>
    <x v="159"/>
    <x v="159"/>
    <x v="157"/>
    <x v="157"/>
    <x v="157"/>
    <x v="159"/>
    <n v="0.14763670576098673"/>
    <x v="173"/>
    <x v="173"/>
  </r>
  <r>
    <x v="175"/>
    <n v="0"/>
    <n v="0"/>
    <n v="1390"/>
    <n v="1.6469282122949711E-2"/>
    <n v="0"/>
    <n v="0"/>
    <n v="0"/>
    <n v="0"/>
    <n v="5787.5609999999997"/>
    <n v="6.8573363246604999E-2"/>
    <m/>
    <n v="0"/>
    <n v="85"/>
    <n v="1.0071143744249823E-3"/>
    <n v="252.23"/>
    <n v="2.988523043073097E-3"/>
    <n v="120.977"/>
    <n v="1.4333844197036599E-3"/>
    <m/>
    <n v="0"/>
    <m/>
    <n v="0"/>
    <n v="80.7"/>
    <n v="9.5616623548348324E-4"/>
    <n v="47.986000000000004"/>
    <n v="5.6855753377832007E-4"/>
    <x v="169"/>
    <n v="9.199639097601825E-2"/>
    <x v="170"/>
    <n v="0.48589428498137732"/>
    <n v="-73688.032999999996"/>
    <n v="-10711.517"/>
    <x v="160"/>
    <n v="84399.549999999988"/>
    <x v="160"/>
    <x v="160"/>
    <x v="158"/>
    <x v="158"/>
    <x v="158"/>
    <x v="160"/>
    <n v="0.22813404034314169"/>
    <x v="174"/>
    <x v="174"/>
  </r>
  <r>
    <x v="176"/>
    <n v="0"/>
    <n v="0"/>
    <n v="3300"/>
    <n v="5.7009446154267146E-2"/>
    <n v="0"/>
    <n v="0"/>
    <n v="0"/>
    <n v="0"/>
    <n v="4916.7449999999999"/>
    <n v="8.4939669494473402E-2"/>
    <m/>
    <n v="0"/>
    <m/>
    <n v="0"/>
    <n v="127.96"/>
    <n v="2.2105844636060678E-3"/>
    <n v="298.79899999999998"/>
    <n v="5.1619289398329906E-3"/>
    <m/>
    <n v="0"/>
    <m/>
    <n v="0"/>
    <n v="28.84"/>
    <n v="4.9822800820880741E-4"/>
    <n v="175.352"/>
    <n v="3.0293092127403188E-3"/>
    <x v="170"/>
    <n v="0.15284916627312872"/>
    <x v="171"/>
    <n v="0.47277107922543993"/>
    <n v="-50325.62"/>
    <n v="-7559.5240000000003"/>
    <x v="161"/>
    <n v="57885.144"/>
    <x v="161"/>
    <x v="161"/>
    <x v="159"/>
    <x v="159"/>
    <x v="159"/>
    <x v="161"/>
    <n v="0.2389944881008528"/>
    <x v="175"/>
    <x v="175"/>
  </r>
  <r>
    <x v="177"/>
    <n v="0"/>
    <n v="0"/>
    <n v="1850"/>
    <n v="1.7692605891800342E-2"/>
    <n v="0"/>
    <n v="0"/>
    <n v="0"/>
    <n v="0"/>
    <n v="5564.6509999999998"/>
    <n v="5.3217933550493333E-2"/>
    <m/>
    <n v="0"/>
    <m/>
    <n v="0"/>
    <n v="126.93"/>
    <n v="1.21390403559255E-3"/>
    <n v="491.59900000000005"/>
    <n v="4.7014418182719769E-3"/>
    <m/>
    <n v="0"/>
    <m/>
    <n v="0"/>
    <n v="203.99"/>
    <n v="1.9508727977666767E-3"/>
    <n v="155.18799999999999"/>
    <n v="1.4841514179117358E-3"/>
    <x v="171"/>
    <n v="8.0260909511836634E-2"/>
    <x v="172"/>
    <n v="0.48074129723429665"/>
    <n v="-91598.403000000006"/>
    <n v="-12965.052"/>
    <x v="162"/>
    <n v="104563.455"/>
    <x v="162"/>
    <x v="162"/>
    <x v="160"/>
    <x v="160"/>
    <x v="160"/>
    <x v="162"/>
    <n v="0.23962388026075704"/>
    <x v="176"/>
    <x v="176"/>
  </r>
  <r>
    <x v="178"/>
    <n v="0"/>
    <n v="0"/>
    <n v="1150"/>
    <n v="2.7895127999463067E-2"/>
    <n v="90"/>
    <n v="2.1830969738710227E-3"/>
    <n v="0"/>
    <n v="0"/>
    <n v="3335.0749999999998"/>
    <n v="8.0897690445921114E-2"/>
    <m/>
    <n v="0"/>
    <m/>
    <n v="0"/>
    <n v="49.674999999999997"/>
    <n v="1.2049482464115892E-3"/>
    <n v="119.857"/>
    <n v="2.9073272666362126E-3"/>
    <m/>
    <n v="0"/>
    <m/>
    <n v="0"/>
    <n v="199.44"/>
    <n v="4.837742894098186E-3"/>
    <n v="66.736999999999995"/>
    <n v="1.6188149193914491E-3"/>
    <x v="172"/>
    <n v="0.12154474874579262"/>
    <x v="173"/>
    <n v="0.50274899209444823"/>
    <n v="-36297.420999999988"/>
    <n v="-4928.4160000000002"/>
    <x v="163"/>
    <n v="41225.836999999985"/>
    <x v="163"/>
    <x v="163"/>
    <x v="161"/>
    <x v="161"/>
    <x v="161"/>
    <x v="163"/>
    <n v="0.26014587152114182"/>
    <x v="177"/>
    <x v="177"/>
  </r>
  <r>
    <x v="179"/>
    <n v="0"/>
    <n v="0"/>
    <n v="500"/>
    <n v="1.5146776046585425E-2"/>
    <n v="0"/>
    <n v="0"/>
    <n v="0"/>
    <n v="0"/>
    <n v="2819.442"/>
    <n v="8.5410913100673808E-2"/>
    <m/>
    <n v="0"/>
    <n v="8.5299999999999994"/>
    <n v="2.5840399935474732E-4"/>
    <n v="178.74"/>
    <n v="5.4146695011333583E-3"/>
    <n v="510.613"/>
    <n v="1.5468281514950248E-2"/>
    <m/>
    <n v="0"/>
    <m/>
    <n v="0"/>
    <n v="121.60000000000001"/>
    <n v="3.683695934529576E-3"/>
    <n v="46.852000000000004"/>
    <n v="1.4193135026692408E-3"/>
    <x v="173"/>
    <n v="0.12680205359989641"/>
    <x v="174"/>
    <n v="0.49019596141510274"/>
    <n v="-28974.634999999998"/>
    <n v="-4035.69"/>
    <x v="164"/>
    <n v="33010.324999999997"/>
    <x v="164"/>
    <x v="164"/>
    <x v="162"/>
    <x v="162"/>
    <x v="162"/>
    <x v="164"/>
    <n v="0.22107127329272705"/>
    <x v="178"/>
    <x v="178"/>
  </r>
  <r>
    <x v="180"/>
    <n v="0"/>
    <n v="0"/>
    <n v="870"/>
    <n v="3.1934971881257254E-2"/>
    <n v="50.87"/>
    <n v="1.8672781834477663E-3"/>
    <n v="0"/>
    <n v="0"/>
    <n v="2844.6210000000001"/>
    <n v="0.10441711683659069"/>
    <m/>
    <n v="0"/>
    <m/>
    <n v="0"/>
    <n v="22.49"/>
    <n v="8.2553737656261572E-4"/>
    <n v="65.327999999999989"/>
    <n v="2.3979860265043377E-3"/>
    <m/>
    <n v="0"/>
    <m/>
    <n v="0"/>
    <n v="100.11"/>
    <n v="3.6747241781984645E-3"/>
    <n v="40.140999999999998"/>
    <n v="1.4734502371098247E-3"/>
    <x v="174"/>
    <n v="0.14659106471967095"/>
    <x v="175"/>
    <n v="0.45069333944037671"/>
    <n v="-23957.23"/>
    <n v="-3285.6309999999999"/>
    <x v="165"/>
    <n v="27242.861000000001"/>
    <x v="165"/>
    <x v="165"/>
    <x v="163"/>
    <x v="163"/>
    <x v="163"/>
    <x v="165"/>
    <n v="0.24313392346097654"/>
    <x v="179"/>
    <x v="179"/>
  </r>
  <r>
    <x v="181"/>
    <n v="0"/>
    <n v="0"/>
    <n v="300"/>
    <n v="7.2483774688245481E-3"/>
    <n v="55.81"/>
    <n v="1.3484398217836601E-3"/>
    <n v="0"/>
    <n v="0"/>
    <n v="2794.5230000000001"/>
    <n v="6.7519191831039937E-2"/>
    <m/>
    <n v="0"/>
    <m/>
    <n v="0"/>
    <n v="80.39"/>
    <n v="1.9423235490626848E-3"/>
    <n v="631.65199999999993"/>
    <n v="1.5261507083126543E-2"/>
    <m/>
    <n v="0"/>
    <m/>
    <n v="0"/>
    <n v="122.87"/>
    <n v="2.968693798648241E-3"/>
    <n v="212.41800000000001"/>
    <n v="5.1322861505759092E-3"/>
    <x v="175"/>
    <n v="0.10142081970306153"/>
    <x v="176"/>
    <n v="0.70934052256404212"/>
    <n v="-36174.173999999999"/>
    <n v="-5214.3990000000003"/>
    <x v="166"/>
    <n v="41388.572999999997"/>
    <x v="166"/>
    <x v="166"/>
    <x v="164"/>
    <x v="164"/>
    <x v="164"/>
    <x v="166"/>
    <n v="0.27935569541628125"/>
    <x v="180"/>
    <x v="180"/>
  </r>
  <r>
    <x v="182"/>
    <n v="0"/>
    <n v="0"/>
    <n v="570"/>
    <n v="1.4429910683409684E-2"/>
    <n v="357.71"/>
    <n v="9.0556550009868036E-3"/>
    <n v="0"/>
    <n v="0"/>
    <n v="2493.2739999999999"/>
    <n v="6.3118808998715081E-2"/>
    <m/>
    <n v="0"/>
    <m/>
    <n v="0"/>
    <n v="123.69"/>
    <n v="3.1312906182999014E-3"/>
    <n v="955.55700000000002"/>
    <n v="2.4190530110362995E-2"/>
    <m/>
    <n v="0"/>
    <m/>
    <n v="0"/>
    <n v="121.96"/>
    <n v="3.0874945735941141E-3"/>
    <n v="205.99399999999997"/>
    <n v="5.2148684584531471E-3"/>
    <x v="176"/>
    <n v="0.12222855844382173"/>
    <x v="177"/>
    <n v="0.53405557652252511"/>
    <n v="-35281.038999999997"/>
    <n v="-4220.2449999999999"/>
    <x v="167"/>
    <n v="39501.284"/>
    <x v="167"/>
    <x v="167"/>
    <x v="165"/>
    <x v="165"/>
    <x v="165"/>
    <x v="167"/>
    <n v="0.24852014866889854"/>
    <x v="181"/>
    <x v="181"/>
  </r>
  <r>
    <x v="183"/>
    <n v="0"/>
    <n v="0"/>
    <n v="350"/>
    <n v="6.4571802423715506E-3"/>
    <n v="0"/>
    <n v="0"/>
    <n v="0"/>
    <n v="0"/>
    <n v="3091.674"/>
    <n v="5.7038560767582347E-2"/>
    <m/>
    <n v="0"/>
    <m/>
    <n v="0"/>
    <n v="62.17"/>
    <n v="1.1469797019092551E-3"/>
    <n v="210.209"/>
    <n v="3.8781640044819464E-3"/>
    <m/>
    <n v="0"/>
    <m/>
    <n v="0"/>
    <n v="236.73"/>
    <n v="4.3674522250760489E-3"/>
    <n v="51.932000000000002"/>
    <n v="9.5809795527668391E-4"/>
    <x v="177"/>
    <n v="7.384643489669783E-2"/>
    <x v="178"/>
    <n v="0.51162253700545413"/>
    <n v="-48279.996000000006"/>
    <n v="-5923.23"/>
    <x v="168"/>
    <n v="54203.22600000001"/>
    <x v="168"/>
    <x v="168"/>
    <x v="166"/>
    <x v="166"/>
    <x v="166"/>
    <x v="168"/>
    <n v="0.23685562620837386"/>
    <x v="182"/>
    <x v="182"/>
  </r>
  <r>
    <x v="184"/>
    <n v="0"/>
    <n v="0"/>
    <n v="900"/>
    <n v="1.3661450198761957E-2"/>
    <n v="25.18"/>
    <n v="3.8221701778314005E-4"/>
    <n v="0"/>
    <n v="0"/>
    <n v="3534.9380000000001"/>
    <n v="5.3658199380790216E-2"/>
    <m/>
    <n v="0"/>
    <n v="137.12"/>
    <n v="2.0813978347269326E-3"/>
    <n v="91.331999999999994"/>
    <n v="1.3863639661703632E-3"/>
    <n v="484.15700000000004"/>
    <n v="7.3492074932022143E-3"/>
    <m/>
    <n v="0"/>
    <m/>
    <n v="0"/>
    <n v="228.55"/>
    <n v="3.4692493810300502E-3"/>
    <n v="235.02100000000002"/>
    <n v="3.5674752079591487E-3"/>
    <x v="178"/>
    <n v="8.5555560480423995E-2"/>
    <x v="179"/>
    <n v="0.43626563105183269"/>
    <n v="-57584.521000000001"/>
    <n v="-8294.2829999999994"/>
    <x v="169"/>
    <n v="65878.804000000004"/>
    <x v="169"/>
    <x v="169"/>
    <x v="167"/>
    <x v="167"/>
    <x v="167"/>
    <x v="169"/>
    <n v="0.22285361896957906"/>
    <x v="183"/>
    <x v="183"/>
  </r>
  <r>
    <x v="185"/>
    <n v="0"/>
    <n v="0"/>
    <n v="1500"/>
    <n v="1.1170855577392591E-2"/>
    <n v="0"/>
    <n v="0"/>
    <n v="0"/>
    <n v="0"/>
    <n v="5999.0349999999999"/>
    <n v="4.4676235725815569E-2"/>
    <m/>
    <n v="0"/>
    <n v="129.52000000000001"/>
    <n v="9.6456614292259231E-4"/>
    <n v="138.96"/>
    <n v="1.0348680606896497E-3"/>
    <n v="158.95400000000001"/>
    <n v="1.1837681182992413E-3"/>
    <m/>
    <n v="0"/>
    <m/>
    <n v="0"/>
    <n v="148.03"/>
    <n v="1.1024145007476167E-3"/>
    <n v="77.132000000000005"/>
    <n v="5.7442028826363027E-4"/>
    <x v="179"/>
    <n v="6.0707128414130888E-2"/>
    <x v="180"/>
    <n v="0.54171127096208249"/>
    <n v="-117682.06500000002"/>
    <n v="-16595.921999999999"/>
    <x v="170"/>
    <n v="134277.98700000002"/>
    <x v="170"/>
    <x v="170"/>
    <x v="168"/>
    <x v="168"/>
    <x v="168"/>
    <x v="170"/>
    <n v="0.23308714128806679"/>
    <x v="184"/>
    <x v="184"/>
  </r>
  <r>
    <x v="186"/>
    <n v="0"/>
    <n v="0"/>
    <n v="560"/>
    <n v="8.112466836308006E-3"/>
    <n v="0"/>
    <n v="0"/>
    <n v="0"/>
    <n v="0"/>
    <n v="3580.0990000000002"/>
    <n v="5.1863275728927599E-2"/>
    <m/>
    <n v="0"/>
    <m/>
    <n v="0"/>
    <n v="104.64"/>
    <n v="1.5158723745558387E-3"/>
    <n v="37.164000000000001"/>
    <n v="5.3837806697241205E-4"/>
    <m/>
    <n v="0"/>
    <m/>
    <n v="0"/>
    <n v="49.06"/>
    <n v="7.1071004105226925E-4"/>
    <n v="25.964000000000002"/>
    <n v="3.7612873024625191E-4"/>
    <x v="180"/>
    <n v="6.3116831778062349E-2"/>
    <x v="181"/>
    <n v="0.49143314810157107"/>
    <n v="-60266.38700000001"/>
    <n v="-8763.1710000000003"/>
    <x v="171"/>
    <n v="69029.558000000005"/>
    <x v="171"/>
    <x v="171"/>
    <x v="169"/>
    <x v="169"/>
    <x v="169"/>
    <x v="171"/>
    <n v="0.24824266935024358"/>
    <x v="185"/>
    <x v="185"/>
  </r>
  <r>
    <x v="187"/>
    <n v="0"/>
    <n v="0"/>
    <n v="1400"/>
    <n v="4.1884348100338378E-2"/>
    <n v="28.94"/>
    <n v="8.6580931001699487E-4"/>
    <n v="0"/>
    <n v="0"/>
    <n v="3056.1489999999999"/>
    <n v="9.1432006116072162E-2"/>
    <m/>
    <n v="0"/>
    <m/>
    <n v="0"/>
    <n v="168.35"/>
    <n v="5.0365928590656896E-3"/>
    <n v="399.92500000000001"/>
    <n v="1.1964712795734161E-2"/>
    <m/>
    <n v="0"/>
    <m/>
    <n v="0"/>
    <n v="95.93"/>
    <n v="2.8699753666181866E-3"/>
    <n v="257.31"/>
    <n v="7.6980440069271917E-3"/>
    <x v="181"/>
    <n v="0.16175148855477278"/>
    <x v="182"/>
    <n v="0.48439392181520541"/>
    <n v="-29215.327000000001"/>
    <n v="-4210.0469999999996"/>
    <x v="172"/>
    <n v="33425.374000000003"/>
    <x v="172"/>
    <x v="172"/>
    <x v="170"/>
    <x v="170"/>
    <x v="170"/>
    <x v="172"/>
    <n v="0.21895848422440603"/>
    <x v="186"/>
    <x v="186"/>
  </r>
  <r>
    <x v="188"/>
    <n v="0"/>
    <n v="0"/>
    <n v="200"/>
    <n v="4.5703374360109902E-3"/>
    <n v="45"/>
    <n v="1.0283259231024728E-3"/>
    <n v="0"/>
    <n v="0"/>
    <n v="2791.0050000000001"/>
    <n v="6.3779173177969273E-2"/>
    <m/>
    <n v="0"/>
    <m/>
    <n v="0"/>
    <n v="50.57"/>
    <n v="1.155609820695379E-3"/>
    <n v="105.78400000000002"/>
    <n v="2.4173428766549334E-3"/>
    <m/>
    <n v="0"/>
    <m/>
    <n v="0"/>
    <n v="184.01999999999998"/>
    <n v="4.2051674748737116E-3"/>
    <n v="93.094999999999999"/>
    <n v="2.1273778180272156E-3"/>
    <x v="182"/>
    <n v="7.9283334527333993E-2"/>
    <x v="183"/>
    <n v="0.44814128375522677"/>
    <n v="-38488.953000000009"/>
    <n v="-5271.4920000000002"/>
    <x v="173"/>
    <n v="43760.445000000007"/>
    <x v="173"/>
    <x v="173"/>
    <x v="171"/>
    <x v="171"/>
    <x v="171"/>
    <x v="173"/>
    <n v="0.25176177387057691"/>
    <x v="187"/>
    <x v="187"/>
  </r>
  <r>
    <x v="189"/>
    <n v="0"/>
    <n v="0"/>
    <n v="300"/>
    <n v="5.9477116447094001E-3"/>
    <n v="22.82"/>
    <n v="4.524225991075617E-4"/>
    <n v="0"/>
    <n v="0"/>
    <n v="2543.0239999999999"/>
    <n v="5.0417244858584925E-2"/>
    <m/>
    <n v="0"/>
    <m/>
    <n v="0"/>
    <n v="31.19"/>
    <n v="6.1836375399495396E-4"/>
    <n v="3.9089999999999998"/>
    <n v="7.7498682730563486E-5"/>
    <m/>
    <n v="0"/>
    <m/>
    <n v="0"/>
    <n v="316.18"/>
    <n v="6.2684915594140604E-3"/>
    <n v="86.384999999999991"/>
    <n v="1.7126435680940716E-3"/>
    <x v="183"/>
    <n v="6.5494376666635545E-2"/>
    <x v="184"/>
    <n v="0.48382828107941533"/>
    <n v="-44309.565000000002"/>
    <n v="-6130.0020000000004"/>
    <x v="174"/>
    <n v="50439.567000000003"/>
    <x v="174"/>
    <x v="174"/>
    <x v="172"/>
    <x v="172"/>
    <x v="172"/>
    <x v="174"/>
    <n v="0.23625753748643"/>
    <x v="188"/>
    <x v="188"/>
  </r>
  <r>
    <x v="190"/>
    <n v="0"/>
    <n v="0"/>
    <n v="1520"/>
    <n v="1.196104787183567E-2"/>
    <n v="0"/>
    <n v="0"/>
    <n v="0"/>
    <n v="0"/>
    <n v="4423.0020000000004"/>
    <n v="3.4805091223174288E-2"/>
    <m/>
    <n v="0"/>
    <m/>
    <n v="0"/>
    <n v="56.08"/>
    <n v="4.4129971358720027E-4"/>
    <n v="17.853999999999999"/>
    <n v="1.4049509783141715E-4"/>
    <m/>
    <n v="0"/>
    <m/>
    <n v="0"/>
    <n v="112.6"/>
    <n v="8.8606183576887929E-4"/>
    <n v="28.375"/>
    <n v="2.2328600879166919E-4"/>
    <x v="184"/>
    <n v="4.8457281750989123E-2"/>
    <x v="185"/>
    <n v="0.50846874059223246"/>
    <n v="-111096.96600000001"/>
    <n v="-15982.200999999999"/>
    <x v="175"/>
    <n v="127079.16700000002"/>
    <x v="175"/>
    <x v="175"/>
    <x v="173"/>
    <x v="173"/>
    <x v="173"/>
    <x v="175"/>
    <n v="0.26366808118857482"/>
    <x v="189"/>
    <x v="189"/>
  </r>
  <r>
    <x v="191"/>
    <n v="0"/>
    <n v="0"/>
    <n v="0"/>
    <n v="0"/>
    <n v="40"/>
    <n v="6.1339360579796805E-4"/>
    <n v="0"/>
    <n v="0"/>
    <n v="4570.3320000000003"/>
    <n v="7.0085310629345976E-2"/>
    <m/>
    <n v="0"/>
    <m/>
    <n v="0"/>
    <n v="43.59"/>
    <n v="6.6844568191833575E-4"/>
    <n v="12116.813999999998"/>
    <n v="0.18580940575608249"/>
    <m/>
    <n v="0"/>
    <m/>
    <n v="0"/>
    <n v="234.59"/>
    <n v="3.597400149603633E-3"/>
    <n v="796.96100000000001"/>
    <n v="1.2221269536758861E-2"/>
    <x v="185"/>
    <n v="0.27299522535950727"/>
    <x v="186"/>
    <n v="0.50243511894307735"/>
    <n v="-57013.627000000008"/>
    <n v="-8197.3559999999998"/>
    <x v="176"/>
    <n v="65210.983000000007"/>
    <x v="176"/>
    <x v="176"/>
    <x v="174"/>
    <x v="174"/>
    <x v="174"/>
    <x v="176"/>
    <n v="0.22963012156753176"/>
    <x v="190"/>
    <x v="190"/>
  </r>
  <r>
    <x v="192"/>
    <n v="0"/>
    <n v="0"/>
    <n v="3500"/>
    <n v="1.5705483310132894E-2"/>
    <n v="0"/>
    <n v="0"/>
    <n v="0"/>
    <n v="0"/>
    <n v="6705.8109999999997"/>
    <n v="3.0090857926115874E-2"/>
    <m/>
    <n v="0"/>
    <m/>
    <n v="0"/>
    <n v="544.02"/>
    <n v="2.4411705801081415E-3"/>
    <n v="428.63"/>
    <n v="1.9233832317777891E-3"/>
    <m/>
    <n v="0"/>
    <m/>
    <n v="0"/>
    <n v="518.53600000000006"/>
    <n v="2.3268167124865916E-3"/>
    <n v="98.872"/>
    <n v="4.4366644166841696E-4"/>
    <x v="186"/>
    <n v="5.2931378202289707E-2"/>
    <x v="187"/>
    <n v="0.51334599021779925"/>
    <n v="-193120.39300000001"/>
    <n v="-29731.710999999999"/>
    <x v="177"/>
    <n v="222852.10400000002"/>
    <x v="177"/>
    <x v="177"/>
    <x v="175"/>
    <x v="175"/>
    <x v="175"/>
    <x v="177"/>
    <n v="0.22664150361236285"/>
    <x v="191"/>
    <x v="191"/>
  </r>
  <r>
    <x v="193"/>
    <n v="0"/>
    <n v="0"/>
    <n v="1600"/>
    <n v="1.5711073977987763E-2"/>
    <n v="12.5"/>
    <n v="1.227427654530294E-4"/>
    <n v="0"/>
    <n v="0"/>
    <n v="7025.4160000000002"/>
    <n v="6.8985519063836792E-2"/>
    <m/>
    <n v="0"/>
    <m/>
    <n v="0"/>
    <n v="537.23"/>
    <n v="5.2752876707464784E-3"/>
    <n v="1176.8519999999999"/>
    <n v="1.1556005520714282E-2"/>
    <m/>
    <n v="0"/>
    <m/>
    <n v="0"/>
    <n v="361.95"/>
    <n v="3.554139516457919E-3"/>
    <n v="173.75900000000001"/>
    <n v="1.7062128145882349E-3"/>
    <x v="187"/>
    <n v="0.10691098132978449"/>
    <x v="188"/>
    <n v="0.54920337195783031"/>
    <n v="-88675.494000000006"/>
    <n v="-13163.502"/>
    <x v="178"/>
    <n v="101838.99600000001"/>
    <x v="178"/>
    <x v="178"/>
    <x v="176"/>
    <x v="176"/>
    <x v="176"/>
    <x v="178"/>
    <n v="0.22465395971456897"/>
    <x v="192"/>
    <x v="192"/>
  </r>
  <r>
    <x v="194"/>
    <n v="0"/>
    <n v="0"/>
    <n v="700"/>
    <n v="8.9679725132154921E-3"/>
    <n v="0"/>
    <n v="0"/>
    <n v="0"/>
    <n v="0"/>
    <n v="3596.3599999999997"/>
    <n v="4.6074368039468093E-2"/>
    <m/>
    <n v="0"/>
    <m/>
    <n v="0"/>
    <n v="108.52"/>
    <n v="1.390291967334493E-3"/>
    <n v="51.01"/>
    <n v="6.5350896842731741E-4"/>
    <m/>
    <n v="0"/>
    <m/>
    <n v="0"/>
    <n v="87.460000000000008"/>
    <n v="1.1204841085797528E-3"/>
    <n v="59.12"/>
    <n v="7.5740933568757118E-4"/>
    <x v="188"/>
    <n v="5.8964034932712725E-2"/>
    <x v="189"/>
    <n v="0.488891737572475"/>
    <n v="-68119.449000000008"/>
    <n v="-9936.098"/>
    <x v="179"/>
    <n v="78055.547000000006"/>
    <x v="179"/>
    <x v="179"/>
    <x v="177"/>
    <x v="177"/>
    <x v="177"/>
    <x v="179"/>
    <n v="0.23699154182293569"/>
    <x v="193"/>
    <x v="193"/>
  </r>
  <r>
    <x v="195"/>
    <n v="0"/>
    <n v="0"/>
    <n v="1300"/>
    <n v="1.6843451429983759E-2"/>
    <n v="0"/>
    <n v="0"/>
    <n v="0"/>
    <n v="0"/>
    <n v="6344.0450000000001"/>
    <n v="8.2196626020870245E-2"/>
    <m/>
    <n v="0"/>
    <m/>
    <n v="0"/>
    <n v="690.07"/>
    <n v="8.9408927140683797E-3"/>
    <n v="2103.779"/>
    <n v="2.7257614927630618E-2"/>
    <m/>
    <n v="0"/>
    <m/>
    <n v="0"/>
    <n v="374.02"/>
    <n v="4.8459905414173273E-3"/>
    <n v="233.60499999999999"/>
    <n v="3.0267034394625817E-3"/>
    <x v="189"/>
    <n v="0.14311127907343291"/>
    <x v="190"/>
    <n v="0.44466579618845908"/>
    <n v="-67732.89"/>
    <n v="-9448.4410000000007"/>
    <x v="180"/>
    <n v="77181.331000000006"/>
    <x v="180"/>
    <x v="180"/>
    <x v="178"/>
    <x v="178"/>
    <x v="178"/>
    <x v="180"/>
    <n v="0.24433598541818047"/>
    <x v="194"/>
    <x v="194"/>
  </r>
  <r>
    <x v="196"/>
    <n v="0"/>
    <n v="0"/>
    <n v="2450"/>
    <n v="7.0124597384633017E-2"/>
    <n v="50.52"/>
    <n v="1.4459978203557797E-3"/>
    <n v="0"/>
    <n v="0"/>
    <n v="5880.5020000000004"/>
    <n v="0.16831340211001194"/>
    <m/>
    <n v="0"/>
    <m/>
    <n v="0"/>
    <n v="22.87"/>
    <n v="6.545916498720642E-4"/>
    <n v="76.935999999999993"/>
    <n v="2.2020840915853573E-3"/>
    <n v="61.35"/>
    <n v="1.7559771630805045E-3"/>
    <m/>
    <n v="0"/>
    <n v="215.75"/>
    <n v="6.1752579125447238E-3"/>
    <n v="49.694000000000003"/>
    <n v="1.4223558132375319E-3"/>
    <x v="190"/>
    <n v="0.25209426394532097"/>
    <x v="191"/>
    <n v="0.49979203047975646"/>
    <n v="-30387.409"/>
    <n v="-4550.4030000000002"/>
    <x v="181"/>
    <n v="34937.811999999998"/>
    <x v="181"/>
    <x v="181"/>
    <x v="179"/>
    <x v="179"/>
    <x v="179"/>
    <x v="181"/>
    <n v="0.20352874751144301"/>
    <x v="195"/>
    <x v="195"/>
  </r>
  <r>
    <x v="197"/>
    <n v="0"/>
    <n v="0"/>
    <n v="1165.0999999999999"/>
    <n v="3.8965443561091717E-2"/>
    <n v="60.18"/>
    <n v="2.0126516123135352E-3"/>
    <n v="0"/>
    <n v="0"/>
    <n v="3370.645"/>
    <n v="0.11272738607156124"/>
    <m/>
    <n v="0"/>
    <m/>
    <n v="0"/>
    <n v="44.03"/>
    <n v="1.4725332417774169E-3"/>
    <n v="60.548000000000002"/>
    <n v="2.0249589535121289E-3"/>
    <m/>
    <n v="0"/>
    <m/>
    <n v="0"/>
    <n v="268.14"/>
    <n v="8.9676371439971966E-3"/>
    <n v="90.763000000000005"/>
    <n v="3.0354652424129844E-3"/>
    <x v="191"/>
    <n v="0.16920607582666625"/>
    <x v="192"/>
    <n v="0.48871090734434908"/>
    <n v="-26442.727999999999"/>
    <n v="-3458.125"/>
    <x v="182"/>
    <n v="29900.852999999999"/>
    <x v="182"/>
    <x v="182"/>
    <x v="180"/>
    <x v="180"/>
    <x v="180"/>
    <x v="182"/>
    <n v="0.24765492190868216"/>
    <x v="196"/>
    <x v="196"/>
  </r>
  <r>
    <x v="198"/>
    <n v="0"/>
    <n v="0"/>
    <n v="90"/>
    <n v="0"/>
    <n v="0"/>
    <n v="0"/>
    <n v="0"/>
    <n v="0"/>
    <n v="776.73299999999995"/>
    <n v="0"/>
    <m/>
    <n v="0"/>
    <m/>
    <n v="0"/>
    <m/>
    <n v="0"/>
    <m/>
    <n v="0"/>
    <m/>
    <n v="0"/>
    <m/>
    <n v="0"/>
    <m/>
    <n v="0"/>
    <m/>
    <n v="0"/>
    <x v="192"/>
    <n v="0"/>
    <x v="0"/>
    <n v="0"/>
    <n v="0"/>
    <n v="0"/>
    <x v="0"/>
    <n v="0"/>
    <x v="0"/>
    <x v="0"/>
    <x v="0"/>
    <x v="0"/>
    <x v="0"/>
    <x v="0"/>
    <n v="0"/>
    <x v="197"/>
    <x v="197"/>
  </r>
  <r>
    <x v="199"/>
    <n v="0"/>
    <n v="0"/>
    <n v="1600"/>
    <n v="1.6834814547998594E-2"/>
    <n v="25.23"/>
    <n v="2.6546398190375287E-4"/>
    <n v="0"/>
    <n v="0"/>
    <n v="5825.7669999999998"/>
    <n v="6.1297316903031335E-2"/>
    <m/>
    <n v="0"/>
    <m/>
    <n v="0"/>
    <n v="131.91999999999999"/>
    <n v="1.3880304594824841E-3"/>
    <n v="220.11799999999999"/>
    <n v="2.3160285679227218E-3"/>
    <m/>
    <n v="0"/>
    <m/>
    <n v="0"/>
    <n v="288.702"/>
    <n v="3.0376528935226817E-3"/>
    <n v="116.97800000000001"/>
    <n v="1.2308143351223624E-3"/>
    <x v="193"/>
    <n v="8.637012168898392E-2"/>
    <x v="193"/>
    <n v="0.48938672264691435"/>
    <n v="-82909.506999999983"/>
    <n v="-12131.635"/>
    <x v="183"/>
    <n v="95041.141999999978"/>
    <x v="183"/>
    <x v="183"/>
    <x v="181"/>
    <x v="181"/>
    <x v="181"/>
    <x v="183"/>
    <n v="0.2377324049611392"/>
    <x v="198"/>
    <x v="198"/>
  </r>
  <r>
    <x v="200"/>
    <n v="0"/>
    <n v="0"/>
    <n v="1800"/>
    <n v="4.2889016544604926E-2"/>
    <n v="0"/>
    <n v="0"/>
    <n v="47.2"/>
    <n v="1.1246453227251958E-3"/>
    <n v="4004.665"/>
    <n v="9.5420079689222378E-2"/>
    <m/>
    <n v="0"/>
    <m/>
    <n v="0"/>
    <n v="264.72000000000003"/>
    <n v="6.3075446998265648E-3"/>
    <n v="1281.758"/>
    <n v="3.0540744482322069E-2"/>
    <m/>
    <n v="0"/>
    <m/>
    <n v="0"/>
    <n v="205"/>
    <n v="4.8845824398022278E-3"/>
    <n v="56.260000000000005"/>
    <n v="1.3405200393330407E-3"/>
    <x v="194"/>
    <n v="0.1825071332178364"/>
    <x v="194"/>
    <n v="0.55065165452601716"/>
    <n v="-36593.195999999996"/>
    <n v="-5375.5910000000003"/>
    <x v="184"/>
    <n v="41968.786999999997"/>
    <x v="184"/>
    <x v="184"/>
    <x v="182"/>
    <x v="182"/>
    <x v="182"/>
    <x v="184"/>
    <n v="0.20550874297896712"/>
    <x v="199"/>
    <x v="199"/>
  </r>
  <r>
    <x v="201"/>
    <n v="0"/>
    <n v="0"/>
    <n v="400.23"/>
    <n v="1.2004231219315323E-2"/>
    <n v="0"/>
    <n v="0"/>
    <n v="0"/>
    <n v="0"/>
    <n v="3098.1010000000001"/>
    <n v="9.2922371498368489E-2"/>
    <m/>
    <n v="0"/>
    <m/>
    <n v="0"/>
    <n v="54.38"/>
    <n v="1.6310373877679515E-3"/>
    <n v="64.641999999999996"/>
    <n v="1.9388289595457138E-3"/>
    <m/>
    <n v="0"/>
    <m/>
    <n v="0"/>
    <n v="643.84"/>
    <n v="1.9310906799200403E-2"/>
    <n v="77.347999999999999"/>
    <n v="2.3199242344441985E-3"/>
    <x v="195"/>
    <n v="0.13012730009864207"/>
    <x v="195"/>
    <n v="0.4269803037388728"/>
    <n v="-29120.683999999997"/>
    <n v="-4220.0599999999995"/>
    <x v="185"/>
    <n v="33340.743999999999"/>
    <x v="185"/>
    <x v="185"/>
    <x v="183"/>
    <x v="183"/>
    <x v="183"/>
    <x v="185"/>
    <n v="0.24256332700448674"/>
    <x v="200"/>
    <x v="200"/>
  </r>
  <r>
    <x v="202"/>
    <n v="0"/>
    <n v="0"/>
    <n v="930"/>
    <n v="1.1989349280903968E-2"/>
    <n v="186.01"/>
    <n v="2.3979987739149969E-3"/>
    <n v="47.2"/>
    <n v="6.0849170543942721E-4"/>
    <n v="3069.7349999999997"/>
    <n v="3.957432808044703E-2"/>
    <m/>
    <n v="0"/>
    <m/>
    <n v="0"/>
    <n v="72.75"/>
    <n v="9.3787651632877816E-4"/>
    <n v="216.14800000000002"/>
    <n v="2.7865310412568075E-3"/>
    <m/>
    <n v="0"/>
    <m/>
    <n v="0"/>
    <n v="108.98"/>
    <n v="1.4049454673472198E-3"/>
    <n v="522.86899999999991"/>
    <n v="6.7407086765128767E-3"/>
    <x v="196"/>
    <n v="6.6440229542151091E-2"/>
    <x v="196"/>
    <n v="0.4936873948893426"/>
    <n v="-67683.644000000015"/>
    <n v="-9885.2029999999995"/>
    <x v="186"/>
    <n v="77568.847000000009"/>
    <x v="186"/>
    <x v="186"/>
    <x v="184"/>
    <x v="184"/>
    <x v="184"/>
    <x v="186"/>
    <n v="0.22856475664807094"/>
    <x v="201"/>
    <x v="201"/>
  </r>
  <r>
    <x v="203"/>
    <n v="0"/>
    <n v="0"/>
    <n v="1875"/>
    <n v="1.3379329780349438E-2"/>
    <n v="0"/>
    <n v="0"/>
    <n v="0"/>
    <n v="0"/>
    <n v="5680.6319999999996"/>
    <n v="4.0534959407363194E-2"/>
    <m/>
    <n v="0"/>
    <m/>
    <n v="0"/>
    <n v="262.60000000000002"/>
    <n v="1.8738197335038734E-3"/>
    <n v="22.020000000000003"/>
    <n v="1.5712684894042382E-4"/>
    <m/>
    <n v="0"/>
    <m/>
    <n v="0"/>
    <n v="300.95999999999998"/>
    <n v="2.1475429817034487E-3"/>
    <n v="1434.87"/>
    <n v="1.0238719425029331E-2"/>
    <x v="197"/>
    <n v="6.8331498176889702E-2"/>
    <x v="197"/>
    <n v="0.50118464867260748"/>
    <n v="-121396.36"/>
    <n v="-18745.188999999998"/>
    <x v="187"/>
    <n v="140141.549"/>
    <x v="187"/>
    <x v="187"/>
    <x v="185"/>
    <x v="185"/>
    <x v="185"/>
    <x v="187"/>
    <n v="0.22206119881586947"/>
    <x v="202"/>
    <x v="202"/>
  </r>
  <r>
    <x v="204"/>
    <n v="0"/>
    <n v="0"/>
    <n v="1100"/>
    <n v="1.539208969726278E-2"/>
    <n v="0"/>
    <n v="0"/>
    <n v="0"/>
    <n v="0"/>
    <n v="4984.396999999999"/>
    <n v="6.97457142825159E-2"/>
    <m/>
    <n v="0"/>
    <m/>
    <n v="0"/>
    <n v="750.29"/>
    <n v="1.0498664526326628E-2"/>
    <n v="295.32599999999996"/>
    <n v="4.1324402563034796E-3"/>
    <m/>
    <n v="0"/>
    <m/>
    <n v="0"/>
    <n v="197.78"/>
    <n v="2.7674977275678478E-3"/>
    <n v="251.12299999999999"/>
    <n v="3.5139161282233826E-3"/>
    <x v="198"/>
    <n v="0.10605032261820005"/>
    <x v="198"/>
    <n v="0.49539583417290167"/>
    <n v="-62680.393000000011"/>
    <n v="-8784.8870000000006"/>
    <x v="188"/>
    <n v="71465.280000000013"/>
    <x v="188"/>
    <x v="188"/>
    <x v="186"/>
    <x v="186"/>
    <x v="186"/>
    <x v="188"/>
    <n v="0.25219600307443257"/>
    <x v="203"/>
    <x v="203"/>
  </r>
  <r>
    <x v="205"/>
    <n v="0"/>
    <n v="0"/>
    <n v="2199.31"/>
    <n v="3.2968702510642295E-2"/>
    <n v="60"/>
    <n v="8.9942852560054645E-4"/>
    <n v="0"/>
    <n v="0"/>
    <n v="4441.5429999999997"/>
    <n v="6.6580841198023794E-2"/>
    <n v="0.12"/>
    <n v="1.7988570512010928E-6"/>
    <m/>
    <n v="0"/>
    <m/>
    <n v="0"/>
    <n v="496.44700000000006"/>
    <n v="7.4419765541469092E-3"/>
    <m/>
    <n v="0"/>
    <m/>
    <n v="0"/>
    <n v="82.68"/>
    <n v="1.2394125082775531E-3"/>
    <n v="216.107"/>
    <n v="3.2395466730326217E-3"/>
    <x v="199"/>
    <n v="0.1123717068267749"/>
    <x v="199"/>
    <n v="0.47158026968614813"/>
    <n v="-58517.778000000006"/>
    <n v="-8191.2470000000003"/>
    <x v="189"/>
    <n v="66709.025000000009"/>
    <x v="189"/>
    <x v="189"/>
    <x v="187"/>
    <x v="187"/>
    <x v="187"/>
    <x v="189"/>
    <n v="0.24105422041509925"/>
    <x v="204"/>
    <x v="204"/>
  </r>
  <r>
    <x v="206"/>
    <n v="0"/>
    <n v="0"/>
    <n v="0"/>
    <n v="0"/>
    <n v="0"/>
    <n v="0"/>
    <n v="0"/>
    <n v="0"/>
    <n v="0"/>
    <n v="0"/>
    <m/>
    <n v="0"/>
    <m/>
    <n v="0"/>
    <m/>
    <n v="0"/>
    <m/>
    <n v="0"/>
    <m/>
    <n v="0"/>
    <m/>
    <n v="0"/>
    <m/>
    <n v="0"/>
    <n v="168.98"/>
    <n v="0"/>
    <x v="200"/>
    <n v="0"/>
    <x v="0"/>
    <n v="0"/>
    <n v="0"/>
    <n v="0"/>
    <x v="0"/>
    <n v="0"/>
    <x v="0"/>
    <x v="0"/>
    <x v="0"/>
    <x v="0"/>
    <x v="0"/>
    <x v="0"/>
    <n v="0"/>
    <x v="205"/>
    <x v="205"/>
  </r>
  <r>
    <x v="207"/>
    <n v="0"/>
    <n v="0"/>
    <n v="800"/>
    <n v="1.6345437613438617E-2"/>
    <n v="0"/>
    <n v="0"/>
    <n v="0"/>
    <n v="0"/>
    <n v="2900.0039999999999"/>
    <n v="5.9252293075903045E-2"/>
    <m/>
    <n v="0"/>
    <n v="85"/>
    <n v="1.7367027464278528E-3"/>
    <m/>
    <n v="0"/>
    <n v="111.10600000000001"/>
    <n v="2.2700952393483885E-3"/>
    <m/>
    <n v="0"/>
    <m/>
    <n v="0"/>
    <n v="101.44"/>
    <n v="2.0726014893840163E-3"/>
    <n v="43.152999999999999"/>
    <n v="8.816933366658957E-4"/>
    <x v="201"/>
    <n v="8.2558823501167791E-2"/>
    <x v="200"/>
    <n v="0.47514047933118397"/>
    <n v="-42806.013999999996"/>
    <n v="-6137.3070000000007"/>
    <x v="190"/>
    <n v="48943.320999999996"/>
    <x v="190"/>
    <x v="190"/>
    <x v="188"/>
    <x v="188"/>
    <x v="188"/>
    <x v="190"/>
    <n v="0.22585022285088943"/>
    <x v="206"/>
    <x v="206"/>
  </r>
  <r>
    <x v="208"/>
    <n v="0"/>
    <n v="0"/>
    <n v="1400"/>
    <n v="1.7937685352344954E-2"/>
    <n v="0"/>
    <n v="0"/>
    <n v="0"/>
    <n v="0"/>
    <n v="3631.9180000000001"/>
    <n v="4.6534430221084271E-2"/>
    <m/>
    <n v="0"/>
    <m/>
    <n v="0"/>
    <n v="203.99"/>
    <n v="2.6136488821606051E-3"/>
    <n v="85.962999999999994"/>
    <n v="1.1014123185311636E-3"/>
    <m/>
    <n v="0"/>
    <m/>
    <n v="0"/>
    <n v="225.37"/>
    <n v="2.8875829627557016E-3"/>
    <n v="51.427999999999997"/>
    <n v="6.5892805878599726E-4"/>
    <x v="202"/>
    <n v="7.1733687795662693E-2"/>
    <x v="201"/>
    <n v="0.4640047030560972"/>
    <n v="-68211.579000000012"/>
    <n v="-9836.3950000000004"/>
    <x v="191"/>
    <n v="78047.974000000017"/>
    <x v="191"/>
    <x v="191"/>
    <x v="189"/>
    <x v="189"/>
    <x v="189"/>
    <x v="191"/>
    <n v="0.22532108803584833"/>
    <x v="207"/>
    <x v="207"/>
  </r>
  <r>
    <x v="209"/>
    <n v="0"/>
    <n v="0"/>
    <n v="0"/>
    <n v="0"/>
    <n v="0"/>
    <n v="0"/>
    <n v="0"/>
    <n v="0"/>
    <n v="3972.68"/>
    <n v="7.3248232423691439E-2"/>
    <m/>
    <n v="0"/>
    <m/>
    <n v="0"/>
    <n v="92.26"/>
    <n v="1.7010889181635E-3"/>
    <n v="1734.6830000000002"/>
    <n v="3.1984067069440868E-2"/>
    <m/>
    <n v="0"/>
    <m/>
    <n v="0"/>
    <n v="317.58199999999999"/>
    <n v="5.8555736051181511E-3"/>
    <n v="583.33699999999999"/>
    <n v="1.0755561524547382E-2"/>
    <x v="203"/>
    <n v="0.12354452354096138"/>
    <x v="202"/>
    <n v="0.42488154697977626"/>
    <n v="-47500.016999999993"/>
    <n v="-6735.8310000000001"/>
    <x v="192"/>
    <n v="54235.847999999991"/>
    <x v="192"/>
    <x v="192"/>
    <x v="190"/>
    <x v="190"/>
    <x v="190"/>
    <x v="192"/>
    <n v="0.28103796470737857"/>
    <x v="208"/>
    <x v="208"/>
  </r>
  <r>
    <x v="210"/>
    <n v="0"/>
    <n v="0"/>
    <n v="1350"/>
    <n v="3.6343971949776295E-2"/>
    <n v="0"/>
    <n v="0"/>
    <n v="0"/>
    <n v="0"/>
    <n v="9291.0889999999999"/>
    <n v="0.2501296874065741"/>
    <m/>
    <n v="0"/>
    <m/>
    <n v="0"/>
    <n v="113.83"/>
    <n v="3.0644698718837299E-3"/>
    <n v="2311.2809999999999"/>
    <n v="6.2223060616334001E-2"/>
    <m/>
    <n v="0"/>
    <m/>
    <n v="0"/>
    <n v="309.91200000000003"/>
    <n v="8.3432837295548679E-3"/>
    <n v="28.157999999999998"/>
    <n v="7.5805449049022274E-4"/>
    <x v="204"/>
    <n v="0.36086252806461316"/>
    <x v="203"/>
    <n v="0.54083836174619804"/>
    <n v="-32516.173000000003"/>
    <n v="-4628.9139999999998"/>
    <x v="193"/>
    <n v="37145.087"/>
    <x v="193"/>
    <x v="193"/>
    <x v="191"/>
    <x v="191"/>
    <x v="191"/>
    <x v="193"/>
    <n v="0.24846269385545389"/>
    <x v="209"/>
    <x v="209"/>
  </r>
  <r>
    <x v="211"/>
    <n v="0"/>
    <n v="0"/>
    <n v="2710"/>
    <n v="9.2670963325674864E-3"/>
    <n v="0"/>
    <n v="0"/>
    <n v="0"/>
    <n v="0"/>
    <n v="8602.0779999999995"/>
    <n v="2.9415603500464741E-2"/>
    <m/>
    <n v="0"/>
    <m/>
    <n v="0"/>
    <n v="392.51"/>
    <n v="1.3422243474155216E-3"/>
    <m/>
    <n v="0"/>
    <m/>
    <n v="0"/>
    <m/>
    <n v="0"/>
    <n v="337.77"/>
    <n v="1.1550358406831438E-3"/>
    <n v="133.66900000000001"/>
    <n v="4.5709354231659164E-4"/>
    <x v="205"/>
    <n v="4.1637053563447483E-2"/>
    <x v="204"/>
    <n v="0.53895920468260972"/>
    <n v="-256657.58899999998"/>
    <n v="-35774.894999999997"/>
    <x v="194"/>
    <n v="292432.484"/>
    <x v="194"/>
    <x v="194"/>
    <x v="192"/>
    <x v="192"/>
    <x v="192"/>
    <x v="194"/>
    <n v="0.29539132937627227"/>
    <x v="210"/>
    <x v="210"/>
  </r>
  <r>
    <x v="212"/>
    <n v="0"/>
    <n v="0"/>
    <n v="600"/>
    <n v="1.3771631100970294E-2"/>
    <n v="0"/>
    <n v="0"/>
    <n v="0"/>
    <n v="0"/>
    <n v="3308.3710000000001"/>
    <n v="7.593610826191366E-2"/>
    <m/>
    <n v="0"/>
    <n v="250"/>
    <n v="5.7381796254042895E-3"/>
    <n v="11.37"/>
    <n v="2.6097240936338704E-4"/>
    <n v="329.233"/>
    <n v="7.5567923704429217E-3"/>
    <m/>
    <n v="0"/>
    <m/>
    <n v="0"/>
    <n v="204.26"/>
    <n v="4.6883222811403202E-3"/>
    <n v="161.19400000000002"/>
    <n v="3.6998405061496762E-3"/>
    <x v="206"/>
    <n v="0.11165184655538454"/>
    <x v="205"/>
    <n v="0.45371965329276037"/>
    <n v="-38069.936000000002"/>
    <n v="-5497.8879999999999"/>
    <x v="195"/>
    <n v="43567.824000000001"/>
    <x v="195"/>
    <x v="195"/>
    <x v="193"/>
    <x v="193"/>
    <x v="193"/>
    <x v="195"/>
    <n v="0.24713166210085594"/>
    <x v="211"/>
    <x v="211"/>
  </r>
  <r>
    <x v="213"/>
    <n v="0"/>
    <n v="0"/>
    <n v="1450"/>
    <n v="1.7883949840774876E-2"/>
    <n v="0"/>
    <n v="0"/>
    <n v="0"/>
    <n v="0"/>
    <n v="4963.3519999999999"/>
    <n v="6.1216784972489419E-2"/>
    <m/>
    <n v="0"/>
    <m/>
    <n v="0"/>
    <n v="167.56"/>
    <n v="2.066644576082923E-3"/>
    <n v="396.28999999999996"/>
    <n v="4.8877451602763276E-3"/>
    <m/>
    <n v="0"/>
    <m/>
    <n v="0"/>
    <n v="200.91"/>
    <n v="2.477975422420745E-3"/>
    <n v="54.433999999999997"/>
    <n v="6.7137581078119965E-4"/>
    <x v="207"/>
    <n v="8.9204475782825504E-2"/>
    <x v="206"/>
    <n v="0.5201123269922111"/>
    <n v="-71729.081000000006"/>
    <n v="-9349.2049999999999"/>
    <x v="196"/>
    <n v="81078.286000000007"/>
    <x v="196"/>
    <x v="196"/>
    <x v="194"/>
    <x v="194"/>
    <x v="194"/>
    <x v="196"/>
    <n v="0.23498984001048848"/>
    <x v="212"/>
    <x v="212"/>
  </r>
  <r>
    <x v="214"/>
    <n v="0"/>
    <n v="0"/>
    <n v="1000"/>
    <n v="1.9753902719298545E-2"/>
    <n v="0"/>
    <n v="0"/>
    <n v="0"/>
    <n v="0"/>
    <n v="4881.8989999999994"/>
    <n v="9.6436557931440833E-2"/>
    <m/>
    <n v="0"/>
    <m/>
    <n v="0"/>
    <n v="123.42"/>
    <n v="2.4380266736158266E-3"/>
    <n v="1163.251"/>
    <n v="2.2978747092126751E-2"/>
    <m/>
    <n v="0"/>
    <m/>
    <n v="0"/>
    <n v="69.540000000000006"/>
    <n v="1.3736863951000209E-3"/>
    <n v="90.171999999999997"/>
    <n v="1.7812489160045884E-3"/>
    <x v="208"/>
    <n v="0.14476216972758657"/>
    <x v="207"/>
    <n v="0.41914749346284108"/>
    <n v="-44407.351999999999"/>
    <n v="-6215.5559999999996"/>
    <x v="197"/>
    <n v="50622.907999999996"/>
    <x v="197"/>
    <x v="197"/>
    <x v="195"/>
    <x v="195"/>
    <x v="195"/>
    <x v="197"/>
    <n v="0.26043104692933478"/>
    <x v="213"/>
    <x v="213"/>
  </r>
  <r>
    <x v="215"/>
    <n v="0"/>
    <n v="0"/>
    <n v="913"/>
    <n v="2.1536178184629919E-2"/>
    <n v="0"/>
    <n v="0"/>
    <n v="0"/>
    <n v="0"/>
    <n v="3314.2049999999999"/>
    <n v="7.8176680635697049E-2"/>
    <m/>
    <n v="0"/>
    <m/>
    <n v="0"/>
    <n v="55.29"/>
    <n v="1.3042007577526707E-3"/>
    <n v="251.01600000000002"/>
    <n v="5.921057287177507E-3"/>
    <m/>
    <n v="0"/>
    <m/>
    <n v="0"/>
    <n v="199.13"/>
    <n v="4.6971513273881228E-3"/>
    <n v="42.087999999999994"/>
    <n v="9.9278714943560123E-4"/>
    <x v="209"/>
    <n v="0.11262805534208091"/>
    <x v="208"/>
    <n v="0.47777039461921073"/>
    <n v="-37155.092999999993"/>
    <n v="-5238.6869999999999"/>
    <x v="198"/>
    <n v="42393.779999999992"/>
    <x v="198"/>
    <x v="198"/>
    <x v="196"/>
    <x v="196"/>
    <x v="196"/>
    <x v="198"/>
    <n v="0.22502914983618938"/>
    <x v="214"/>
    <x v="214"/>
  </r>
  <r>
    <x v="216"/>
    <n v="0"/>
    <n v="0"/>
    <n v="1850"/>
    <n v="1.8926198496148822E-2"/>
    <n v="0"/>
    <n v="0"/>
    <n v="0"/>
    <n v="0"/>
    <n v="3853.4120000000003"/>
    <n v="3.9421859675373962E-2"/>
    <m/>
    <n v="0"/>
    <m/>
    <n v="0"/>
    <n v="207.19"/>
    <n v="2.1196319277930133E-3"/>
    <n v="2585.3890000000001"/>
    <n v="2.6449505623653898E-2"/>
    <m/>
    <n v="0"/>
    <m/>
    <n v="0"/>
    <n v="273.322"/>
    <n v="2.7961872569537234E-3"/>
    <n v="319.38099999999997"/>
    <n v="3.2673882172424358E-3"/>
    <x v="210"/>
    <n v="9.2980771197165843E-2"/>
    <x v="209"/>
    <n v="0.50941839761330199"/>
    <n v="-85436.00499999999"/>
    <n v="-12312.098"/>
    <x v="199"/>
    <n v="97748.102999999988"/>
    <x v="199"/>
    <x v="199"/>
    <x v="197"/>
    <x v="197"/>
    <x v="197"/>
    <x v="199"/>
    <n v="0.26554194614006199"/>
    <x v="215"/>
    <x v="215"/>
  </r>
  <r>
    <x v="217"/>
    <n v="0"/>
    <n v="0"/>
    <n v="0"/>
    <n v="0"/>
    <n v="0"/>
    <n v="0"/>
    <n v="0"/>
    <n v="0"/>
    <n v="0"/>
    <n v="0"/>
    <m/>
    <n v="0"/>
    <m/>
    <n v="0"/>
    <m/>
    <n v="0"/>
    <m/>
    <n v="0"/>
    <m/>
    <n v="0"/>
    <m/>
    <n v="0"/>
    <m/>
    <n v="0"/>
    <m/>
    <n v="0"/>
    <x v="43"/>
    <n v="0"/>
    <x v="210"/>
    <n v="8.2862201599609264"/>
    <n v="-16.378999999999998"/>
    <n v="0"/>
    <x v="200"/>
    <n v="16.378999999999998"/>
    <x v="200"/>
    <x v="200"/>
    <x v="0"/>
    <x v="0"/>
    <x v="0"/>
    <x v="200"/>
    <n v="0.13479218615606312"/>
    <x v="216"/>
    <x v="216"/>
  </r>
  <r>
    <x v="218"/>
    <n v="0"/>
    <n v="0"/>
    <n v="850"/>
    <n v="9.7602375820956579E-3"/>
    <n v="50.65"/>
    <n v="5.8159533356840593E-4"/>
    <n v="0"/>
    <n v="0"/>
    <n v="5263.4670000000006"/>
    <n v="6.0438456971200337E-2"/>
    <m/>
    <n v="0"/>
    <n v="15.35"/>
    <n v="1.7625840810019805E-4"/>
    <n v="306.58999999999997"/>
    <n v="3.5204602826996558E-3"/>
    <n v="1541.76"/>
    <n v="1.7703463405378587E-2"/>
    <m/>
    <n v="0"/>
    <m/>
    <n v="0"/>
    <n v="301.82399999999996"/>
    <n v="3.4657340564452225E-3"/>
    <n v="140.52999999999997"/>
    <n v="1.6136543381316498E-3"/>
    <x v="211"/>
    <n v="9.7259860377619731E-2"/>
    <x v="211"/>
    <n v="0.49863429014435112"/>
    <n v="-76140.964999999982"/>
    <n v="-10947.079"/>
    <x v="201"/>
    <n v="87088.04399999998"/>
    <x v="201"/>
    <x v="201"/>
    <x v="198"/>
    <x v="198"/>
    <x v="198"/>
    <x v="201"/>
    <n v="0.22687891800500185"/>
    <x v="217"/>
    <x v="217"/>
  </r>
  <r>
    <x v="219"/>
    <n v="0"/>
    <n v="0"/>
    <n v="1500"/>
    <n v="1.1106556517960067E-2"/>
    <n v="0"/>
    <n v="0"/>
    <n v="0"/>
    <n v="0"/>
    <n v="5118.0349999999999"/>
    <n v="3.7895829992265172E-2"/>
    <m/>
    <n v="0"/>
    <m/>
    <n v="0"/>
    <n v="182.29"/>
    <n v="1.3497427917726272E-3"/>
    <m/>
    <n v="0"/>
    <m/>
    <n v="0"/>
    <m/>
    <n v="0"/>
    <n v="159.30000000000001"/>
    <n v="1.1795163022073592E-3"/>
    <n v="88.932999999999993"/>
    <n v="6.5849292720782842E-4"/>
    <x v="212"/>
    <n v="5.2190138531413056E-2"/>
    <x v="212"/>
    <n v="0.51282701765537464"/>
    <n v="-118283.727"/>
    <n v="-16771.634000000002"/>
    <x v="202"/>
    <n v="135055.361"/>
    <x v="202"/>
    <x v="202"/>
    <x v="199"/>
    <x v="199"/>
    <x v="199"/>
    <x v="202"/>
    <n v="0.22782920635338441"/>
    <x v="218"/>
    <x v="218"/>
  </r>
  <r>
    <x v="220"/>
    <n v="0"/>
    <n v="0"/>
    <n v="710"/>
    <n v="1.5041815505607643E-2"/>
    <n v="0"/>
    <n v="0"/>
    <n v="0"/>
    <n v="0"/>
    <n v="3321.7219999999998"/>
    <n v="7.0372858429462004E-2"/>
    <m/>
    <n v="0"/>
    <m/>
    <n v="0"/>
    <n v="42.8"/>
    <n v="9.0674606146479869E-4"/>
    <n v="944.524"/>
    <n v="2.0010360209321905E-2"/>
    <m/>
    <n v="0"/>
    <m/>
    <n v="0"/>
    <n v="204.8"/>
    <n v="4.3388222754203454E-3"/>
    <n v="23.702999999999999"/>
    <n v="5.0216359567523659E-4"/>
    <x v="213"/>
    <n v="0.11117276607695196"/>
    <x v="213"/>
    <n v="0.46417210091092181"/>
    <n v="-41521.279999999999"/>
    <n v="-5680.4690000000001"/>
    <x v="203"/>
    <n v="47201.748999999996"/>
    <x v="203"/>
    <x v="203"/>
    <x v="200"/>
    <x v="200"/>
    <x v="200"/>
    <x v="203"/>
    <n v="0.234662671378812"/>
    <x v="219"/>
    <x v="219"/>
  </r>
  <r>
    <x v="221"/>
    <n v="0"/>
    <n v="0"/>
    <n v="1000"/>
    <n v="1.2678930615883491E-2"/>
    <n v="0"/>
    <n v="0"/>
    <n v="0"/>
    <n v="0"/>
    <n v="3986.404"/>
    <n v="5.0543339722880415E-2"/>
    <m/>
    <n v="0"/>
    <m/>
    <n v="0"/>
    <n v="125.54"/>
    <n v="1.5917129495180136E-3"/>
    <n v="114.434"/>
    <n v="1.4509007460980115E-3"/>
    <m/>
    <n v="0"/>
    <m/>
    <n v="0"/>
    <n v="100.08"/>
    <n v="1.2689073760376198E-3"/>
    <n v="62.759999999999991"/>
    <n v="7.9572968545284781E-4"/>
    <x v="214"/>
    <n v="6.8329521095870413E-2"/>
    <x v="214"/>
    <n v="0.52223759542559389"/>
    <n v="-69311.22"/>
    <n v="-9559.7849999999999"/>
    <x v="204"/>
    <n v="78871.005000000005"/>
    <x v="204"/>
    <x v="204"/>
    <x v="201"/>
    <x v="201"/>
    <x v="201"/>
    <x v="204"/>
    <n v="0.2501015623100783"/>
    <x v="220"/>
    <x v="220"/>
  </r>
  <r>
    <x v="222"/>
    <n v="-5925.7560000000003"/>
    <n v="-6.3890502204516826E-4"/>
    <n v="240425.55000000002"/>
    <n v="1.3311918328012922"/>
    <n v="6107.72"/>
    <n v="6.1150124585691943E-4"/>
    <n v="517.476"/>
    <n v="3.5752453728700363E-5"/>
    <n v="803615.51799999946"/>
    <n v="2.6366421267020046"/>
    <n v="1006.1499999999999"/>
    <n v="1.2465672100795415E-3"/>
    <n v="3181.18"/>
    <n v="7.3038454362934428E-4"/>
    <n v="36344.327000000005"/>
    <n v="0.1172817473673899"/>
    <n v="228654.0290000001"/>
    <n v="0.32463904378069325"/>
    <n v="397.74299999999999"/>
    <n v="5.1409959592715979E-5"/>
    <n v="425"/>
    <n v="2.7729506242436624E-5"/>
    <n v="44333.628999999986"/>
    <n v="5.8248868598857181E-2"/>
    <n v="52779.892000000022"/>
    <n v="4.3852354172733879E-2"/>
    <x v="215"/>
    <n v="4.5166319515742313"/>
    <x v="215"/>
    <n v="9.3255720304509619"/>
    <n v="-11521842.824000003"/>
    <n v="-1582212.3410000005"/>
    <x v="205"/>
    <n v="13104055.164999995"/>
    <x v="205"/>
    <x v="205"/>
    <x v="202"/>
    <x v="202"/>
    <x v="202"/>
    <x v="205"/>
    <n v="0.21265528515012269"/>
    <x v="221"/>
    <x v="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65B26-50B9-416E-A2B7-13355F4AEE83}" name="TablaDiná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C4:HR16" firstHeaderRow="1" firstDataRow="13" firstDataCol="0"/>
  <pivotFields count="44">
    <pivotField axis="axisCol" compact="0" outline="0" showAll="0" sortType="ascending" defaultSubtotal="0">
      <items count="2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m="1" x="223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</items>
    </pivotField>
    <pivotField compact="0" outline="0" subtotalTop="0" showAll="0" defaultSubtotal="0"/>
    <pivotField compact="0" numFmtId="10" outline="0" subtotalTop="0" showAll="0" defaultSubtotal="0"/>
    <pivotField compact="0" outline="0" subtotalTop="0" showAll="0" defaultSubtotal="0"/>
    <pivotField compact="0" numFmtId="10" outline="0" subtotalTop="0" showAll="0" defaultSubtotal="0"/>
    <pivotField compact="0" outline="0" subtotalTop="0" showAll="0" defaultSubtotal="0"/>
    <pivotField compact="0" numFmtId="10" outline="0" subtotalTop="0" showAll="0" defaultSubtotal="0"/>
    <pivotField compact="0" outline="0" subtotalTop="0" showAll="0" defaultSubtotal="0"/>
    <pivotField compact="0" numFmtId="10" outline="0" subtotalTop="0" showAll="0" defaultSubtotal="0"/>
    <pivotField compact="0" outline="0" subtotalTop="0" showAll="0" defaultSubtotal="0"/>
    <pivotField compact="0" numFmtId="10" outline="0" subtotalTop="0" showAll="0" defaultSubtotal="0"/>
    <pivotField compact="0" outline="0" subtotalTop="0" showAll="0" defaultSubtotal="0"/>
    <pivotField compact="0" numFmtId="10" outline="0" subtotalTop="0" showAll="0" defaultSubtotal="0"/>
    <pivotField compact="0" outline="0" subtotalTop="0" showAll="0" defaultSubtotal="0"/>
    <pivotField compact="0" numFmtId="10" outline="0" subtotalTop="0" showAll="0" defaultSubtotal="0"/>
    <pivotField compact="0" outline="0" subtotalTop="0" showAll="0" defaultSubtotal="0"/>
    <pivotField compact="0" numFmtId="10" outline="0" subtotalTop="0" showAll="0" defaultSubtotal="0"/>
    <pivotField compact="0" outline="0" subtotalTop="0" showAll="0" defaultSubtotal="0"/>
    <pivotField compact="0" numFmtId="10" outline="0" subtotalTop="0" showAll="0" defaultSubtotal="0"/>
    <pivotField compact="0" outline="0" subtotalTop="0" showAll="0" defaultSubtotal="0"/>
    <pivotField compact="0" numFmtId="10" outline="0" subtotalTop="0" showAll="0" defaultSubtotal="0"/>
    <pivotField compact="0" outline="0" subtotalTop="0" showAll="0" defaultSubtotal="0"/>
    <pivotField compact="0" numFmtId="10" outline="0" subtotalTop="0" showAll="0" defaultSubtotal="0"/>
    <pivotField compact="0" outline="0" subtotalTop="0" showAll="0" defaultSubtotal="0"/>
    <pivotField compact="0" numFmtId="10" outline="0" subtotalTop="0" showAll="0" defaultSubtotal="0"/>
    <pivotField compact="0" outline="0" subtotalTop="0" showAll="0" defaultSubtotal="0"/>
    <pivotField compact="0" numFmtId="10" outline="0" subtotalTop="0" showAll="0" defaultSubtotal="0"/>
    <pivotField axis="axisCol" compact="0" outline="0" showAll="0" defaultSubtotal="0">
      <items count="447"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16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217"/>
        <item m="1" x="218"/>
        <item x="73"/>
        <item x="74"/>
        <item x="75"/>
        <item m="1" x="219"/>
        <item x="77"/>
        <item x="78"/>
        <item x="79"/>
        <item x="80"/>
        <item x="81"/>
        <item x="82"/>
        <item m="1" x="220"/>
        <item m="1" x="221"/>
        <item m="1" x="222"/>
        <item m="1" x="223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m="1" x="224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m="1" x="225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m="1" x="229"/>
        <item m="1" x="230"/>
        <item x="138"/>
        <item m="1" x="231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m="1" x="227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m="1" x="232"/>
        <item x="43"/>
        <item m="1" x="226"/>
        <item m="1" x="228"/>
        <item x="28"/>
        <item x="71"/>
        <item x="72"/>
        <item x="76"/>
        <item x="83"/>
        <item x="84"/>
        <item x="85"/>
        <item x="86"/>
        <item x="102"/>
        <item x="120"/>
        <item x="139"/>
        <item x="151"/>
        <item x="215"/>
      </items>
    </pivotField>
    <pivotField compact="0" numFmtId="10" outline="0" subtotalTop="0" showAll="0" defaultSubtotal="0"/>
    <pivotField axis="axisCol" compact="0" outline="0" showAll="0" defaultSubtotal="0">
      <items count="423">
        <item x="0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216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</items>
    </pivotField>
    <pivotField compact="0" numFmtId="10" outline="0" subtotalTop="0" showAll="0" defaultSubtotal="0"/>
    <pivotField compact="0" outline="0" showAll="0" defaultSubtotal="0"/>
    <pivotField compact="0" outline="0" showAll="0" defaultSubtotal="0"/>
    <pivotField axis="axisCol" compact="0" numFmtId="164" outline="0" showAll="0" defaultSubtotal="0">
      <items count="416">
        <item sd="0" x="0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m="1" x="206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m="1" x="207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m="1" x="208"/>
        <item x="144"/>
        <item x="166"/>
        <item x="205"/>
      </items>
    </pivotField>
    <pivotField compact="0" numFmtId="164" outline="0" subtotalTop="0" showAll="0" defaultSubtotal="0"/>
    <pivotField axis="axisCol" compact="0" numFmtId="165" outline="0" subtotalTop="0" showAll="0" defaultSubtotal="0">
      <items count="618">
        <item x="0"/>
        <item m="1" x="535"/>
        <item m="1" x="450"/>
        <item m="1" x="534"/>
        <item m="1" x="532"/>
        <item m="1" x="531"/>
        <item m="1" x="530"/>
        <item m="1" x="595"/>
        <item m="1" x="528"/>
        <item m="1" x="529"/>
        <item m="1" x="533"/>
        <item m="1" x="418"/>
        <item m="1" x="415"/>
        <item m="1" x="494"/>
        <item m="1" x="479"/>
        <item m="1" x="419"/>
        <item m="1" x="473"/>
        <item m="1" x="449"/>
        <item m="1" x="493"/>
        <item m="1" x="490"/>
        <item m="1" x="570"/>
        <item m="1" x="512"/>
        <item m="1" x="557"/>
        <item m="1" x="452"/>
        <item m="1" x="439"/>
        <item m="1" x="577"/>
        <item m="1" x="515"/>
        <item m="1" x="507"/>
        <item m="1" x="446"/>
        <item m="1" x="593"/>
        <item m="1" x="500"/>
        <item m="1" x="566"/>
        <item m="1" x="537"/>
        <item m="1" x="569"/>
        <item m="1" x="486"/>
        <item m="1" x="542"/>
        <item m="1" x="498"/>
        <item m="1" x="598"/>
        <item m="1" x="564"/>
        <item m="1" x="547"/>
        <item m="1" x="521"/>
        <item m="1" x="477"/>
        <item m="1" x="511"/>
        <item m="1" x="423"/>
        <item m="1" x="594"/>
        <item m="1" x="487"/>
        <item m="1" x="491"/>
        <item m="1" x="482"/>
        <item m="1" x="424"/>
        <item m="1" x="467"/>
        <item m="1" x="509"/>
        <item m="1" x="514"/>
        <item m="1" x="492"/>
        <item m="1" x="576"/>
        <item m="1" x="540"/>
        <item m="1" x="434"/>
        <item m="1" x="517"/>
        <item m="1" x="422"/>
        <item m="1" x="562"/>
        <item m="1" x="615"/>
        <item m="1" x="579"/>
        <item m="1" x="488"/>
        <item m="1" x="411"/>
        <item m="1" x="584"/>
        <item m="1" x="483"/>
        <item m="1" x="519"/>
        <item m="1" x="575"/>
        <item m="1" x="548"/>
        <item m="1" x="506"/>
        <item m="1" x="442"/>
        <item m="1" x="440"/>
        <item m="1" x="586"/>
        <item m="1" x="606"/>
        <item m="1" x="429"/>
        <item m="1" x="585"/>
        <item m="1" x="510"/>
        <item m="1" x="608"/>
        <item m="1" x="497"/>
        <item m="1" x="485"/>
        <item m="1" x="605"/>
        <item m="1" x="426"/>
        <item m="1" x="611"/>
        <item m="1" x="522"/>
        <item m="1" x="444"/>
        <item m="1" x="610"/>
        <item m="1" x="420"/>
        <item m="1" x="536"/>
        <item m="1" x="565"/>
        <item m="1" x="443"/>
        <item m="1" x="427"/>
        <item m="1" x="432"/>
        <item m="1" x="471"/>
        <item m="1" x="525"/>
        <item m="1" x="545"/>
        <item m="1" x="508"/>
        <item m="1" x="421"/>
        <item m="1" x="455"/>
        <item m="1" x="580"/>
        <item m="1" x="472"/>
        <item m="1" x="416"/>
        <item m="1" x="435"/>
        <item m="1" x="504"/>
        <item m="1" x="489"/>
        <item m="1" x="447"/>
        <item m="1" x="581"/>
        <item m="1" x="412"/>
        <item m="1" x="453"/>
        <item m="1" x="516"/>
        <item m="1" x="603"/>
        <item m="1" x="563"/>
        <item m="1" x="597"/>
        <item m="1" x="501"/>
        <item m="1" x="451"/>
        <item m="1" x="524"/>
        <item m="1" x="526"/>
        <item m="1" x="556"/>
        <item m="1" x="459"/>
        <item m="1" x="602"/>
        <item m="1" x="448"/>
        <item m="1" x="468"/>
        <item m="1" x="445"/>
        <item m="1" x="568"/>
        <item m="1" x="470"/>
        <item m="1" x="518"/>
        <item m="1" x="481"/>
        <item m="1" x="462"/>
        <item m="1" x="550"/>
        <item m="1" x="599"/>
        <item m="1" x="430"/>
        <item m="1" x="573"/>
        <item m="1" x="461"/>
        <item m="1" x="549"/>
        <item m="1" x="560"/>
        <item m="1" x="578"/>
        <item m="1" x="583"/>
        <item m="1" x="523"/>
        <item m="1" x="571"/>
        <item m="1" x="476"/>
        <item m="1" x="588"/>
        <item m="1" x="541"/>
        <item m="1" x="474"/>
        <item m="1" x="552"/>
        <item m="1" x="591"/>
        <item m="1" x="495"/>
        <item m="1" x="425"/>
        <item m="1" x="592"/>
        <item m="1" x="513"/>
        <item m="1" x="616"/>
        <item m="1" x="414"/>
        <item m="1" x="609"/>
        <item m="1" x="601"/>
        <item m="1" x="604"/>
        <item m="1" x="502"/>
        <item m="1" x="590"/>
        <item m="1" x="544"/>
        <item m="1" x="436"/>
        <item m="1" x="499"/>
        <item m="1" x="613"/>
        <item m="1" x="561"/>
        <item m="1" x="478"/>
        <item m="1" x="475"/>
        <item m="1" x="417"/>
        <item m="1" x="457"/>
        <item m="1" x="558"/>
        <item m="1" x="460"/>
        <item m="1" x="572"/>
        <item m="1" x="503"/>
        <item m="1" x="441"/>
        <item m="1" x="438"/>
        <item m="1" x="596"/>
        <item m="1" x="469"/>
        <item m="1" x="505"/>
        <item m="1" x="612"/>
        <item m="1" x="433"/>
        <item m="1" x="559"/>
        <item m="1" x="546"/>
        <item m="1" x="520"/>
        <item m="1" x="543"/>
        <item m="1" x="574"/>
        <item m="1" x="614"/>
        <item m="1" x="480"/>
        <item m="1" x="456"/>
        <item m="1" x="431"/>
        <item m="1" x="428"/>
        <item m="1" x="600"/>
        <item m="1" x="587"/>
        <item m="1" x="539"/>
        <item m="1" x="555"/>
        <item m="1" x="551"/>
        <item m="1" x="554"/>
        <item m="1" x="527"/>
        <item m="1" x="553"/>
        <item m="1" x="464"/>
        <item m="1" x="458"/>
        <item m="1" x="465"/>
        <item m="1" x="413"/>
        <item m="1" x="607"/>
        <item m="1" x="496"/>
        <item m="1" x="437"/>
        <item m="1" x="582"/>
        <item m="1" x="567"/>
        <item m="1" x="454"/>
        <item m="1" x="538"/>
        <item m="1" x="466"/>
        <item m="1" x="463"/>
        <item m="1" x="589"/>
        <item m="1" x="484"/>
        <item m="1" x="617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</items>
    </pivotField>
    <pivotField axis="axisCol" compact="0" numFmtId="164" outline="0" subtotalTop="0" showAll="0" defaultSubtotal="0">
      <items count="618">
        <item x="0"/>
        <item m="1" x="535"/>
        <item m="1" x="450"/>
        <item m="1" x="534"/>
        <item m="1" x="532"/>
        <item m="1" x="531"/>
        <item m="1" x="530"/>
        <item m="1" x="595"/>
        <item m="1" x="528"/>
        <item m="1" x="529"/>
        <item m="1" x="533"/>
        <item m="1" x="418"/>
        <item m="1" x="415"/>
        <item m="1" x="494"/>
        <item m="1" x="479"/>
        <item m="1" x="419"/>
        <item m="1" x="473"/>
        <item m="1" x="449"/>
        <item m="1" x="493"/>
        <item m="1" x="490"/>
        <item m="1" x="570"/>
        <item m="1" x="512"/>
        <item m="1" x="557"/>
        <item m="1" x="452"/>
        <item m="1" x="439"/>
        <item m="1" x="577"/>
        <item m="1" x="515"/>
        <item m="1" x="507"/>
        <item m="1" x="446"/>
        <item m="1" x="593"/>
        <item m="1" x="500"/>
        <item m="1" x="566"/>
        <item m="1" x="537"/>
        <item m="1" x="569"/>
        <item m="1" x="486"/>
        <item m="1" x="542"/>
        <item m="1" x="498"/>
        <item m="1" x="598"/>
        <item m="1" x="564"/>
        <item m="1" x="547"/>
        <item m="1" x="521"/>
        <item m="1" x="477"/>
        <item m="1" x="511"/>
        <item m="1" x="423"/>
        <item m="1" x="594"/>
        <item m="1" x="487"/>
        <item m="1" x="491"/>
        <item m="1" x="482"/>
        <item m="1" x="424"/>
        <item m="1" x="467"/>
        <item m="1" x="509"/>
        <item m="1" x="514"/>
        <item m="1" x="492"/>
        <item m="1" x="576"/>
        <item m="1" x="540"/>
        <item m="1" x="434"/>
        <item m="1" x="517"/>
        <item m="1" x="422"/>
        <item m="1" x="562"/>
        <item m="1" x="615"/>
        <item m="1" x="579"/>
        <item m="1" x="488"/>
        <item m="1" x="411"/>
        <item m="1" x="584"/>
        <item m="1" x="483"/>
        <item m="1" x="519"/>
        <item m="1" x="575"/>
        <item m="1" x="548"/>
        <item m="1" x="506"/>
        <item m="1" x="442"/>
        <item m="1" x="440"/>
        <item m="1" x="586"/>
        <item m="1" x="606"/>
        <item m="1" x="429"/>
        <item m="1" x="585"/>
        <item m="1" x="510"/>
        <item m="1" x="608"/>
        <item m="1" x="497"/>
        <item m="1" x="485"/>
        <item m="1" x="605"/>
        <item m="1" x="426"/>
        <item m="1" x="611"/>
        <item m="1" x="522"/>
        <item m="1" x="444"/>
        <item m="1" x="610"/>
        <item m="1" x="420"/>
        <item m="1" x="536"/>
        <item m="1" x="565"/>
        <item m="1" x="443"/>
        <item m="1" x="427"/>
        <item m="1" x="432"/>
        <item m="1" x="471"/>
        <item m="1" x="525"/>
        <item m="1" x="545"/>
        <item m="1" x="508"/>
        <item m="1" x="421"/>
        <item m="1" x="455"/>
        <item m="1" x="580"/>
        <item m="1" x="472"/>
        <item m="1" x="416"/>
        <item m="1" x="435"/>
        <item m="1" x="504"/>
        <item m="1" x="489"/>
        <item m="1" x="447"/>
        <item m="1" x="581"/>
        <item m="1" x="412"/>
        <item m="1" x="453"/>
        <item m="1" x="516"/>
        <item m="1" x="603"/>
        <item m="1" x="563"/>
        <item m="1" x="597"/>
        <item m="1" x="501"/>
        <item m="1" x="451"/>
        <item m="1" x="524"/>
        <item m="1" x="526"/>
        <item m="1" x="556"/>
        <item m="1" x="459"/>
        <item m="1" x="602"/>
        <item m="1" x="448"/>
        <item m="1" x="468"/>
        <item m="1" x="445"/>
        <item m="1" x="568"/>
        <item m="1" x="470"/>
        <item m="1" x="518"/>
        <item m="1" x="481"/>
        <item m="1" x="462"/>
        <item m="1" x="550"/>
        <item m="1" x="599"/>
        <item m="1" x="430"/>
        <item m="1" x="573"/>
        <item m="1" x="461"/>
        <item m="1" x="549"/>
        <item m="1" x="560"/>
        <item m="1" x="578"/>
        <item m="1" x="583"/>
        <item m="1" x="523"/>
        <item m="1" x="571"/>
        <item m="1" x="476"/>
        <item m="1" x="588"/>
        <item m="1" x="541"/>
        <item m="1" x="474"/>
        <item m="1" x="552"/>
        <item m="1" x="591"/>
        <item m="1" x="495"/>
        <item m="1" x="425"/>
        <item m="1" x="592"/>
        <item m="1" x="513"/>
        <item m="1" x="616"/>
        <item m="1" x="414"/>
        <item m="1" x="609"/>
        <item m="1" x="601"/>
        <item m="1" x="604"/>
        <item m="1" x="502"/>
        <item m="1" x="590"/>
        <item m="1" x="544"/>
        <item m="1" x="436"/>
        <item m="1" x="499"/>
        <item m="1" x="613"/>
        <item m="1" x="561"/>
        <item m="1" x="478"/>
        <item m="1" x="475"/>
        <item m="1" x="417"/>
        <item m="1" x="457"/>
        <item m="1" x="558"/>
        <item m="1" x="460"/>
        <item m="1" x="572"/>
        <item m="1" x="503"/>
        <item m="1" x="441"/>
        <item m="1" x="438"/>
        <item m="1" x="596"/>
        <item m="1" x="469"/>
        <item m="1" x="505"/>
        <item m="1" x="612"/>
        <item m="1" x="433"/>
        <item m="1" x="559"/>
        <item m="1" x="546"/>
        <item m="1" x="520"/>
        <item m="1" x="543"/>
        <item m="1" x="574"/>
        <item m="1" x="614"/>
        <item m="1" x="480"/>
        <item m="1" x="456"/>
        <item m="1" x="431"/>
        <item m="1" x="428"/>
        <item m="1" x="600"/>
        <item m="1" x="587"/>
        <item m="1" x="539"/>
        <item m="1" x="555"/>
        <item m="1" x="551"/>
        <item m="1" x="554"/>
        <item m="1" x="527"/>
        <item m="1" x="553"/>
        <item m="1" x="464"/>
        <item m="1" x="458"/>
        <item m="1" x="465"/>
        <item m="1" x="413"/>
        <item m="1" x="607"/>
        <item m="1" x="496"/>
        <item m="1" x="437"/>
        <item m="1" x="582"/>
        <item m="1" x="567"/>
        <item m="1" x="454"/>
        <item m="1" x="538"/>
        <item m="1" x="466"/>
        <item m="1" x="463"/>
        <item m="1" x="589"/>
        <item m="1" x="484"/>
        <item m="1" x="617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</items>
    </pivotField>
    <pivotField axis="axisCol" compact="0" outline="0" showAll="0" defaultSubtotal="0">
      <items count="410">
        <item x="0"/>
        <item m="1" x="327"/>
        <item m="1" x="326"/>
        <item m="1" x="324"/>
        <item m="1" x="242"/>
        <item m="1" x="322"/>
        <item m="1" x="323"/>
        <item m="1" x="387"/>
        <item m="1" x="363"/>
        <item m="1" x="320"/>
        <item m="1" x="321"/>
        <item m="1" x="210"/>
        <item m="1" x="271"/>
        <item m="1" x="241"/>
        <item m="1" x="304"/>
        <item m="1" x="362"/>
        <item m="1" x="286"/>
        <item m="1" x="325"/>
        <item m="1" x="385"/>
        <item m="1" x="265"/>
        <item m="1" x="282"/>
        <item m="1" x="279"/>
        <item m="1" x="207"/>
        <item m="1" x="231"/>
        <item m="1" x="307"/>
        <item m="1" x="358"/>
        <item m="1" x="285"/>
        <item m="1" x="303"/>
        <item m="1" x="244"/>
        <item m="1" x="278"/>
        <item m="1" x="334"/>
        <item m="1" x="226"/>
        <item m="1" x="290"/>
        <item m="1" x="211"/>
        <item m="1" x="283"/>
        <item m="1" x="369"/>
        <item m="1" x="292"/>
        <item m="1" x="368"/>
        <item m="1" x="361"/>
        <item m="1" x="299"/>
        <item m="1" x="389"/>
        <item m="1" x="313"/>
        <item m="1" x="224"/>
        <item m="1" x="356"/>
        <item m="1" x="329"/>
        <item m="1" x="390"/>
        <item m="1" x="227"/>
        <item m="1" x="280"/>
        <item m="1" x="339"/>
        <item m="1" x="349"/>
        <item m="1" x="215"/>
        <item m="1" x="216"/>
        <item m="1" x="306"/>
        <item m="1" x="354"/>
        <item m="1" x="259"/>
        <item m="1" x="293"/>
        <item m="1" x="284"/>
        <item m="1" x="309"/>
        <item m="1" x="298"/>
        <item m="1" x="234"/>
        <item m="1" x="311"/>
        <item m="1" x="214"/>
        <item m="1" x="281"/>
        <item m="1" x="376"/>
        <item m="1" x="203"/>
        <item m="1" x="274"/>
        <item m="1" x="238"/>
        <item m="1" x="378"/>
        <item m="1" x="332"/>
        <item m="1" x="212"/>
        <item m="1" x="386"/>
        <item m="1" x="235"/>
        <item m="1" x="213"/>
        <item m="1" x="398"/>
        <item m="1" x="236"/>
        <item m="1" x="357"/>
        <item m="1" x="317"/>
        <item m="1" x="403"/>
        <item m="1" x="373"/>
        <item m="1" x="400"/>
        <item m="1" x="340"/>
        <item m="1" x="377"/>
        <item m="1" x="232"/>
        <item m="1" x="407"/>
        <item m="1" x="337"/>
        <item m="1" x="371"/>
        <item m="1" x="219"/>
        <item m="1" x="269"/>
        <item m="1" x="275"/>
        <item m="1" x="277"/>
        <item m="1" x="302"/>
        <item m="1" x="355"/>
        <item m="1" x="289"/>
        <item m="1" x="204"/>
        <item m="1" x="372"/>
        <item m="1" x="247"/>
        <item m="1" x="316"/>
        <item m="1" x="240"/>
        <item m="1" x="402"/>
        <item m="1" x="308"/>
        <item m="1" x="365"/>
        <item m="1" x="348"/>
        <item m="1" x="273"/>
        <item m="1" x="328"/>
        <item m="1" x="314"/>
        <item m="1" x="397"/>
        <item m="1" x="218"/>
        <item m="1" x="367"/>
        <item m="1" x="264"/>
        <item m="1" x="395"/>
        <item m="1" x="221"/>
        <item m="1" x="245"/>
        <item m="1" x="263"/>
        <item m="1" x="287"/>
        <item m="1" x="253"/>
        <item m="1" x="239"/>
        <item m="1" x="237"/>
        <item m="1" x="301"/>
        <item m="1" x="318"/>
        <item m="1" x="391"/>
        <item m="1" x="208"/>
        <item m="1" x="296"/>
        <item m="1" x="336"/>
        <item m="1" x="380"/>
        <item m="1" x="310"/>
        <item m="1" x="254"/>
        <item m="1" x="315"/>
        <item m="1" x="300"/>
        <item m="1" x="249"/>
        <item m="1" x="360"/>
        <item m="1" x="262"/>
        <item m="1" x="342"/>
        <item m="1" x="222"/>
        <item m="1" x="394"/>
        <item m="1" x="225"/>
        <item m="1" x="260"/>
        <item m="1" x="305"/>
        <item m="1" x="344"/>
        <item m="1" x="270"/>
        <item m="1" x="243"/>
        <item m="1" x="396"/>
        <item m="1" x="268"/>
        <item m="1" x="251"/>
        <item m="1" x="370"/>
        <item m="1" x="266"/>
        <item m="1" x="383"/>
        <item m="1" x="382"/>
        <item m="1" x="217"/>
        <item m="1" x="206"/>
        <item m="1" x="364"/>
        <item m="1" x="294"/>
        <item m="1" x="408"/>
        <item m="1" x="333"/>
        <item m="1" x="401"/>
        <item m="1" x="223"/>
        <item m="1" x="393"/>
        <item m="1" x="228"/>
        <item m="1" x="384"/>
        <item m="1" x="341"/>
        <item m="1" x="291"/>
        <item m="1" x="375"/>
        <item m="1" x="405"/>
        <item m="1" x="297"/>
        <item m="1" x="267"/>
        <item m="1" x="209"/>
        <item m="1" x="352"/>
        <item m="1" x="233"/>
        <item m="1" x="353"/>
        <item m="1" x="230"/>
        <item m="1" x="295"/>
        <item m="1" x="351"/>
        <item m="1" x="350"/>
        <item m="1" x="312"/>
        <item m="1" x="252"/>
        <item m="1" x="392"/>
        <item m="1" x="345"/>
        <item m="1" x="261"/>
        <item m="1" x="388"/>
        <item m="1" x="366"/>
        <item m="1" x="248"/>
        <item m="1" x="335"/>
        <item m="1" x="347"/>
        <item m="1" x="346"/>
        <item m="1" x="338"/>
        <item m="1" x="404"/>
        <item m="1" x="406"/>
        <item m="1" x="205"/>
        <item m="1" x="257"/>
        <item m="1" x="220"/>
        <item m="1" x="331"/>
        <item m="1" x="272"/>
        <item m="1" x="288"/>
        <item m="1" x="343"/>
        <item m="1" x="250"/>
        <item m="1" x="319"/>
        <item m="1" x="399"/>
        <item m="1" x="359"/>
        <item m="1" x="374"/>
        <item m="1" x="246"/>
        <item m="1" x="256"/>
        <item m="1" x="330"/>
        <item m="1" x="229"/>
        <item m="1" x="379"/>
        <item m="1" x="258"/>
        <item m="1" x="381"/>
        <item m="1" x="255"/>
        <item m="1" x="276"/>
        <item m="1" x="40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</items>
    </pivotField>
    <pivotField axis="axisCol" compact="0" numFmtId="165" outline="0" subtotalTop="0" showAll="0" defaultSubtotal="0">
      <items count="410">
        <item x="0"/>
        <item m="1" x="327"/>
        <item m="1" x="326"/>
        <item m="1" x="324"/>
        <item m="1" x="242"/>
        <item m="1" x="322"/>
        <item m="1" x="323"/>
        <item m="1" x="387"/>
        <item m="1" x="363"/>
        <item m="1" x="320"/>
        <item m="1" x="321"/>
        <item m="1" x="210"/>
        <item m="1" x="271"/>
        <item m="1" x="241"/>
        <item m="1" x="304"/>
        <item m="1" x="362"/>
        <item m="1" x="286"/>
        <item m="1" x="325"/>
        <item m="1" x="385"/>
        <item m="1" x="265"/>
        <item m="1" x="282"/>
        <item m="1" x="279"/>
        <item m="1" x="207"/>
        <item m="1" x="231"/>
        <item m="1" x="307"/>
        <item m="1" x="358"/>
        <item m="1" x="285"/>
        <item m="1" x="303"/>
        <item m="1" x="244"/>
        <item m="1" x="278"/>
        <item m="1" x="334"/>
        <item m="1" x="226"/>
        <item m="1" x="290"/>
        <item m="1" x="211"/>
        <item m="1" x="283"/>
        <item m="1" x="369"/>
        <item m="1" x="292"/>
        <item m="1" x="368"/>
        <item m="1" x="361"/>
        <item m="1" x="299"/>
        <item m="1" x="389"/>
        <item m="1" x="313"/>
        <item m="1" x="224"/>
        <item m="1" x="356"/>
        <item m="1" x="329"/>
        <item m="1" x="390"/>
        <item m="1" x="227"/>
        <item m="1" x="280"/>
        <item m="1" x="339"/>
        <item m="1" x="349"/>
        <item m="1" x="215"/>
        <item m="1" x="216"/>
        <item m="1" x="306"/>
        <item m="1" x="354"/>
        <item m="1" x="259"/>
        <item m="1" x="293"/>
        <item m="1" x="284"/>
        <item m="1" x="309"/>
        <item m="1" x="298"/>
        <item m="1" x="234"/>
        <item m="1" x="311"/>
        <item m="1" x="214"/>
        <item m="1" x="281"/>
        <item m="1" x="376"/>
        <item m="1" x="203"/>
        <item m="1" x="274"/>
        <item m="1" x="238"/>
        <item m="1" x="378"/>
        <item m="1" x="332"/>
        <item m="1" x="212"/>
        <item m="1" x="386"/>
        <item m="1" x="235"/>
        <item m="1" x="213"/>
        <item m="1" x="398"/>
        <item m="1" x="236"/>
        <item m="1" x="357"/>
        <item m="1" x="317"/>
        <item m="1" x="403"/>
        <item m="1" x="373"/>
        <item m="1" x="400"/>
        <item m="1" x="340"/>
        <item m="1" x="377"/>
        <item m="1" x="232"/>
        <item m="1" x="407"/>
        <item m="1" x="337"/>
        <item m="1" x="371"/>
        <item m="1" x="219"/>
        <item m="1" x="269"/>
        <item m="1" x="275"/>
        <item m="1" x="277"/>
        <item m="1" x="302"/>
        <item m="1" x="355"/>
        <item m="1" x="289"/>
        <item m="1" x="204"/>
        <item m="1" x="372"/>
        <item m="1" x="247"/>
        <item m="1" x="316"/>
        <item m="1" x="240"/>
        <item m="1" x="402"/>
        <item m="1" x="308"/>
        <item m="1" x="365"/>
        <item m="1" x="348"/>
        <item m="1" x="273"/>
        <item m="1" x="328"/>
        <item m="1" x="314"/>
        <item m="1" x="397"/>
        <item m="1" x="218"/>
        <item m="1" x="367"/>
        <item m="1" x="264"/>
        <item m="1" x="395"/>
        <item m="1" x="221"/>
        <item m="1" x="245"/>
        <item m="1" x="263"/>
        <item m="1" x="287"/>
        <item m="1" x="253"/>
        <item m="1" x="239"/>
        <item m="1" x="237"/>
        <item m="1" x="301"/>
        <item m="1" x="318"/>
        <item m="1" x="391"/>
        <item m="1" x="208"/>
        <item m="1" x="296"/>
        <item m="1" x="336"/>
        <item m="1" x="380"/>
        <item m="1" x="310"/>
        <item m="1" x="254"/>
        <item m="1" x="315"/>
        <item m="1" x="300"/>
        <item m="1" x="249"/>
        <item m="1" x="360"/>
        <item m="1" x="262"/>
        <item m="1" x="342"/>
        <item m="1" x="222"/>
        <item m="1" x="394"/>
        <item m="1" x="225"/>
        <item m="1" x="260"/>
        <item m="1" x="305"/>
        <item m="1" x="344"/>
        <item m="1" x="270"/>
        <item m="1" x="243"/>
        <item m="1" x="396"/>
        <item m="1" x="268"/>
        <item m="1" x="251"/>
        <item m="1" x="370"/>
        <item m="1" x="266"/>
        <item m="1" x="383"/>
        <item m="1" x="382"/>
        <item m="1" x="217"/>
        <item m="1" x="206"/>
        <item m="1" x="364"/>
        <item m="1" x="294"/>
        <item m="1" x="408"/>
        <item m="1" x="333"/>
        <item m="1" x="401"/>
        <item m="1" x="223"/>
        <item m="1" x="393"/>
        <item m="1" x="228"/>
        <item m="1" x="384"/>
        <item m="1" x="341"/>
        <item m="1" x="291"/>
        <item m="1" x="375"/>
        <item m="1" x="405"/>
        <item m="1" x="297"/>
        <item m="1" x="267"/>
        <item m="1" x="209"/>
        <item m="1" x="352"/>
        <item m="1" x="233"/>
        <item m="1" x="353"/>
        <item m="1" x="230"/>
        <item m="1" x="295"/>
        <item m="1" x="351"/>
        <item m="1" x="350"/>
        <item m="1" x="312"/>
        <item m="1" x="252"/>
        <item m="1" x="392"/>
        <item m="1" x="345"/>
        <item m="1" x="261"/>
        <item m="1" x="388"/>
        <item m="1" x="366"/>
        <item m="1" x="248"/>
        <item m="1" x="335"/>
        <item m="1" x="347"/>
        <item m="1" x="346"/>
        <item m="1" x="338"/>
        <item m="1" x="404"/>
        <item m="1" x="406"/>
        <item m="1" x="205"/>
        <item m="1" x="257"/>
        <item m="1" x="220"/>
        <item m="1" x="331"/>
        <item m="1" x="272"/>
        <item m="1" x="288"/>
        <item m="1" x="343"/>
        <item m="1" x="250"/>
        <item m="1" x="319"/>
        <item m="1" x="399"/>
        <item m="1" x="359"/>
        <item m="1" x="374"/>
        <item m="1" x="246"/>
        <item m="1" x="256"/>
        <item m="1" x="330"/>
        <item m="1" x="229"/>
        <item m="1" x="379"/>
        <item m="1" x="258"/>
        <item m="1" x="381"/>
        <item m="1" x="255"/>
        <item m="1" x="276"/>
        <item m="1" x="409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</items>
    </pivotField>
    <pivotField axis="axisCol" compact="0" numFmtId="164" outline="0" subtotalTop="0" showAll="0" defaultSubtotal="0">
      <items count="203">
        <item x="0"/>
        <item x="120"/>
        <item x="38"/>
        <item x="119"/>
        <item x="121"/>
        <item x="117"/>
        <item x="115"/>
        <item x="16"/>
        <item x="118"/>
        <item x="157"/>
        <item x="81"/>
        <item x="6"/>
        <item x="99"/>
        <item x="74"/>
        <item x="116"/>
        <item x="156"/>
        <item x="152"/>
        <item x="80"/>
        <item x="98"/>
        <item x="40"/>
        <item x="128"/>
        <item x="77"/>
        <item x="66"/>
        <item x="23"/>
        <item x="179"/>
        <item x="61"/>
        <item x="73"/>
        <item x="28"/>
        <item x="108"/>
        <item x="102"/>
        <item x="170"/>
        <item x="162"/>
        <item x="148"/>
        <item x="163"/>
        <item x="182"/>
        <item x="21"/>
        <item x="76"/>
        <item x="85"/>
        <item x="87"/>
        <item x="12"/>
        <item x="180"/>
        <item x="150"/>
        <item x="94"/>
        <item x="78"/>
        <item x="11"/>
        <item x="183"/>
        <item x="88"/>
        <item x="79"/>
        <item x="151"/>
        <item x="45"/>
        <item x="155"/>
        <item x="196"/>
        <item x="93"/>
        <item x="8"/>
        <item x="106"/>
        <item x="101"/>
        <item x="133"/>
        <item x="75"/>
        <item x="55"/>
        <item x="112"/>
        <item x="149"/>
        <item x="9"/>
        <item x="5"/>
        <item x="24"/>
        <item x="191"/>
        <item x="126"/>
        <item x="32"/>
        <item x="143"/>
        <item x="10"/>
        <item x="29"/>
        <item x="1"/>
        <item x="188"/>
        <item x="165"/>
        <item x="72"/>
        <item x="31"/>
        <item x="35"/>
        <item x="200"/>
        <item x="123"/>
        <item x="69"/>
        <item x="104"/>
        <item x="70"/>
        <item x="37"/>
        <item x="64"/>
        <item x="193"/>
        <item x="131"/>
        <item x="84"/>
        <item x="59"/>
        <item x="18"/>
        <item x="15"/>
        <item x="172"/>
        <item x="171"/>
        <item x="161"/>
        <item x="34"/>
        <item x="96"/>
        <item x="49"/>
        <item x="43"/>
        <item x="60"/>
        <item x="103"/>
        <item x="109"/>
        <item x="166"/>
        <item x="95"/>
        <item x="68"/>
        <item x="138"/>
        <item x="167"/>
        <item x="164"/>
        <item x="142"/>
        <item x="159"/>
        <item x="58"/>
        <item x="122"/>
        <item x="174"/>
        <item x="41"/>
        <item x="195"/>
        <item x="39"/>
        <item x="47"/>
        <item x="2"/>
        <item x="14"/>
        <item x="127"/>
        <item x="36"/>
        <item x="97"/>
        <item x="82"/>
        <item x="113"/>
        <item x="22"/>
        <item x="110"/>
        <item x="134"/>
        <item x="130"/>
        <item x="25"/>
        <item x="189"/>
        <item x="187"/>
        <item x="184"/>
        <item x="111"/>
        <item x="105"/>
        <item x="100"/>
        <item x="136"/>
        <item x="169"/>
        <item x="33"/>
        <item x="56"/>
        <item x="158"/>
        <item x="30"/>
        <item x="50"/>
        <item x="190"/>
        <item x="177"/>
        <item x="198"/>
        <item x="20"/>
        <item x="194"/>
        <item x="63"/>
        <item x="91"/>
        <item x="19"/>
        <item x="186"/>
        <item x="135"/>
        <item x="178"/>
        <item x="27"/>
        <item x="13"/>
        <item x="86"/>
        <item x="201"/>
        <item x="176"/>
        <item x="62"/>
        <item x="154"/>
        <item x="4"/>
        <item x="181"/>
        <item x="147"/>
        <item x="44"/>
        <item x="107"/>
        <item x="7"/>
        <item x="132"/>
        <item x="146"/>
        <item x="129"/>
        <item x="48"/>
        <item x="57"/>
        <item x="125"/>
        <item x="90"/>
        <item x="139"/>
        <item x="160"/>
        <item x="92"/>
        <item x="153"/>
        <item x="145"/>
        <item x="137"/>
        <item x="17"/>
        <item x="144"/>
        <item x="65"/>
        <item x="3"/>
        <item x="185"/>
        <item x="114"/>
        <item x="83"/>
        <item x="199"/>
        <item x="89"/>
        <item x="141"/>
        <item x="197"/>
        <item x="67"/>
        <item x="168"/>
        <item x="140"/>
        <item x="53"/>
        <item x="124"/>
        <item x="54"/>
        <item x="71"/>
        <item x="42"/>
        <item x="52"/>
        <item x="46"/>
        <item x="173"/>
        <item x="51"/>
        <item x="26"/>
        <item x="175"/>
        <item x="192"/>
        <item x="202"/>
      </items>
    </pivotField>
    <pivotField axis="axisCol" compact="0" numFmtId="164" outline="0" showAll="0" defaultSubtotal="0">
      <items count="618">
        <item x="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</items>
    </pivotField>
    <pivotField compact="0" numFmtId="10" outline="0" subtotalTop="0" showAll="0" defaultSubtotal="0"/>
    <pivotField axis="axisCol" compact="0" numFmtId="164" outline="0" showAll="0" defaultSubtotal="0">
      <items count="455"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2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223"/>
        <item m="1" x="224"/>
        <item x="73"/>
        <item x="74"/>
        <item x="75"/>
        <item m="1" x="225"/>
        <item x="77"/>
        <item x="78"/>
        <item x="79"/>
        <item x="80"/>
        <item x="81"/>
        <item x="82"/>
        <item m="1" x="226"/>
        <item m="1" x="227"/>
        <item m="1" x="228"/>
        <item m="1" x="229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m="1" x="23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m="1" x="231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m="1" x="235"/>
        <item x="139"/>
        <item m="1" x="236"/>
        <item x="140"/>
        <item x="141"/>
        <item x="142"/>
        <item x="143"/>
        <item m="1" x="237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m="1" x="233"/>
        <item m="1" x="238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m="1" x="239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m="1" x="240"/>
        <item x="138"/>
        <item m="1" x="232"/>
        <item x="157"/>
        <item x="180"/>
        <item m="1" x="234"/>
        <item x="28"/>
        <item x="71"/>
        <item x="72"/>
        <item x="76"/>
        <item x="83"/>
        <item x="84"/>
        <item x="85"/>
        <item x="86"/>
        <item x="102"/>
        <item x="120"/>
        <item x="144"/>
        <item x="156"/>
        <item x="221"/>
      </items>
    </pivotField>
    <pivotField axis="axisCol" compact="0" numFmtId="164" outline="0" subtotalTop="0" showAll="0" defaultSubtotal="0">
      <items count="657">
        <item m="1" x="656"/>
        <item m="1" x="517"/>
        <item m="1" x="628"/>
        <item m="1" x="446"/>
        <item m="1" x="605"/>
        <item m="1" x="572"/>
        <item m="1" x="489"/>
        <item m="1" x="561"/>
        <item m="1" x="577"/>
        <item m="1" x="536"/>
        <item m="1" x="492"/>
        <item m="1" x="469"/>
        <item m="1" x="471"/>
        <item m="1" x="499"/>
        <item m="1" x="498"/>
        <item m="1" x="529"/>
        <item m="1" x="573"/>
        <item m="1" x="591"/>
        <item m="1" x="621"/>
        <item m="1" x="493"/>
        <item m="1" x="589"/>
        <item m="1" x="651"/>
        <item m="1" x="610"/>
        <item m="1" x="528"/>
        <item m="1" x="613"/>
        <item m="1" x="470"/>
        <item m="1" x="474"/>
        <item m="1" x="592"/>
        <item m="1" x="513"/>
        <item m="1" x="502"/>
        <item m="1" x="582"/>
        <item m="1" x="597"/>
        <item m="1" x="466"/>
        <item m="1" x="653"/>
        <item m="1" x="496"/>
        <item m="1" x="538"/>
        <item m="1" x="553"/>
        <item m="1" x="611"/>
        <item m="1" x="487"/>
        <item m="1" x="643"/>
        <item m="1" x="635"/>
        <item m="1" x="593"/>
        <item m="1" x="630"/>
        <item m="1" x="631"/>
        <item m="1" x="596"/>
        <item m="1" x="599"/>
        <item m="1" x="584"/>
        <item m="1" x="575"/>
        <item m="1" x="464"/>
        <item m="1" x="627"/>
        <item m="1" x="447"/>
        <item m="1" x="537"/>
        <item m="1" x="478"/>
        <item m="1" x="629"/>
        <item m="1" x="555"/>
        <item m="1" x="503"/>
        <item m="1" x="532"/>
        <item m="1" x="461"/>
        <item m="1" x="484"/>
        <item m="1" x="481"/>
        <item m="1" x="652"/>
        <item m="1" x="639"/>
        <item m="1" x="490"/>
        <item m="1" x="524"/>
        <item m="1" x="601"/>
        <item m="1" x="622"/>
        <item m="1" x="514"/>
        <item m="1" x="625"/>
        <item m="1" x="620"/>
        <item m="1" x="501"/>
        <item m="1" x="626"/>
        <item m="1" x="546"/>
        <item m="1" x="587"/>
        <item m="1" x="655"/>
        <item m="1" x="523"/>
        <item m="1" x="648"/>
        <item m="1" x="491"/>
        <item m="1" x="649"/>
        <item m="1" x="516"/>
        <item m="1" x="486"/>
        <item m="1" x="473"/>
        <item m="1" x="558"/>
        <item m="1" x="495"/>
        <item m="1" x="449"/>
        <item m="1" x="476"/>
        <item m="1" x="463"/>
        <item m="1" x="521"/>
        <item m="1" x="468"/>
        <item m="1" x="494"/>
        <item m="1" x="640"/>
        <item m="1" x="488"/>
        <item m="1" x="647"/>
        <item m="1" x="551"/>
        <item m="1" x="522"/>
        <item m="1" x="594"/>
        <item m="1" x="511"/>
        <item m="1" x="525"/>
        <item m="1" x="583"/>
        <item m="1" x="541"/>
        <item m="1" x="454"/>
        <item m="1" x="530"/>
        <item m="1" x="560"/>
        <item m="1" x="505"/>
        <item m="1" x="458"/>
        <item m="1" x="617"/>
        <item m="1" x="509"/>
        <item m="1" x="624"/>
        <item m="1" x="638"/>
        <item m="1" x="457"/>
        <item m="1" x="608"/>
        <item m="1" x="557"/>
        <item m="1" x="650"/>
        <item m="1" x="641"/>
        <item m="1" x="588"/>
        <item m="1" x="623"/>
        <item m="1" x="570"/>
        <item m="1" x="465"/>
        <item m="1" x="543"/>
        <item m="1" x="619"/>
        <item m="1" x="636"/>
        <item m="1" x="544"/>
        <item m="1" x="477"/>
        <item m="1" x="548"/>
        <item m="1" x="606"/>
        <item m="1" x="654"/>
        <item m="1" x="644"/>
        <item m="1" x="637"/>
        <item m="1" x="585"/>
        <item m="1" x="445"/>
        <item m="1" x="467"/>
        <item m="1" x="475"/>
        <item m="1" x="480"/>
        <item m="1" x="460"/>
        <item m="1" x="590"/>
        <item m="1" x="642"/>
        <item m="1" x="549"/>
        <item m="1" x="615"/>
        <item m="1" x="533"/>
        <item m="1" x="455"/>
        <item m="1" x="550"/>
        <item m="1" x="559"/>
        <item m="1" x="535"/>
        <item m="1" x="612"/>
        <item m="1" x="600"/>
        <item m="1" x="518"/>
        <item m="1" x="500"/>
        <item m="1" x="485"/>
        <item m="1" x="552"/>
        <item m="1" x="519"/>
        <item m="1" x="603"/>
        <item m="1" x="580"/>
        <item m="1" x="504"/>
        <item m="1" x="443"/>
        <item m="1" x="556"/>
        <item m="1" x="547"/>
        <item m="1" x="507"/>
        <item m="1" x="539"/>
        <item m="1" x="515"/>
        <item m="1" x="607"/>
        <item m="1" x="497"/>
        <item m="1" x="604"/>
        <item m="1" x="526"/>
        <item m="1" x="579"/>
        <item m="1" x="581"/>
        <item m="1" x="602"/>
        <item m="1" x="450"/>
        <item m="1" x="482"/>
        <item m="1" x="586"/>
        <item m="1" x="574"/>
        <item m="1" x="595"/>
        <item m="1" x="614"/>
        <item m="1" x="578"/>
        <item m="1" x="569"/>
        <item m="1" x="564"/>
        <item m="1" x="510"/>
        <item m="1" x="565"/>
        <item m="1" x="616"/>
        <item m="1" x="459"/>
        <item m="1" x="562"/>
        <item m="1" x="456"/>
        <item m="1" x="566"/>
        <item m="1" x="634"/>
        <item m="1" x="609"/>
        <item m="1" x="512"/>
        <item m="1" x="462"/>
        <item m="1" x="527"/>
        <item m="1" x="540"/>
        <item m="1" x="554"/>
        <item m="1" x="571"/>
        <item m="1" x="563"/>
        <item m="1" x="452"/>
        <item m="1" x="506"/>
        <item m="1" x="542"/>
        <item m="1" x="568"/>
        <item m="1" x="633"/>
        <item m="1" x="618"/>
        <item m="1" x="545"/>
        <item m="1" x="576"/>
        <item m="1" x="567"/>
        <item m="1" x="479"/>
        <item m="1" x="472"/>
        <item m="1" x="531"/>
        <item m="1" x="646"/>
        <item m="1" x="444"/>
        <item m="1" x="598"/>
        <item m="1" x="483"/>
        <item m="1" x="645"/>
        <item m="1" x="520"/>
        <item m="1" x="632"/>
        <item m="1" x="453"/>
        <item m="1" x="534"/>
        <item m="1" x="448"/>
        <item m="1" x="451"/>
        <item m="1" x="508"/>
        <item x="0"/>
        <item m="1" x="235"/>
        <item m="1" x="236"/>
        <item m="1" x="237"/>
        <item m="1" x="238"/>
        <item x="5"/>
        <item m="1" x="239"/>
        <item m="1" x="240"/>
        <item m="1" x="241"/>
        <item x="9"/>
        <item x="10"/>
        <item x="1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x="116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x="127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x="139"/>
        <item m="1" x="367"/>
        <item x="140"/>
        <item x="141"/>
        <item x="142"/>
        <item x="143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x="170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x="197"/>
        <item m="1" x="420"/>
        <item m="1" x="421"/>
        <item m="1" x="422"/>
        <item m="1" x="423"/>
        <item m="1" x="424"/>
        <item m="1" x="425"/>
        <item m="1" x="426"/>
        <item x="205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x="1"/>
        <item x="2"/>
        <item x="3"/>
        <item x="4"/>
        <item x="6"/>
        <item x="7"/>
        <item x="8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m="1" x="222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m="1" x="223"/>
        <item m="1" x="224"/>
        <item x="73"/>
        <item x="74"/>
        <item x="75"/>
        <item m="1" x="225"/>
        <item x="77"/>
        <item x="78"/>
        <item x="79"/>
        <item x="80"/>
        <item x="81"/>
        <item x="82"/>
        <item m="1" x="226"/>
        <item m="1" x="227"/>
        <item m="1" x="228"/>
        <item m="1" x="229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m="1" x="230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7"/>
        <item x="118"/>
        <item x="119"/>
        <item m="1" x="231"/>
        <item x="121"/>
        <item x="122"/>
        <item x="123"/>
        <item x="124"/>
        <item x="125"/>
        <item x="12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m="1" x="232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m="1" x="233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8"/>
        <item x="199"/>
        <item x="200"/>
        <item x="201"/>
        <item x="202"/>
        <item x="203"/>
        <item x="204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m="1" x="234"/>
        <item x="28"/>
        <item x="71"/>
        <item x="72"/>
        <item x="76"/>
        <item x="83"/>
        <item x="84"/>
        <item x="85"/>
        <item x="86"/>
        <item x="102"/>
        <item x="120"/>
        <item x="144"/>
        <item x="156"/>
        <item x="221"/>
      </items>
    </pivotField>
  </pivotFields>
  <rowItems count="1">
    <i/>
  </rowItems>
  <colFields count="12">
    <field x="0"/>
    <field x="33"/>
    <field x="29"/>
    <field x="27"/>
    <field x="37"/>
    <field x="38"/>
    <field x="36"/>
    <field x="35"/>
    <field x="40"/>
    <field x="39"/>
    <field x="42"/>
    <field x="43"/>
  </colFields>
  <colItems count="224">
    <i>
      <x/>
      <x/>
    </i>
    <i>
      <x v="1"/>
      <x v="208"/>
      <x v="208"/>
      <x v="215"/>
      <x v="208"/>
      <x v="208"/>
      <x v="413"/>
      <x v="413"/>
      <x v="413"/>
      <x v="70"/>
      <x v="215"/>
      <x v="437"/>
    </i>
    <i>
      <x v="2"/>
      <x v="209"/>
      <x v="209"/>
      <x v="216"/>
      <x v="209"/>
      <x v="209"/>
      <x v="414"/>
      <x v="414"/>
      <x v="414"/>
      <x v="114"/>
      <x v="216"/>
      <x v="438"/>
    </i>
    <i>
      <x v="3"/>
      <x v="210"/>
      <x v="210"/>
      <x v="217"/>
      <x v="210"/>
      <x v="210"/>
      <x v="415"/>
      <x v="415"/>
      <x v="415"/>
      <x v="179"/>
      <x v="217"/>
      <x v="439"/>
    </i>
    <i>
      <x v="4"/>
      <x v="211"/>
      <x v="211"/>
      <x v="218"/>
      <x v="211"/>
      <x v="211"/>
      <x v="416"/>
      <x v="416"/>
      <x v="416"/>
      <x v="157"/>
      <x v="218"/>
      <x v="440"/>
    </i>
    <i>
      <x v="5"/>
      <x/>
    </i>
    <i>
      <x v="6"/>
      <x v="212"/>
      <x v="212"/>
      <x v="220"/>
      <x v="212"/>
      <x v="212"/>
      <x v="417"/>
      <x v="417"/>
      <x v="417"/>
      <x v="62"/>
      <x v="220"/>
      <x v="441"/>
    </i>
    <i>
      <x v="7"/>
      <x v="213"/>
      <x v="213"/>
      <x v="221"/>
      <x v="213"/>
      <x v="213"/>
      <x v="418"/>
      <x v="418"/>
      <x v="418"/>
      <x v="11"/>
      <x v="221"/>
      <x v="442"/>
    </i>
    <i>
      <x v="8"/>
      <x v="214"/>
      <x v="214"/>
      <x v="222"/>
      <x v="214"/>
      <x v="214"/>
      <x v="419"/>
      <x v="419"/>
      <x v="419"/>
      <x v="162"/>
      <x v="222"/>
      <x v="443"/>
    </i>
    <i>
      <x v="9"/>
      <x/>
    </i>
    <i>
      <x v="10"/>
      <x/>
    </i>
    <i>
      <x v="11"/>
      <x/>
    </i>
    <i>
      <x v="12"/>
      <x v="215"/>
      <x v="218"/>
      <x v="226"/>
      <x v="215"/>
      <x v="215"/>
      <x v="420"/>
      <x v="420"/>
      <x v="420"/>
      <x v="53"/>
      <x v="226"/>
      <x v="444"/>
    </i>
    <i>
      <x v="13"/>
      <x v="216"/>
      <x v="219"/>
      <x v="227"/>
      <x v="216"/>
      <x v="216"/>
      <x v="421"/>
      <x v="421"/>
      <x v="421"/>
      <x v="61"/>
      <x v="227"/>
      <x v="445"/>
    </i>
    <i>
      <x v="14"/>
      <x v="217"/>
      <x v="220"/>
      <x v="228"/>
      <x v="217"/>
      <x v="217"/>
      <x v="422"/>
      <x v="422"/>
      <x v="422"/>
      <x v="68"/>
      <x v="228"/>
      <x v="446"/>
    </i>
    <i>
      <x v="15"/>
      <x v="218"/>
      <x v="221"/>
      <x v="229"/>
      <x v="218"/>
      <x v="218"/>
      <x v="423"/>
      <x v="423"/>
      <x v="423"/>
      <x v="44"/>
      <x v="229"/>
      <x v="447"/>
    </i>
    <i>
      <x v="16"/>
      <x v="219"/>
      <x v="222"/>
      <x v="230"/>
      <x v="219"/>
      <x v="219"/>
      <x v="424"/>
      <x v="424"/>
      <x v="424"/>
      <x v="39"/>
      <x v="230"/>
      <x v="448"/>
    </i>
    <i>
      <x v="17"/>
      <x v="220"/>
      <x v="223"/>
      <x v="231"/>
      <x v="220"/>
      <x v="220"/>
      <x v="425"/>
      <x v="425"/>
      <x v="425"/>
      <x v="151"/>
      <x v="231"/>
      <x v="449"/>
    </i>
    <i>
      <x v="18"/>
      <x v="221"/>
      <x v="224"/>
      <x v="232"/>
      <x v="221"/>
      <x v="221"/>
      <x v="426"/>
      <x v="426"/>
      <x v="426"/>
      <x v="115"/>
      <x v="232"/>
      <x v="450"/>
    </i>
    <i>
      <x v="19"/>
      <x v="222"/>
      <x v="225"/>
      <x v="233"/>
      <x v="222"/>
      <x v="222"/>
      <x v="427"/>
      <x v="427"/>
      <x v="427"/>
      <x v="88"/>
      <x v="233"/>
      <x v="451"/>
    </i>
    <i>
      <x v="20"/>
      <x v="223"/>
      <x v="226"/>
      <x v="234"/>
      <x v="223"/>
      <x v="223"/>
      <x v="428"/>
      <x v="428"/>
      <x v="428"/>
      <x v="7"/>
      <x v="234"/>
      <x v="452"/>
    </i>
    <i>
      <x v="21"/>
      <x v="224"/>
      <x v="227"/>
      <x v="235"/>
      <x v="224"/>
      <x v="224"/>
      <x v="429"/>
      <x v="429"/>
      <x v="429"/>
      <x v="176"/>
      <x v="235"/>
      <x v="453"/>
    </i>
    <i>
      <x v="22"/>
      <x v="225"/>
      <x v="228"/>
      <x v="236"/>
      <x v="225"/>
      <x v="225"/>
      <x v="430"/>
      <x v="430"/>
      <x v="430"/>
      <x v="87"/>
      <x v="236"/>
      <x v="454"/>
    </i>
    <i>
      <x v="23"/>
      <x v="226"/>
      <x v="229"/>
      <x v="237"/>
      <x v="226"/>
      <x v="226"/>
      <x v="431"/>
      <x v="431"/>
      <x v="431"/>
      <x v="146"/>
      <x v="237"/>
      <x v="455"/>
    </i>
    <i>
      <x v="24"/>
      <x v="227"/>
      <x v="230"/>
      <x v="238"/>
      <x v="227"/>
      <x v="227"/>
      <x v="432"/>
      <x v="432"/>
      <x v="432"/>
      <x v="142"/>
      <x v="238"/>
      <x v="456"/>
    </i>
    <i>
      <x v="25"/>
      <x v="228"/>
      <x v="231"/>
      <x v="239"/>
      <x v="228"/>
      <x v="228"/>
      <x v="433"/>
      <x v="433"/>
      <x v="433"/>
      <x v="35"/>
      <x v="239"/>
      <x v="457"/>
    </i>
    <i>
      <x v="26"/>
      <x v="229"/>
      <x v="232"/>
      <x v="240"/>
      <x v="229"/>
      <x v="229"/>
      <x v="434"/>
      <x v="434"/>
      <x v="434"/>
      <x v="121"/>
      <x v="240"/>
      <x v="458"/>
    </i>
    <i>
      <x v="27"/>
      <x v="230"/>
      <x v="233"/>
      <x v="241"/>
      <x v="230"/>
      <x v="230"/>
      <x v="435"/>
      <x v="435"/>
      <x v="435"/>
      <x v="23"/>
      <x v="241"/>
      <x v="459"/>
    </i>
    <i>
      <x v="28"/>
      <x v="231"/>
      <x v="234"/>
      <x v="434"/>
      <x v="231"/>
      <x v="231"/>
      <x v="436"/>
      <x v="436"/>
      <x v="436"/>
      <x v="63"/>
      <x v="442"/>
      <x v="644"/>
    </i>
    <i>
      <x v="29"/>
      <x v="232"/>
      <x v="235"/>
      <x v="243"/>
      <x v="232"/>
      <x v="232"/>
      <x v="437"/>
      <x v="437"/>
      <x v="437"/>
      <x v="125"/>
      <x v="243"/>
      <x v="461"/>
    </i>
    <i>
      <x v="30"/>
      <x v="233"/>
      <x v="236"/>
      <x v="244"/>
      <x v="233"/>
      <x v="233"/>
      <x v="438"/>
      <x v="438"/>
      <x v="438"/>
      <x v="199"/>
      <x v="244"/>
      <x v="462"/>
    </i>
    <i>
      <x v="31"/>
      <x v="234"/>
      <x v="237"/>
      <x v="245"/>
      <x v="234"/>
      <x v="234"/>
      <x v="439"/>
      <x v="439"/>
      <x v="439"/>
      <x v="150"/>
      <x v="245"/>
      <x v="463"/>
    </i>
    <i>
      <x v="32"/>
      <x v="235"/>
      <x v="238"/>
      <x v="246"/>
      <x v="235"/>
      <x v="235"/>
      <x v="440"/>
      <x v="440"/>
      <x v="440"/>
      <x v="27"/>
      <x v="246"/>
      <x v="464"/>
    </i>
    <i>
      <x v="33"/>
      <x v="236"/>
      <x v="239"/>
      <x v="247"/>
      <x v="236"/>
      <x v="236"/>
      <x v="441"/>
      <x v="441"/>
      <x v="441"/>
      <x v="69"/>
      <x v="247"/>
      <x v="465"/>
    </i>
    <i>
      <x v="34"/>
      <x v="237"/>
      <x v="240"/>
      <x v="248"/>
      <x v="237"/>
      <x v="237"/>
      <x v="442"/>
      <x v="442"/>
      <x v="442"/>
      <x v="137"/>
      <x v="248"/>
      <x v="466"/>
    </i>
    <i>
      <x v="35"/>
      <x v="238"/>
      <x v="241"/>
      <x v="249"/>
      <x v="238"/>
      <x v="238"/>
      <x v="443"/>
      <x v="443"/>
      <x v="443"/>
      <x v="74"/>
      <x v="249"/>
      <x v="467"/>
    </i>
    <i>
      <x v="36"/>
      <x v="239"/>
      <x v="242"/>
      <x v="250"/>
      <x v="239"/>
      <x v="239"/>
      <x v="444"/>
      <x v="444"/>
      <x v="444"/>
      <x v="66"/>
      <x v="250"/>
      <x v="468"/>
    </i>
    <i>
      <x v="37"/>
      <x v="240"/>
      <x v="243"/>
      <x v="251"/>
      <x v="240"/>
      <x v="240"/>
      <x v="445"/>
      <x v="445"/>
      <x v="445"/>
      <x v="134"/>
      <x v="251"/>
      <x v="469"/>
    </i>
    <i>
      <x v="38"/>
      <x v="241"/>
      <x v="244"/>
      <x v="252"/>
      <x v="241"/>
      <x v="241"/>
      <x v="446"/>
      <x v="446"/>
      <x v="446"/>
      <x v="92"/>
      <x v="252"/>
      <x v="470"/>
    </i>
    <i>
      <x v="39"/>
      <x v="242"/>
      <x v="245"/>
      <x v="253"/>
      <x v="242"/>
      <x v="242"/>
      <x v="447"/>
      <x v="447"/>
      <x v="447"/>
      <x v="75"/>
      <x v="253"/>
      <x v="471"/>
    </i>
    <i>
      <x v="40"/>
      <x v="243"/>
      <x v="246"/>
      <x v="254"/>
      <x v="243"/>
      <x v="243"/>
      <x v="448"/>
      <x v="448"/>
      <x v="448"/>
      <x v="117"/>
      <x v="254"/>
      <x v="472"/>
    </i>
    <i>
      <x v="41"/>
      <x v="244"/>
      <x v="247"/>
      <x v="255"/>
      <x v="244"/>
      <x v="244"/>
      <x v="449"/>
      <x v="449"/>
      <x v="449"/>
      <x v="81"/>
      <x v="255"/>
      <x v="473"/>
    </i>
    <i>
      <x v="42"/>
      <x v="245"/>
      <x v="248"/>
      <x v="256"/>
      <x/>
      <x/>
      <x v="450"/>
      <x v="450"/>
      <x v="450"/>
      <x/>
      <x v="256"/>
      <x v="474"/>
    </i>
    <i>
      <x v="43"/>
      <x v="246"/>
      <x v="249"/>
      <x v="431"/>
      <x v="245"/>
      <x v="245"/>
      <x v="451"/>
      <x v="451"/>
      <x v="451"/>
      <x v="2"/>
      <x v="257"/>
      <x v="475"/>
    </i>
    <i>
      <x v="44"/>
      <x v="247"/>
      <x v="250"/>
      <x v="257"/>
      <x v="246"/>
      <x v="246"/>
      <x v="452"/>
      <x v="452"/>
      <x v="452"/>
      <x v="112"/>
      <x v="258"/>
      <x v="476"/>
    </i>
    <i>
      <x v="45"/>
      <x v="248"/>
      <x v="251"/>
      <x v="258"/>
      <x v="247"/>
      <x v="247"/>
      <x v="453"/>
      <x v="453"/>
      <x v="453"/>
      <x v="19"/>
      <x v="259"/>
      <x v="477"/>
    </i>
    <i>
      <x v="46"/>
      <x v="249"/>
      <x v="252"/>
      <x v="259"/>
      <x v="248"/>
      <x v="248"/>
      <x v="454"/>
      <x v="454"/>
      <x v="454"/>
      <x v="110"/>
      <x v="260"/>
      <x v="478"/>
    </i>
    <i>
      <x v="47"/>
      <x v="250"/>
      <x v="253"/>
      <x v="260"/>
      <x v="249"/>
      <x v="249"/>
      <x v="455"/>
      <x v="455"/>
      <x v="455"/>
      <x v="194"/>
      <x v="261"/>
      <x v="479"/>
    </i>
    <i>
      <x v="48"/>
      <x v="251"/>
      <x v="254"/>
      <x v="261"/>
      <x v="250"/>
      <x v="250"/>
      <x v="456"/>
      <x v="456"/>
      <x v="456"/>
      <x v="95"/>
      <x v="262"/>
      <x v="480"/>
    </i>
    <i>
      <x v="49"/>
      <x v="252"/>
      <x v="255"/>
      <x v="262"/>
      <x v="251"/>
      <x v="251"/>
      <x v="457"/>
      <x v="457"/>
      <x v="457"/>
      <x v="160"/>
      <x v="263"/>
      <x v="481"/>
    </i>
    <i>
      <x v="50"/>
      <x v="253"/>
      <x v="256"/>
      <x v="263"/>
      <x v="252"/>
      <x v="252"/>
      <x v="458"/>
      <x v="458"/>
      <x v="458"/>
      <x v="49"/>
      <x v="264"/>
      <x v="482"/>
    </i>
    <i>
      <x v="51"/>
      <x v="254"/>
      <x v="257"/>
      <x v="264"/>
      <x v="253"/>
      <x v="253"/>
      <x v="459"/>
      <x v="459"/>
      <x v="459"/>
      <x v="196"/>
      <x v="265"/>
      <x v="483"/>
    </i>
    <i>
      <x v="52"/>
      <x v="255"/>
      <x v="258"/>
      <x v="265"/>
      <x v="254"/>
      <x v="254"/>
      <x v="460"/>
      <x v="460"/>
      <x v="460"/>
      <x v="113"/>
      <x v="266"/>
      <x v="484"/>
    </i>
    <i>
      <x v="53"/>
      <x v="256"/>
      <x v="259"/>
      <x v="266"/>
      <x v="255"/>
      <x v="255"/>
      <x v="461"/>
      <x v="461"/>
      <x v="461"/>
      <x v="166"/>
      <x v="267"/>
      <x v="485"/>
    </i>
    <i>
      <x v="54"/>
      <x v="257"/>
      <x v="260"/>
      <x v="267"/>
      <x v="256"/>
      <x v="256"/>
      <x v="462"/>
      <x v="462"/>
      <x v="462"/>
      <x v="94"/>
      <x v="268"/>
      <x v="486"/>
    </i>
    <i>
      <x v="55"/>
      <x v="258"/>
      <x v="261"/>
      <x v="268"/>
      <x v="257"/>
      <x v="257"/>
      <x v="463"/>
      <x v="463"/>
      <x v="463"/>
      <x v="138"/>
      <x v="269"/>
      <x v="487"/>
    </i>
    <i>
      <x v="56"/>
      <x v="259"/>
      <x v="262"/>
      <x v="269"/>
      <x v="258"/>
      <x v="258"/>
      <x v="464"/>
      <x v="464"/>
      <x v="464"/>
      <x v="198"/>
      <x v="270"/>
      <x v="488"/>
    </i>
    <i>
      <x v="57"/>
      <x v="260"/>
      <x v="263"/>
      <x v="270"/>
      <x v="259"/>
      <x v="259"/>
      <x v="465"/>
      <x v="465"/>
      <x v="465"/>
      <x v="195"/>
      <x v="271"/>
      <x v="489"/>
    </i>
    <i>
      <x v="58"/>
      <x v="261"/>
      <x v="264"/>
      <x v="271"/>
      <x v="260"/>
      <x v="260"/>
      <x v="466"/>
      <x v="466"/>
      <x v="466"/>
      <x v="190"/>
      <x v="272"/>
      <x v="490"/>
    </i>
    <i>
      <x v="59"/>
      <x v="262"/>
      <x v="265"/>
      <x v="272"/>
      <x v="261"/>
      <x v="261"/>
      <x v="467"/>
      <x v="467"/>
      <x v="467"/>
      <x v="192"/>
      <x v="273"/>
      <x v="491"/>
    </i>
    <i>
      <x v="60"/>
      <x v="263"/>
      <x v="266"/>
      <x v="273"/>
      <x v="262"/>
      <x v="262"/>
      <x v="468"/>
      <x v="468"/>
      <x v="468"/>
      <x v="58"/>
      <x v="274"/>
      <x v="492"/>
    </i>
    <i>
      <x v="61"/>
      <x v="264"/>
      <x v="267"/>
      <x v="274"/>
      <x v="263"/>
      <x v="263"/>
      <x v="469"/>
      <x v="469"/>
      <x v="469"/>
      <x v="135"/>
      <x v="275"/>
      <x v="493"/>
    </i>
    <i>
      <x v="62"/>
      <x v="265"/>
      <x v="268"/>
      <x v="275"/>
      <x v="264"/>
      <x v="264"/>
      <x v="470"/>
      <x v="470"/>
      <x v="470"/>
      <x v="167"/>
      <x v="276"/>
      <x v="494"/>
    </i>
    <i>
      <x v="63"/>
      <x v="266"/>
      <x v="269"/>
      <x v="276"/>
      <x v="265"/>
      <x v="265"/>
      <x v="471"/>
      <x v="471"/>
      <x v="471"/>
      <x v="107"/>
      <x v="277"/>
      <x v="495"/>
    </i>
    <i>
      <x v="64"/>
      <x v="267"/>
      <x v="270"/>
      <x v="277"/>
      <x v="266"/>
      <x v="266"/>
      <x v="472"/>
      <x v="472"/>
      <x v="472"/>
      <x v="86"/>
      <x v="278"/>
      <x v="496"/>
    </i>
    <i>
      <x v="65"/>
      <x v="268"/>
      <x v="271"/>
      <x v="278"/>
      <x v="267"/>
      <x v="267"/>
      <x v="473"/>
      <x v="473"/>
      <x v="473"/>
      <x v="96"/>
      <x v="279"/>
      <x v="497"/>
    </i>
    <i>
      <x v="66"/>
      <x v="269"/>
      <x v="272"/>
      <x v="279"/>
      <x v="268"/>
      <x v="268"/>
      <x v="474"/>
      <x v="474"/>
      <x v="474"/>
      <x v="25"/>
      <x v="280"/>
      <x v="498"/>
    </i>
    <i>
      <x v="67"/>
      <x v="270"/>
      <x v="273"/>
      <x v="280"/>
      <x v="269"/>
      <x v="269"/>
      <x v="475"/>
      <x v="475"/>
      <x v="475"/>
      <x v="155"/>
      <x v="281"/>
      <x v="499"/>
    </i>
    <i>
      <x v="68"/>
      <x v="271"/>
      <x v="274"/>
      <x v="281"/>
      <x/>
      <x/>
      <x v="476"/>
      <x v="476"/>
      <x v="476"/>
      <x/>
      <x v="282"/>
      <x v="500"/>
    </i>
    <i>
      <x v="69"/>
      <x v="272"/>
      <x v="275"/>
      <x v="282"/>
      <x v="270"/>
      <x v="270"/>
      <x v="477"/>
      <x v="477"/>
      <x v="477"/>
      <x v="144"/>
      <x v="283"/>
      <x v="501"/>
    </i>
    <i>
      <x v="70"/>
      <x v="273"/>
      <x v="276"/>
      <x v="283"/>
      <x v="271"/>
      <x v="271"/>
      <x v="478"/>
      <x v="478"/>
      <x v="478"/>
      <x v="82"/>
      <x v="284"/>
      <x v="502"/>
    </i>
    <i>
      <x v="71"/>
      <x v="274"/>
      <x v="277"/>
      <x v="435"/>
      <x v="272"/>
      <x v="272"/>
      <x v="479"/>
      <x v="479"/>
      <x v="479"/>
      <x v="178"/>
      <x v="443"/>
      <x v="645"/>
    </i>
    <i>
      <x v="72"/>
      <x v="275"/>
      <x v="278"/>
      <x v="436"/>
      <x v="273"/>
      <x v="273"/>
      <x v="480"/>
      <x v="480"/>
      <x v="480"/>
      <x v="22"/>
      <x v="444"/>
      <x v="646"/>
    </i>
    <i>
      <x v="73"/>
      <x v="276"/>
      <x v="279"/>
      <x v="286"/>
      <x v="274"/>
      <x v="274"/>
      <x v="481"/>
      <x v="481"/>
      <x v="481"/>
      <x v="187"/>
      <x v="287"/>
      <x v="505"/>
    </i>
    <i>
      <x v="74"/>
      <x v="277"/>
      <x v="280"/>
      <x v="287"/>
      <x v="275"/>
      <x v="275"/>
      <x v="482"/>
      <x v="482"/>
      <x v="482"/>
      <x v="101"/>
      <x v="288"/>
      <x v="506"/>
    </i>
    <i>
      <x v="75"/>
      <x v="278"/>
      <x v="281"/>
      <x v="288"/>
      <x v="276"/>
      <x v="276"/>
      <x v="483"/>
      <x v="483"/>
      <x v="483"/>
      <x v="78"/>
      <x v="289"/>
      <x v="507"/>
    </i>
    <i>
      <x v="76"/>
      <x v="279"/>
      <x v="282"/>
      <x v="437"/>
      <x v="277"/>
      <x v="277"/>
      <x v="484"/>
      <x v="484"/>
      <x v="484"/>
      <x v="80"/>
      <x v="445"/>
      <x v="647"/>
    </i>
    <i>
      <x v="77"/>
      <x v="280"/>
      <x v="283"/>
      <x v="290"/>
      <x v="278"/>
      <x v="278"/>
      <x v="485"/>
      <x v="485"/>
      <x v="485"/>
      <x v="193"/>
      <x v="291"/>
      <x v="509"/>
    </i>
    <i>
      <x v="78"/>
      <x v="281"/>
      <x v="284"/>
      <x v="291"/>
      <x v="279"/>
      <x v="279"/>
      <x v="486"/>
      <x v="486"/>
      <x v="486"/>
      <x v="73"/>
      <x v="292"/>
      <x v="510"/>
    </i>
    <i>
      <x v="79"/>
      <x v="282"/>
      <x v="285"/>
      <x v="292"/>
      <x v="280"/>
      <x v="280"/>
      <x v="487"/>
      <x v="487"/>
      <x v="487"/>
      <x v="26"/>
      <x v="293"/>
      <x v="511"/>
    </i>
    <i>
      <x v="80"/>
      <x v="283"/>
      <x v="286"/>
      <x v="293"/>
      <x v="281"/>
      <x v="281"/>
      <x v="488"/>
      <x v="488"/>
      <x v="488"/>
      <x v="13"/>
      <x v="294"/>
      <x v="512"/>
    </i>
    <i>
      <x v="81"/>
      <x v="284"/>
      <x v="287"/>
      <x v="294"/>
      <x v="282"/>
      <x v="282"/>
      <x v="489"/>
      <x v="489"/>
      <x v="489"/>
      <x v="57"/>
      <x v="295"/>
      <x v="513"/>
    </i>
    <i>
      <x v="82"/>
      <x v="285"/>
      <x v="288"/>
      <x v="295"/>
      <x v="283"/>
      <x v="283"/>
      <x v="490"/>
      <x v="490"/>
      <x v="490"/>
      <x v="36"/>
      <x v="296"/>
      <x v="514"/>
    </i>
    <i>
      <x v="83"/>
      <x v="286"/>
      <x v="289"/>
      <x v="438"/>
      <x v="284"/>
      <x v="284"/>
      <x v="491"/>
      <x v="491"/>
      <x v="491"/>
      <x v="21"/>
      <x v="446"/>
      <x v="648"/>
    </i>
    <i>
      <x v="84"/>
      <x v="287"/>
      <x v="290"/>
      <x v="439"/>
      <x v="285"/>
      <x v="285"/>
      <x v="492"/>
      <x v="492"/>
      <x v="492"/>
      <x v="43"/>
      <x v="447"/>
      <x v="649"/>
    </i>
    <i>
      <x v="85"/>
      <x v="288"/>
      <x v="291"/>
      <x v="440"/>
      <x v="286"/>
      <x v="286"/>
      <x v="493"/>
      <x v="493"/>
      <x v="493"/>
      <x v="47"/>
      <x v="448"/>
      <x v="650"/>
    </i>
    <i>
      <x v="86"/>
      <x v="289"/>
      <x v="292"/>
      <x v="441"/>
      <x v="287"/>
      <x v="287"/>
      <x v="494"/>
      <x v="494"/>
      <x v="494"/>
      <x v="17"/>
      <x v="449"/>
      <x v="651"/>
    </i>
    <i>
      <x v="87"/>
      <x v="290"/>
      <x v="293"/>
      <x v="300"/>
      <x v="288"/>
      <x v="288"/>
      <x v="495"/>
      <x v="495"/>
      <x v="495"/>
      <x v="10"/>
      <x v="301"/>
      <x v="519"/>
    </i>
    <i>
      <x v="88"/>
      <x v="291"/>
      <x v="294"/>
      <x v="301"/>
      <x v="289"/>
      <x v="289"/>
      <x v="496"/>
      <x v="496"/>
      <x v="496"/>
      <x v="119"/>
      <x v="302"/>
      <x v="520"/>
    </i>
    <i>
      <x v="89"/>
      <x v="292"/>
      <x v="295"/>
      <x v="302"/>
      <x v="290"/>
      <x v="290"/>
      <x v="497"/>
      <x v="497"/>
      <x v="497"/>
      <x v="182"/>
      <x v="303"/>
      <x v="521"/>
    </i>
    <i>
      <x v="90"/>
      <x v="293"/>
      <x v="296"/>
      <x v="303"/>
      <x v="291"/>
      <x v="291"/>
      <x v="498"/>
      <x v="498"/>
      <x v="498"/>
      <x v="85"/>
      <x v="304"/>
      <x v="522"/>
    </i>
    <i>
      <x v="91"/>
      <x v="294"/>
      <x v="297"/>
      <x v="304"/>
      <x v="292"/>
      <x v="292"/>
      <x v="499"/>
      <x v="499"/>
      <x v="499"/>
      <x v="37"/>
      <x v="305"/>
      <x v="523"/>
    </i>
    <i>
      <x v="92"/>
      <x v="295"/>
      <x v="298"/>
      <x v="305"/>
      <x v="293"/>
      <x v="293"/>
      <x v="500"/>
      <x v="500"/>
      <x v="500"/>
      <x v="152"/>
      <x v="306"/>
      <x v="524"/>
    </i>
    <i>
      <x v="93"/>
      <x v="296"/>
      <x v="299"/>
      <x v="306"/>
      <x v="294"/>
      <x v="294"/>
      <x v="501"/>
      <x v="501"/>
      <x v="501"/>
      <x v="38"/>
      <x v="307"/>
      <x v="525"/>
    </i>
    <i>
      <x v="94"/>
      <x v="297"/>
      <x v="300"/>
      <x v="307"/>
      <x v="295"/>
      <x v="295"/>
      <x v="502"/>
      <x v="502"/>
      <x v="502"/>
      <x v="46"/>
      <x v="308"/>
      <x v="526"/>
    </i>
    <i>
      <x v="95"/>
      <x v="298"/>
      <x v="301"/>
      <x v="308"/>
      <x v="296"/>
      <x v="296"/>
      <x v="503"/>
      <x v="503"/>
      <x v="503"/>
      <x v="184"/>
      <x v="309"/>
      <x v="527"/>
    </i>
    <i>
      <x v="96"/>
      <x v="299"/>
      <x v="302"/>
      <x v="309"/>
      <x v="297"/>
      <x v="297"/>
      <x v="504"/>
      <x v="504"/>
      <x v="504"/>
      <x v="169"/>
      <x v="310"/>
      <x v="528"/>
    </i>
    <i>
      <x v="97"/>
      <x v="300"/>
      <x v="303"/>
      <x v="310"/>
      <x v="298"/>
      <x v="298"/>
      <x v="505"/>
      <x v="505"/>
      <x v="505"/>
      <x v="145"/>
      <x v="311"/>
      <x v="529"/>
    </i>
    <i>
      <x v="98"/>
      <x v="301"/>
      <x v="304"/>
      <x v="311"/>
      <x v="299"/>
      <x v="299"/>
      <x v="506"/>
      <x v="506"/>
      <x v="506"/>
      <x v="172"/>
      <x v="312"/>
      <x v="530"/>
    </i>
    <i>
      <x v="99"/>
      <x v="302"/>
      <x v="305"/>
      <x v="312"/>
      <x v="300"/>
      <x v="300"/>
      <x v="507"/>
      <x v="507"/>
      <x v="507"/>
      <x v="52"/>
      <x v="313"/>
      <x v="531"/>
    </i>
    <i>
      <x v="100"/>
      <x v="303"/>
      <x v="306"/>
      <x v="313"/>
      <x v="301"/>
      <x v="301"/>
      <x v="508"/>
      <x v="508"/>
      <x v="508"/>
      <x v="42"/>
      <x v="314"/>
      <x v="532"/>
    </i>
    <i>
      <x v="101"/>
      <x v="304"/>
      <x v="307"/>
      <x v="314"/>
      <x v="302"/>
      <x v="302"/>
      <x v="509"/>
      <x v="509"/>
      <x v="509"/>
      <x v="100"/>
      <x v="315"/>
      <x v="533"/>
    </i>
    <i>
      <x v="102"/>
      <x v="305"/>
      <x v="308"/>
      <x v="442"/>
      <x v="303"/>
      <x v="303"/>
      <x v="510"/>
      <x v="510"/>
      <x v="510"/>
      <x v="93"/>
      <x v="450"/>
      <x v="652"/>
    </i>
    <i>
      <x v="103"/>
      <x v="306"/>
      <x v="309"/>
      <x v="316"/>
      <x v="304"/>
      <x v="304"/>
      <x v="511"/>
      <x v="511"/>
      <x v="511"/>
      <x v="118"/>
      <x v="317"/>
      <x v="535"/>
    </i>
    <i>
      <x v="104"/>
      <x v="307"/>
      <x v="310"/>
      <x v="317"/>
      <x v="305"/>
      <x v="305"/>
      <x v="512"/>
      <x v="512"/>
      <x v="512"/>
      <x v="18"/>
      <x v="318"/>
      <x v="536"/>
    </i>
    <i>
      <x v="105"/>
      <x v="308"/>
      <x v="311"/>
      <x v="318"/>
      <x v="306"/>
      <x v="306"/>
      <x v="513"/>
      <x v="513"/>
      <x v="513"/>
      <x v="12"/>
      <x v="319"/>
      <x v="537"/>
    </i>
    <i>
      <x v="106"/>
      <x v="309"/>
      <x v="312"/>
      <x v="319"/>
      <x v="307"/>
      <x v="307"/>
      <x v="514"/>
      <x v="514"/>
      <x v="514"/>
      <x v="131"/>
      <x v="320"/>
      <x v="538"/>
    </i>
    <i>
      <x v="107"/>
      <x v="310"/>
      <x v="313"/>
      <x v="320"/>
      <x v="308"/>
      <x v="308"/>
      <x v="515"/>
      <x v="515"/>
      <x v="515"/>
      <x v="55"/>
      <x v="321"/>
      <x v="539"/>
    </i>
    <i>
      <x v="108"/>
      <x v="311"/>
      <x v="314"/>
      <x v="321"/>
      <x v="309"/>
      <x v="309"/>
      <x v="516"/>
      <x v="516"/>
      <x v="516"/>
      <x v="29"/>
      <x v="322"/>
      <x v="540"/>
    </i>
    <i>
      <x v="109"/>
      <x v="312"/>
      <x v="315"/>
      <x v="322"/>
      <x v="310"/>
      <x v="310"/>
      <x v="517"/>
      <x v="517"/>
      <x v="517"/>
      <x v="97"/>
      <x v="323"/>
      <x v="541"/>
    </i>
    <i>
      <x v="110"/>
      <x v="313"/>
      <x v="316"/>
      <x v="323"/>
      <x v="311"/>
      <x v="311"/>
      <x v="518"/>
      <x v="518"/>
      <x v="518"/>
      <x v="79"/>
      <x v="324"/>
      <x v="542"/>
    </i>
    <i>
      <x v="111"/>
      <x v="314"/>
      <x v="317"/>
      <x v="324"/>
      <x v="312"/>
      <x v="312"/>
      <x v="519"/>
      <x v="519"/>
      <x v="519"/>
      <x v="130"/>
      <x v="325"/>
      <x v="543"/>
    </i>
    <i>
      <x v="112"/>
      <x v="315"/>
      <x v="318"/>
      <x v="325"/>
      <x v="313"/>
      <x v="313"/>
      <x v="520"/>
      <x v="520"/>
      <x v="520"/>
      <x v="54"/>
      <x v="326"/>
      <x v="544"/>
    </i>
    <i>
      <x v="113"/>
      <x v="316"/>
      <x v="319"/>
      <x v="326"/>
      <x v="314"/>
      <x v="314"/>
      <x v="521"/>
      <x v="521"/>
      <x v="521"/>
      <x v="161"/>
      <x v="327"/>
      <x v="545"/>
    </i>
    <i>
      <x v="114"/>
      <x v="317"/>
      <x v="320"/>
      <x v="327"/>
      <x v="315"/>
      <x v="315"/>
      <x v="522"/>
      <x v="522"/>
      <x v="522"/>
      <x v="28"/>
      <x v="328"/>
      <x v="546"/>
    </i>
    <i>
      <x v="115"/>
      <x v="318"/>
      <x v="321"/>
      <x v="328"/>
      <x v="316"/>
      <x v="316"/>
      <x v="523"/>
      <x v="523"/>
      <x v="523"/>
      <x v="98"/>
      <x v="329"/>
      <x v="547"/>
    </i>
    <i>
      <x v="116"/>
      <x/>
    </i>
    <i>
      <x v="117"/>
      <x v="319"/>
      <x v="322"/>
      <x v="330"/>
      <x v="317"/>
      <x v="317"/>
      <x v="524"/>
      <x v="524"/>
      <x v="524"/>
      <x v="122"/>
      <x v="331"/>
      <x v="548"/>
    </i>
    <i>
      <x v="118"/>
      <x v="320"/>
      <x v="323"/>
      <x v="331"/>
      <x v="318"/>
      <x v="318"/>
      <x v="525"/>
      <x v="525"/>
      <x v="525"/>
      <x v="129"/>
      <x v="332"/>
      <x v="549"/>
    </i>
    <i>
      <x v="119"/>
      <x v="321"/>
      <x v="324"/>
      <x v="332"/>
      <x v="319"/>
      <x v="319"/>
      <x v="526"/>
      <x v="526"/>
      <x v="526"/>
      <x v="59"/>
      <x v="333"/>
      <x v="550"/>
    </i>
    <i>
      <x v="120"/>
      <x v="322"/>
      <x v="325"/>
      <x v="443"/>
      <x v="320"/>
      <x v="320"/>
      <x v="527"/>
      <x v="527"/>
      <x v="527"/>
      <x v="120"/>
      <x v="451"/>
      <x v="653"/>
    </i>
    <i>
      <x v="121"/>
      <x v="323"/>
      <x v="326"/>
      <x v="334"/>
      <x v="321"/>
      <x v="321"/>
      <x v="528"/>
      <x v="528"/>
      <x v="528"/>
      <x v="181"/>
      <x v="335"/>
      <x v="552"/>
    </i>
    <i>
      <x v="122"/>
      <x v="324"/>
      <x v="327"/>
      <x v="335"/>
      <x v="322"/>
      <x v="322"/>
      <x v="529"/>
      <x v="529"/>
      <x v="529"/>
      <x v="6"/>
      <x v="336"/>
      <x v="553"/>
    </i>
    <i>
      <x v="123"/>
      <x v="325"/>
      <x v="328"/>
      <x v="336"/>
      <x v="323"/>
      <x v="323"/>
      <x v="530"/>
      <x v="530"/>
      <x v="530"/>
      <x v="14"/>
      <x v="337"/>
      <x v="554"/>
    </i>
    <i>
      <x v="124"/>
      <x v="326"/>
      <x v="329"/>
      <x v="337"/>
      <x v="324"/>
      <x v="324"/>
      <x v="531"/>
      <x v="531"/>
      <x v="531"/>
      <x v="5"/>
      <x v="338"/>
      <x v="555"/>
    </i>
    <i>
      <x v="125"/>
      <x v="327"/>
      <x v="330"/>
      <x v="338"/>
      <x v="325"/>
      <x v="325"/>
      <x v="532"/>
      <x v="532"/>
      <x v="532"/>
      <x v="8"/>
      <x v="339"/>
      <x v="556"/>
    </i>
    <i>
      <x v="126"/>
      <x v="328"/>
      <x v="331"/>
      <x v="339"/>
      <x v="326"/>
      <x v="326"/>
      <x v="533"/>
      <x v="533"/>
      <x v="533"/>
      <x v="3"/>
      <x v="340"/>
      <x v="557"/>
    </i>
    <i>
      <x v="127"/>
      <x/>
    </i>
    <i>
      <x v="128"/>
      <x v="329"/>
      <x v="333"/>
      <x v="341"/>
      <x v="327"/>
      <x v="327"/>
      <x v="534"/>
      <x v="534"/>
      <x v="534"/>
      <x v="1"/>
      <x v="342"/>
      <x v="558"/>
    </i>
    <i>
      <x v="129"/>
      <x v="330"/>
      <x v="334"/>
      <x v="342"/>
      <x v="328"/>
      <x v="328"/>
      <x v="535"/>
      <x v="535"/>
      <x v="535"/>
      <x v="4"/>
      <x v="343"/>
      <x v="559"/>
    </i>
    <i>
      <x v="130"/>
      <x v="331"/>
      <x v="335"/>
      <x v="343"/>
      <x v="329"/>
      <x v="329"/>
      <x v="536"/>
      <x v="536"/>
      <x v="536"/>
      <x v="108"/>
      <x v="344"/>
      <x v="560"/>
    </i>
    <i>
      <x v="131"/>
      <x v="332"/>
      <x v="336"/>
      <x v="344"/>
      <x v="330"/>
      <x v="330"/>
      <x v="537"/>
      <x v="537"/>
      <x v="537"/>
      <x v="77"/>
      <x v="345"/>
      <x v="561"/>
    </i>
    <i>
      <x v="132"/>
      <x v="333"/>
      <x v="337"/>
      <x v="345"/>
      <x v="331"/>
      <x v="331"/>
      <x v="538"/>
      <x v="538"/>
      <x v="538"/>
      <x v="191"/>
      <x v="346"/>
      <x v="562"/>
    </i>
    <i>
      <x v="133"/>
      <x v="334"/>
      <x v="338"/>
      <x v="346"/>
      <x v="332"/>
      <x v="332"/>
      <x v="539"/>
      <x v="539"/>
      <x v="539"/>
      <x v="168"/>
      <x v="347"/>
      <x v="563"/>
    </i>
    <i>
      <x v="134"/>
      <x v="335"/>
      <x v="339"/>
      <x v="347"/>
      <x v="333"/>
      <x v="333"/>
      <x v="540"/>
      <x v="540"/>
      <x v="540"/>
      <x v="65"/>
      <x v="348"/>
      <x v="564"/>
    </i>
    <i>
      <x v="135"/>
      <x v="336"/>
      <x v="340"/>
      <x v="348"/>
      <x v="334"/>
      <x v="334"/>
      <x v="541"/>
      <x v="541"/>
      <x v="541"/>
      <x v="116"/>
      <x v="349"/>
      <x v="565"/>
    </i>
    <i>
      <x v="136"/>
      <x v="337"/>
      <x v="341"/>
      <x v="349"/>
      <x v="335"/>
      <x v="335"/>
      <x v="542"/>
      <x v="542"/>
      <x v="542"/>
      <x v="20"/>
      <x v="350"/>
      <x v="566"/>
    </i>
    <i>
      <x v="137"/>
      <x v="338"/>
      <x v="342"/>
      <x v="350"/>
      <x v="336"/>
      <x v="336"/>
      <x v="543"/>
      <x v="543"/>
      <x v="543"/>
      <x v="165"/>
      <x v="351"/>
      <x v="567"/>
    </i>
    <i>
      <x v="138"/>
      <x/>
    </i>
    <i>
      <x v="139"/>
      <x/>
    </i>
    <i>
      <x v="140"/>
      <x/>
    </i>
    <i>
      <x v="141"/>
      <x/>
    </i>
    <i>
      <x v="142"/>
      <x/>
    </i>
    <i>
      <x v="143"/>
      <x/>
    </i>
    <i>
      <x v="144"/>
      <x/>
    </i>
    <i>
      <x v="145"/>
      <x/>
    </i>
    <i>
      <x v="146"/>
      <x v="339"/>
      <x v="349"/>
      <x v="355"/>
      <x v="337"/>
      <x v="337"/>
      <x v="544"/>
      <x v="544"/>
      <x v="544"/>
      <x v="124"/>
      <x v="360"/>
      <x v="570"/>
    </i>
    <i>
      <x v="147"/>
      <x v="340"/>
      <x v="350"/>
      <x v="356"/>
      <x v="338"/>
      <x v="338"/>
      <x v="545"/>
      <x v="545"/>
      <x v="545"/>
      <x v="84"/>
      <x v="361"/>
      <x v="571"/>
    </i>
    <i>
      <x v="148"/>
      <x v="341"/>
      <x v="351"/>
      <x v="357"/>
      <x v="339"/>
      <x v="339"/>
      <x v="546"/>
      <x v="546"/>
      <x v="546"/>
      <x v="163"/>
      <x v="362"/>
      <x v="572"/>
    </i>
    <i>
      <x v="149"/>
      <x v="342"/>
      <x v="352"/>
      <x v="358"/>
      <x v="340"/>
      <x v="340"/>
      <x v="547"/>
      <x v="547"/>
      <x v="547"/>
      <x v="56"/>
      <x v="363"/>
      <x v="573"/>
    </i>
    <i>
      <x v="150"/>
      <x v="343"/>
      <x v="353"/>
      <x v="359"/>
      <x v="341"/>
      <x v="341"/>
      <x v="548"/>
      <x v="548"/>
      <x v="548"/>
      <x v="123"/>
      <x v="364"/>
      <x v="574"/>
    </i>
    <i>
      <x v="151"/>
      <x v="344"/>
      <x v="354"/>
      <x v="360"/>
      <x v="342"/>
      <x v="342"/>
      <x v="549"/>
      <x v="549"/>
      <x v="549"/>
      <x v="148"/>
      <x v="365"/>
      <x v="575"/>
    </i>
    <i>
      <x v="152"/>
      <x v="345"/>
      <x v="355"/>
      <x v="361"/>
      <x v="343"/>
      <x v="343"/>
      <x v="550"/>
      <x v="550"/>
      <x v="550"/>
      <x v="132"/>
      <x v="366"/>
      <x v="576"/>
    </i>
    <i>
      <x v="153"/>
      <x v="346"/>
      <x v="356"/>
      <x v="362"/>
      <x v="344"/>
      <x v="344"/>
      <x v="551"/>
      <x v="551"/>
      <x v="551"/>
      <x v="175"/>
      <x v="367"/>
      <x v="577"/>
    </i>
    <i>
      <x v="154"/>
      <x v="347"/>
      <x v="357"/>
      <x v="363"/>
      <x v="345"/>
      <x v="345"/>
      <x v="552"/>
      <x v="552"/>
      <x v="552"/>
      <x v="102"/>
      <x v="368"/>
      <x v="578"/>
    </i>
    <i>
      <x v="155"/>
      <x v="348"/>
      <x v="358"/>
      <x v="364"/>
      <x v="346"/>
      <x v="346"/>
      <x v="553"/>
      <x v="553"/>
      <x v="553"/>
      <x v="170"/>
      <x v="369"/>
      <x v="579"/>
    </i>
    <i>
      <x v="156"/>
      <x v="349"/>
      <x v="359"/>
      <x v="365"/>
      <x v="347"/>
      <x v="347"/>
      <x v="554"/>
      <x v="554"/>
      <x v="554"/>
      <x v="189"/>
      <x v="370"/>
      <x v="580"/>
    </i>
    <i>
      <x v="157"/>
      <x v="350"/>
      <x v="360"/>
      <x v="445"/>
      <x v="348"/>
      <x v="348"/>
      <x v="555"/>
      <x v="555"/>
      <x v="555"/>
      <x v="185"/>
      <x v="453"/>
      <x v="655"/>
    </i>
    <i>
      <x v="158"/>
      <x v="413"/>
      <x v="361"/>
      <x v="367"/>
      <x v="349"/>
      <x v="349"/>
      <x v="556"/>
      <x v="556"/>
      <x v="556"/>
      <x v="105"/>
      <x v="439"/>
      <x v="582"/>
    </i>
    <i>
      <x v="159"/>
      <x v="352"/>
      <x v="362"/>
      <x v="368"/>
      <x v="350"/>
      <x v="350"/>
      <x v="557"/>
      <x v="557"/>
      <x v="557"/>
      <x v="67"/>
      <x v="373"/>
      <x v="583"/>
    </i>
    <i>
      <x v="160"/>
      <x v="353"/>
      <x v="363"/>
      <x v="369"/>
      <x v="351"/>
      <x v="351"/>
      <x v="558"/>
      <x v="558"/>
      <x v="558"/>
      <x v="177"/>
      <x v="374"/>
      <x v="584"/>
    </i>
    <i>
      <x v="161"/>
      <x v="354"/>
      <x v="364"/>
      <x v="370"/>
      <x v="352"/>
      <x v="352"/>
      <x v="559"/>
      <x v="559"/>
      <x v="559"/>
      <x v="174"/>
      <x v="375"/>
      <x v="585"/>
    </i>
    <i>
      <x v="162"/>
      <x v="355"/>
      <x v="365"/>
      <x v="371"/>
      <x v="353"/>
      <x v="353"/>
      <x v="560"/>
      <x v="560"/>
      <x v="560"/>
      <x v="164"/>
      <x v="376"/>
      <x v="586"/>
    </i>
    <i>
      <x v="163"/>
      <x v="356"/>
      <x v="366"/>
      <x v="372"/>
      <x v="354"/>
      <x v="354"/>
      <x v="561"/>
      <x v="561"/>
      <x v="561"/>
      <x v="159"/>
      <x v="377"/>
      <x v="587"/>
    </i>
    <i>
      <x v="164"/>
      <x v="357"/>
      <x v="367"/>
      <x v="373"/>
      <x v="355"/>
      <x v="355"/>
      <x v="562"/>
      <x v="562"/>
      <x v="562"/>
      <x v="32"/>
      <x v="378"/>
      <x v="588"/>
    </i>
    <i>
      <x v="165"/>
      <x v="358"/>
      <x v="368"/>
      <x v="374"/>
      <x v="356"/>
      <x v="356"/>
      <x v="563"/>
      <x v="563"/>
      <x v="563"/>
      <x v="60"/>
      <x v="379"/>
      <x v="589"/>
    </i>
    <i>
      <x v="166"/>
      <x v="359"/>
      <x v="369"/>
      <x v="375"/>
      <x v="357"/>
      <x v="357"/>
      <x v="564"/>
      <x v="564"/>
      <x v="564"/>
      <x v="41"/>
      <x v="380"/>
      <x v="590"/>
    </i>
    <i>
      <x v="167"/>
      <x v="360"/>
      <x v="370"/>
      <x v="376"/>
      <x v="358"/>
      <x v="358"/>
      <x v="565"/>
      <x v="565"/>
      <x v="565"/>
      <x v="48"/>
      <x v="381"/>
      <x v="591"/>
    </i>
    <i>
      <x v="168"/>
      <x v="361"/>
      <x v="371"/>
      <x v="377"/>
      <x v="359"/>
      <x v="359"/>
      <x v="566"/>
      <x v="566"/>
      <x v="566"/>
      <x v="16"/>
      <x v="382"/>
      <x v="592"/>
    </i>
    <i>
      <x v="169"/>
      <x v="362"/>
      <x v="372"/>
      <x v="378"/>
      <x v="360"/>
      <x v="360"/>
      <x v="567"/>
      <x v="567"/>
      <x v="567"/>
      <x v="173"/>
      <x v="383"/>
      <x v="593"/>
    </i>
    <i>
      <x v="170"/>
      <x v="363"/>
      <x v="373"/>
      <x v="379"/>
      <x v="361"/>
      <x v="361"/>
      <x v="568"/>
      <x v="568"/>
      <x v="568"/>
      <x v="156"/>
      <x v="384"/>
      <x v="594"/>
    </i>
    <i>
      <x v="171"/>
      <x/>
    </i>
    <i>
      <x v="173"/>
      <x v="364"/>
      <x v="374"/>
      <x v="381"/>
      <x v="362"/>
      <x v="362"/>
      <x v="569"/>
      <x v="569"/>
      <x v="569"/>
      <x v="50"/>
      <x v="386"/>
      <x v="595"/>
    </i>
    <i>
      <x v="174"/>
      <x v="365"/>
      <x v="375"/>
      <x v="382"/>
      <x v="363"/>
      <x v="363"/>
      <x v="570"/>
      <x v="570"/>
      <x v="570"/>
      <x v="15"/>
      <x v="387"/>
      <x v="596"/>
    </i>
    <i>
      <x v="175"/>
      <x v="366"/>
      <x v="376"/>
      <x v="383"/>
      <x v="364"/>
      <x v="364"/>
      <x v="571"/>
      <x v="571"/>
      <x v="571"/>
      <x v="9"/>
      <x v="388"/>
      <x v="597"/>
    </i>
    <i>
      <x v="176"/>
      <x v="367"/>
      <x v="377"/>
      <x v="384"/>
      <x v="365"/>
      <x v="365"/>
      <x v="572"/>
      <x v="572"/>
      <x v="572"/>
      <x v="136"/>
      <x v="389"/>
      <x v="598"/>
    </i>
    <i>
      <x v="177"/>
      <x v="368"/>
      <x v="378"/>
      <x v="385"/>
      <x v="366"/>
      <x v="366"/>
      <x v="573"/>
      <x v="573"/>
      <x v="573"/>
      <x v="106"/>
      <x v="390"/>
      <x v="599"/>
    </i>
    <i>
      <x v="178"/>
      <x v="369"/>
      <x v="379"/>
      <x v="386"/>
      <x v="367"/>
      <x v="367"/>
      <x v="574"/>
      <x v="574"/>
      <x v="574"/>
      <x v="171"/>
      <x v="391"/>
      <x v="600"/>
    </i>
    <i>
      <x v="179"/>
      <x v="370"/>
      <x v="380"/>
      <x v="387"/>
      <x v="368"/>
      <x v="368"/>
      <x v="575"/>
      <x v="575"/>
      <x v="575"/>
      <x v="91"/>
      <x v="392"/>
      <x v="601"/>
    </i>
    <i>
      <x v="180"/>
      <x v="371"/>
      <x v="381"/>
      <x v="388"/>
      <x v="369"/>
      <x v="369"/>
      <x v="576"/>
      <x v="576"/>
      <x v="576"/>
      <x v="31"/>
      <x v="393"/>
      <x v="602"/>
    </i>
    <i>
      <x v="181"/>
      <x v="372"/>
      <x v="382"/>
      <x v="389"/>
      <x v="370"/>
      <x v="370"/>
      <x v="577"/>
      <x v="577"/>
      <x v="577"/>
      <x v="33"/>
      <x v="394"/>
      <x v="603"/>
    </i>
    <i>
      <x v="182"/>
      <x v="414"/>
      <x v="383"/>
      <x v="390"/>
      <x v="371"/>
      <x v="371"/>
      <x v="578"/>
      <x v="578"/>
      <x v="578"/>
      <x v="104"/>
      <x v="440"/>
      <x v="604"/>
    </i>
    <i>
      <x v="183"/>
      <x v="374"/>
      <x v="384"/>
      <x v="391"/>
      <x v="372"/>
      <x v="372"/>
      <x v="579"/>
      <x v="579"/>
      <x v="579"/>
      <x v="72"/>
      <x v="396"/>
      <x v="605"/>
    </i>
    <i>
      <x v="184"/>
      <x v="375"/>
      <x v="385"/>
      <x v="392"/>
      <x v="373"/>
      <x v="373"/>
      <x v="580"/>
      <x v="580"/>
      <x v="580"/>
      <x v="99"/>
      <x v="397"/>
      <x v="606"/>
    </i>
    <i>
      <x v="185"/>
      <x v="376"/>
      <x v="386"/>
      <x v="393"/>
      <x v="374"/>
      <x v="374"/>
      <x v="581"/>
      <x v="581"/>
      <x v="581"/>
      <x v="103"/>
      <x v="398"/>
      <x v="607"/>
    </i>
    <i>
      <x v="186"/>
      <x v="377"/>
      <x v="387"/>
      <x v="394"/>
      <x v="375"/>
      <x v="375"/>
      <x v="582"/>
      <x v="582"/>
      <x v="582"/>
      <x v="188"/>
      <x v="399"/>
      <x v="608"/>
    </i>
    <i>
      <x v="187"/>
      <x v="378"/>
      <x v="388"/>
      <x v="395"/>
      <x v="376"/>
      <x v="376"/>
      <x v="583"/>
      <x v="583"/>
      <x v="583"/>
      <x v="133"/>
      <x v="400"/>
      <x v="609"/>
    </i>
    <i>
      <x v="188"/>
      <x v="379"/>
      <x v="389"/>
      <x v="396"/>
      <x v="377"/>
      <x v="377"/>
      <x v="584"/>
      <x v="584"/>
      <x v="584"/>
      <x v="30"/>
      <x v="401"/>
      <x v="610"/>
    </i>
    <i>
      <x v="189"/>
      <x v="380"/>
      <x v="390"/>
      <x v="397"/>
      <x v="378"/>
      <x v="378"/>
      <x v="585"/>
      <x v="585"/>
      <x v="585"/>
      <x v="90"/>
      <x v="402"/>
      <x v="611"/>
    </i>
    <i>
      <x v="190"/>
      <x v="381"/>
      <x v="391"/>
      <x v="398"/>
      <x v="379"/>
      <x v="379"/>
      <x v="586"/>
      <x v="586"/>
      <x v="586"/>
      <x v="89"/>
      <x v="403"/>
      <x v="612"/>
    </i>
    <i>
      <x v="191"/>
      <x v="382"/>
      <x v="392"/>
      <x v="399"/>
      <x v="380"/>
      <x v="380"/>
      <x v="587"/>
      <x v="587"/>
      <x v="587"/>
      <x v="197"/>
      <x v="404"/>
      <x v="613"/>
    </i>
    <i>
      <x v="192"/>
      <x v="383"/>
      <x v="393"/>
      <x v="400"/>
      <x v="381"/>
      <x v="381"/>
      <x v="588"/>
      <x v="588"/>
      <x v="588"/>
      <x v="109"/>
      <x v="405"/>
      <x v="614"/>
    </i>
    <i>
      <x v="193"/>
      <x v="384"/>
      <x v="394"/>
      <x v="401"/>
      <x v="382"/>
      <x v="382"/>
      <x v="589"/>
      <x v="589"/>
      <x v="589"/>
      <x v="200"/>
      <x v="406"/>
      <x v="615"/>
    </i>
    <i>
      <x v="194"/>
      <x v="385"/>
      <x v="395"/>
      <x v="402"/>
      <x v="383"/>
      <x v="383"/>
      <x v="590"/>
      <x v="590"/>
      <x v="590"/>
      <x v="154"/>
      <x v="407"/>
      <x v="616"/>
    </i>
    <i>
      <x v="195"/>
      <x v="386"/>
      <x v="396"/>
      <x v="403"/>
      <x v="384"/>
      <x v="384"/>
      <x v="591"/>
      <x v="591"/>
      <x v="591"/>
      <x v="140"/>
      <x v="408"/>
      <x v="617"/>
    </i>
    <i>
      <x v="196"/>
      <x v="387"/>
      <x v="397"/>
      <x v="404"/>
      <x v="385"/>
      <x v="385"/>
      <x v="592"/>
      <x v="592"/>
      <x v="592"/>
      <x v="149"/>
      <x v="409"/>
      <x v="618"/>
    </i>
    <i>
      <x v="197"/>
      <x v="388"/>
      <x v="398"/>
      <x v="405"/>
      <x v="386"/>
      <x v="386"/>
      <x v="593"/>
      <x v="593"/>
      <x v="593"/>
      <x v="24"/>
      <x v="410"/>
      <x v="619"/>
    </i>
    <i>
      <x v="198"/>
      <x v="389"/>
      <x v="399"/>
      <x v="406"/>
      <x v="387"/>
      <x v="387"/>
      <x v="594"/>
      <x v="594"/>
      <x v="594"/>
      <x v="40"/>
      <x v="411"/>
      <x v="620"/>
    </i>
    <i>
      <x v="199"/>
      <x/>
    </i>
    <i>
      <x v="200"/>
      <x v="390"/>
      <x v="400"/>
      <x v="408"/>
      <x v="388"/>
      <x v="388"/>
      <x v="595"/>
      <x v="595"/>
      <x v="595"/>
      <x v="158"/>
      <x v="413"/>
      <x v="621"/>
    </i>
    <i>
      <x v="201"/>
      <x v="391"/>
      <x v="401"/>
      <x v="409"/>
      <x v="389"/>
      <x v="389"/>
      <x v="596"/>
      <x v="596"/>
      <x v="596"/>
      <x v="34"/>
      <x v="414"/>
      <x v="622"/>
    </i>
    <i>
      <x v="202"/>
      <x v="392"/>
      <x v="402"/>
      <x v="410"/>
      <x v="390"/>
      <x v="390"/>
      <x v="597"/>
      <x v="597"/>
      <x v="597"/>
      <x v="45"/>
      <x v="415"/>
      <x v="623"/>
    </i>
    <i>
      <x v="203"/>
      <x v="393"/>
      <x v="403"/>
      <x v="411"/>
      <x v="391"/>
      <x v="391"/>
      <x v="598"/>
      <x v="598"/>
      <x v="598"/>
      <x v="128"/>
      <x v="416"/>
      <x v="624"/>
    </i>
    <i>
      <x v="204"/>
      <x v="394"/>
      <x v="404"/>
      <x v="412"/>
      <x v="392"/>
      <x v="392"/>
      <x v="599"/>
      <x v="599"/>
      <x v="599"/>
      <x v="180"/>
      <x v="417"/>
      <x v="625"/>
    </i>
    <i>
      <x v="205"/>
      <x v="395"/>
      <x v="405"/>
      <x v="413"/>
      <x v="393"/>
      <x v="393"/>
      <x v="600"/>
      <x v="600"/>
      <x v="600"/>
      <x v="147"/>
      <x v="418"/>
      <x v="626"/>
    </i>
    <i>
      <x v="206"/>
      <x v="396"/>
      <x v="406"/>
      <x v="414"/>
      <x v="394"/>
      <x v="394"/>
      <x v="601"/>
      <x v="601"/>
      <x v="601"/>
      <x v="127"/>
      <x v="419"/>
      <x v="627"/>
    </i>
    <i>
      <x v="207"/>
      <x/>
    </i>
    <i>
      <x v="208"/>
      <x v="397"/>
      <x v="407"/>
      <x v="416"/>
      <x v="395"/>
      <x v="395"/>
      <x v="602"/>
      <x v="602"/>
      <x v="602"/>
      <x v="71"/>
      <x v="421"/>
      <x v="628"/>
    </i>
    <i>
      <x v="209"/>
      <x v="398"/>
      <x v="408"/>
      <x v="417"/>
      <x v="396"/>
      <x v="396"/>
      <x v="603"/>
      <x v="603"/>
      <x v="603"/>
      <x v="126"/>
      <x v="422"/>
      <x v="629"/>
    </i>
    <i>
      <x v="210"/>
      <x v="399"/>
      <x v="409"/>
      <x v="418"/>
      <x v="397"/>
      <x v="397"/>
      <x v="604"/>
      <x v="604"/>
      <x v="604"/>
      <x v="139"/>
      <x v="423"/>
      <x v="630"/>
    </i>
    <i>
      <x v="211"/>
      <x v="400"/>
      <x v="410"/>
      <x v="419"/>
      <x v="398"/>
      <x v="398"/>
      <x v="605"/>
      <x v="605"/>
      <x v="605"/>
      <x v="64"/>
      <x v="424"/>
      <x v="631"/>
    </i>
    <i>
      <x v="212"/>
      <x v="401"/>
      <x v="411"/>
      <x v="420"/>
      <x v="399"/>
      <x v="399"/>
      <x v="606"/>
      <x v="606"/>
      <x v="606"/>
      <x v="201"/>
      <x v="425"/>
      <x v="632"/>
    </i>
    <i>
      <x v="213"/>
      <x v="402"/>
      <x v="412"/>
      <x v="421"/>
      <x v="400"/>
      <x v="400"/>
      <x v="607"/>
      <x v="607"/>
      <x v="607"/>
      <x v="83"/>
      <x v="426"/>
      <x v="633"/>
    </i>
    <i>
      <x v="214"/>
      <x v="403"/>
      <x v="413"/>
      <x v="422"/>
      <x v="401"/>
      <x v="401"/>
      <x v="608"/>
      <x v="608"/>
      <x v="608"/>
      <x v="143"/>
      <x v="427"/>
      <x v="634"/>
    </i>
    <i>
      <x v="215"/>
      <x v="404"/>
      <x v="414"/>
      <x v="423"/>
      <x v="402"/>
      <x v="402"/>
      <x v="609"/>
      <x v="609"/>
      <x v="609"/>
      <x v="111"/>
      <x v="428"/>
      <x v="635"/>
    </i>
    <i>
      <x v="216"/>
      <x v="405"/>
      <x v="415"/>
      <x v="424"/>
      <x v="403"/>
      <x v="403"/>
      <x v="610"/>
      <x v="610"/>
      <x v="610"/>
      <x v="51"/>
      <x v="429"/>
      <x v="636"/>
    </i>
    <i>
      <x v="217"/>
      <x v="406"/>
      <x v="416"/>
      <x v="425"/>
      <x v="404"/>
      <x v="404"/>
      <x v="611"/>
      <x v="611"/>
      <x v="611"/>
      <x v="186"/>
      <x v="430"/>
      <x v="637"/>
    </i>
    <i>
      <x v="218"/>
      <x v="407"/>
      <x v="417"/>
      <x v="431"/>
      <x/>
      <x/>
      <x v="612"/>
      <x v="612"/>
      <x v="612"/>
      <x/>
      <x v="431"/>
      <x v="638"/>
    </i>
    <i>
      <x v="219"/>
      <x v="408"/>
      <x v="418"/>
      <x v="426"/>
      <x v="405"/>
      <x v="405"/>
      <x v="613"/>
      <x v="613"/>
      <x v="613"/>
      <x v="141"/>
      <x v="432"/>
      <x v="639"/>
    </i>
    <i>
      <x v="220"/>
      <x v="409"/>
      <x v="419"/>
      <x v="427"/>
      <x v="406"/>
      <x v="406"/>
      <x v="614"/>
      <x v="614"/>
      <x v="614"/>
      <x v="183"/>
      <x v="433"/>
      <x v="640"/>
    </i>
    <i>
      <x v="221"/>
      <x v="410"/>
      <x v="420"/>
      <x v="428"/>
      <x v="407"/>
      <x v="407"/>
      <x v="615"/>
      <x v="615"/>
      <x v="615"/>
      <x v="76"/>
      <x v="434"/>
      <x v="641"/>
    </i>
    <i>
      <x v="222"/>
      <x v="411"/>
      <x v="421"/>
      <x v="429"/>
      <x v="408"/>
      <x v="408"/>
      <x v="616"/>
      <x v="616"/>
      <x v="616"/>
      <x v="153"/>
      <x v="435"/>
      <x v="642"/>
    </i>
    <i>
      <x v="223"/>
      <x v="415"/>
      <x v="422"/>
      <x v="446"/>
      <x v="409"/>
      <x v="409"/>
      <x v="617"/>
      <x v="617"/>
      <x v="617"/>
      <x v="202"/>
      <x v="454"/>
      <x v="656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7ACAB-3B03-46B6-BDB4-34448AF9C550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C3:HL11" firstHeaderRow="1" firstDataRow="9" firstDataCol="0"/>
  <pivotFields count="11">
    <pivotField axis="axisCol" compact="0" outline="0" showAll="0" defaultSubtotal="0">
      <items count="219"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4"/>
        <item x="32"/>
        <item x="73"/>
        <item x="200"/>
        <item x="82"/>
        <item x="94"/>
        <item m="1" x="217"/>
        <item m="1" x="218"/>
        <item x="52"/>
        <item x="168"/>
      </items>
    </pivotField>
    <pivotField axis="axisCol" compact="0" numFmtId="164" outline="0" showAll="0" defaultSubtotal="0">
      <items count="424"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x="58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x="94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x="111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x="13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</items>
    </pivotField>
    <pivotField axis="axisCol" compact="0" numFmtId="164" outline="0" showAll="0" defaultSubtotal="0">
      <items count="425">
        <item x="52"/>
        <item m="1" x="215"/>
        <item m="1" x="216"/>
        <item m="1" x="217"/>
        <item m="1" x="218"/>
        <item x="4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x="58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m="1" x="213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m="1" x="214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140"/>
        <item x="159"/>
      </items>
    </pivotField>
    <pivotField compact="0" numFmtId="164" outline="0" showAll="0" defaultSubtotal="0"/>
    <pivotField compact="0" numFmtId="164" outline="0" showAll="0" defaultSubtotal="0"/>
    <pivotField axis="axisCol" compact="0" numFmtId="164" outline="0" showAll="0" defaultSubtotal="0">
      <items count="429">
        <item x="4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x="0"/>
        <item x="1"/>
        <item x="2"/>
        <item x="3"/>
        <item m="1" x="211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212"/>
        <item x="40"/>
        <item x="41"/>
        <item x="42"/>
        <item x="43"/>
        <item x="44"/>
        <item x="45"/>
        <item x="46"/>
        <item x="47"/>
        <item x="48"/>
        <item x="49"/>
        <item m="1" x="213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m="1" x="214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m="1" x="215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m="1" x="216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m="1" x="217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5"/>
        <item x="39"/>
        <item x="50"/>
        <item x="89"/>
        <item x="111"/>
        <item x="148"/>
        <item x="194"/>
      </items>
    </pivotField>
    <pivotField axis="axisCol" compact="0" numFmtId="164" outline="0" showAll="0" defaultSubtotal="0">
      <items count="439">
        <item x="94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x="58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x="111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x="0"/>
        <item x="1"/>
        <item x="2"/>
        <item x="3"/>
        <item x="4"/>
        <item m="1" x="217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m="1" x="218"/>
        <item x="40"/>
        <item x="41"/>
        <item x="42"/>
        <item x="43"/>
        <item x="44"/>
        <item x="45"/>
        <item x="46"/>
        <item x="47"/>
        <item x="48"/>
        <item x="49"/>
        <item m="1" x="219"/>
        <item x="51"/>
        <item x="52"/>
        <item x="53"/>
        <item x="54"/>
        <item x="55"/>
        <item x="56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m="1" x="220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m="1" x="221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m="1" x="224"/>
        <item x="144"/>
        <item x="145"/>
        <item x="146"/>
        <item x="147"/>
        <item x="148"/>
        <item x="149"/>
        <item x="150"/>
        <item x="151"/>
        <item x="152"/>
        <item m="1" x="222"/>
        <item x="154"/>
        <item x="155"/>
        <item x="156"/>
        <item x="157"/>
        <item x="158"/>
        <item x="159"/>
        <item x="160"/>
        <item x="161"/>
        <item m="1" x="225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m="1" x="223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143"/>
        <item x="162"/>
        <item x="5"/>
        <item x="39"/>
        <item x="50"/>
        <item x="92"/>
        <item x="116"/>
        <item x="153"/>
        <item x="200"/>
      </items>
    </pivotField>
    <pivotField compact="0" numFmtId="164" outline="0" showAll="0" defaultSubtotal="0"/>
    <pivotField axis="axisCol" compact="0" numFmtId="165" outline="0" showAll="0" defaultSubtotal="0">
      <items count="845">
        <item x="52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423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424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350"/>
        <item m="1" x="3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</items>
    </pivotField>
    <pivotField axis="axisCol" compact="0" numFmtId="164" outline="0" showAll="0" defaultSubtotal="0">
      <items count="1054">
        <item x="5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</items>
    </pivotField>
    <pivotField axis="axisCol" compact="0" numFmtId="164" outline="0" showAll="0" defaultSubtotal="0">
      <items count="1060">
        <item x="94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x="58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x="111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x="52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x="82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x="168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6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3"/>
        <item x="84"/>
        <item x="85"/>
        <item x="86"/>
        <item x="87"/>
        <item x="88"/>
        <item x="89"/>
        <item x="90"/>
        <item x="91"/>
        <item x="92"/>
        <item x="93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</items>
    </pivotField>
  </pivotFields>
  <rowItems count="1">
    <i/>
  </rowItems>
  <colFields count="8">
    <field x="0"/>
    <field x="5"/>
    <field x="2"/>
    <field x="1"/>
    <field x="6"/>
    <field x="8"/>
    <field x="9"/>
    <field x="10"/>
  </colFields>
  <colItems count="218">
    <i>
      <x/>
      <x v="212"/>
      <x v="213"/>
      <x v="213"/>
      <x v="216"/>
      <x v="634"/>
      <x v="843"/>
      <x v="849"/>
    </i>
    <i>
      <x v="1"/>
      <x v="213"/>
      <x v="214"/>
      <x v="214"/>
      <x v="217"/>
      <x v="635"/>
      <x v="844"/>
      <x v="850"/>
    </i>
    <i>
      <x v="2"/>
      <x v="214"/>
      <x v="215"/>
      <x v="215"/>
      <x v="218"/>
      <x v="636"/>
      <x v="845"/>
      <x v="851"/>
    </i>
    <i>
      <x v="3"/>
      <x v="215"/>
      <x v="216"/>
      <x v="216"/>
      <x v="219"/>
      <x v="637"/>
      <x v="846"/>
      <x v="852"/>
    </i>
    <i>
      <x v="4"/>
      <x v="422"/>
      <x v="217"/>
      <x v="218"/>
      <x v="432"/>
      <x v="639"/>
      <x v="848"/>
      <x v="854"/>
    </i>
    <i>
      <x v="5"/>
      <x v="217"/>
      <x v="218"/>
      <x v="219"/>
      <x v="222"/>
      <x v="640"/>
      <x v="849"/>
      <x v="855"/>
    </i>
    <i>
      <x v="6"/>
      <x v="218"/>
      <x v="219"/>
      <x v="220"/>
      <x v="223"/>
      <x v="641"/>
      <x v="850"/>
      <x v="856"/>
    </i>
    <i>
      <x v="7"/>
      <x v="219"/>
      <x v="220"/>
      <x v="221"/>
      <x v="224"/>
      <x v="642"/>
      <x v="851"/>
      <x v="857"/>
    </i>
    <i>
      <x v="8"/>
      <x v="220"/>
      <x v="221"/>
      <x v="222"/>
      <x v="225"/>
      <x v="643"/>
      <x v="852"/>
      <x v="858"/>
    </i>
    <i>
      <x v="9"/>
      <x v="221"/>
      <x v="222"/>
      <x v="223"/>
      <x v="226"/>
      <x v="644"/>
      <x v="853"/>
      <x v="859"/>
    </i>
    <i>
      <x v="10"/>
      <x v="222"/>
      <x v="223"/>
      <x v="224"/>
      <x v="227"/>
      <x v="645"/>
      <x v="854"/>
      <x v="860"/>
    </i>
    <i>
      <x v="11"/>
      <x v="223"/>
      <x v="224"/>
      <x v="225"/>
      <x v="228"/>
      <x v="646"/>
      <x v="855"/>
      <x v="861"/>
    </i>
    <i>
      <x v="12"/>
      <x v="224"/>
      <x v="225"/>
      <x v="226"/>
      <x v="229"/>
      <x v="647"/>
      <x v="856"/>
      <x v="862"/>
    </i>
    <i>
      <x v="13"/>
      <x v="225"/>
      <x v="226"/>
      <x v="227"/>
      <x v="230"/>
      <x v="648"/>
      <x v="857"/>
      <x v="863"/>
    </i>
    <i>
      <x v="14"/>
      <x v="226"/>
      <x v="227"/>
      <x v="228"/>
      <x v="231"/>
      <x v="649"/>
      <x v="858"/>
      <x v="864"/>
    </i>
    <i>
      <x v="15"/>
      <x v="227"/>
      <x v="228"/>
      <x v="229"/>
      <x v="232"/>
      <x v="650"/>
      <x v="859"/>
      <x v="865"/>
    </i>
    <i>
      <x v="16"/>
      <x v="228"/>
      <x v="229"/>
      <x v="230"/>
      <x v="233"/>
      <x v="651"/>
      <x v="860"/>
      <x v="866"/>
    </i>
    <i>
      <x v="17"/>
      <x v="229"/>
      <x v="230"/>
      <x v="231"/>
      <x v="234"/>
      <x v="652"/>
      <x v="861"/>
      <x v="867"/>
    </i>
    <i>
      <x v="18"/>
      <x v="230"/>
      <x v="231"/>
      <x v="232"/>
      <x v="235"/>
      <x v="653"/>
      <x v="862"/>
      <x v="868"/>
    </i>
    <i>
      <x v="19"/>
      <x v="231"/>
      <x v="232"/>
      <x v="233"/>
      <x v="236"/>
      <x v="654"/>
      <x v="863"/>
      <x v="869"/>
    </i>
    <i>
      <x v="20"/>
      <x v="232"/>
      <x v="233"/>
      <x v="234"/>
      <x v="237"/>
      <x v="655"/>
      <x v="864"/>
      <x v="870"/>
    </i>
    <i>
      <x v="21"/>
      <x v="233"/>
      <x v="234"/>
      <x v="235"/>
      <x v="238"/>
      <x v="656"/>
      <x v="865"/>
      <x v="871"/>
    </i>
    <i>
      <x v="22"/>
      <x v="234"/>
      <x v="235"/>
      <x v="236"/>
      <x v="239"/>
      <x v="657"/>
      <x v="866"/>
      <x v="872"/>
    </i>
    <i>
      <x v="23"/>
      <x v="235"/>
      <x v="236"/>
      <x v="237"/>
      <x v="240"/>
      <x v="658"/>
      <x v="867"/>
      <x v="873"/>
    </i>
    <i>
      <x v="24"/>
      <x v="236"/>
      <x v="237"/>
      <x v="238"/>
      <x v="241"/>
      <x v="659"/>
      <x v="868"/>
      <x v="874"/>
    </i>
    <i>
      <x v="25"/>
      <x v="237"/>
      <x v="238"/>
      <x v="239"/>
      <x v="242"/>
      <x v="660"/>
      <x v="869"/>
      <x v="875"/>
    </i>
    <i>
      <x v="26"/>
      <x v="238"/>
      <x v="239"/>
      <x v="240"/>
      <x v="243"/>
      <x v="661"/>
      <x v="870"/>
      <x v="876"/>
    </i>
    <i>
      <x v="27"/>
      <x v="239"/>
      <x v="240"/>
      <x v="241"/>
      <x v="244"/>
      <x v="662"/>
      <x v="871"/>
      <x v="877"/>
    </i>
    <i>
      <x v="28"/>
      <x v="240"/>
      <x v="241"/>
      <x v="242"/>
      <x v="245"/>
      <x v="663"/>
      <x v="872"/>
      <x v="878"/>
    </i>
    <i>
      <x v="29"/>
      <x v="241"/>
      <x v="242"/>
      <x v="243"/>
      <x v="246"/>
      <x v="664"/>
      <x v="873"/>
      <x v="879"/>
    </i>
    <i>
      <x v="30"/>
      <x v="242"/>
      <x v="243"/>
      <x v="244"/>
      <x v="247"/>
      <x v="665"/>
      <x v="874"/>
      <x v="880"/>
    </i>
    <i>
      <x v="31"/>
      <x v="244"/>
      <x v="245"/>
      <x v="246"/>
      <x v="249"/>
      <x v="667"/>
      <x v="876"/>
      <x v="882"/>
    </i>
    <i>
      <x v="32"/>
      <x v="245"/>
      <x v="246"/>
      <x v="247"/>
      <x v="250"/>
      <x v="668"/>
      <x v="877"/>
      <x v="883"/>
    </i>
    <i>
      <x v="33"/>
      <x v="246"/>
      <x v="247"/>
      <x v="248"/>
      <x v="251"/>
      <x v="669"/>
      <x v="878"/>
      <x v="884"/>
    </i>
    <i>
      <x v="34"/>
      <x v="247"/>
      <x v="248"/>
      <x v="249"/>
      <x v="252"/>
      <x v="670"/>
      <x v="879"/>
      <x v="885"/>
    </i>
    <i>
      <x v="35"/>
      <x v="248"/>
      <x v="249"/>
      <x v="250"/>
      <x v="253"/>
      <x v="671"/>
      <x v="880"/>
      <x v="886"/>
    </i>
    <i>
      <x v="36"/>
      <x v="249"/>
      <x v="250"/>
      <x v="251"/>
      <x v="254"/>
      <x v="672"/>
      <x v="881"/>
      <x v="887"/>
    </i>
    <i>
      <x v="37"/>
      <x v="423"/>
      <x v="251"/>
      <x v="252"/>
      <x v="433"/>
      <x v="673"/>
      <x v="882"/>
      <x v="888"/>
    </i>
    <i>
      <x v="38"/>
      <x v="251"/>
      <x v="252"/>
      <x v="253"/>
      <x v="256"/>
      <x v="674"/>
      <x v="883"/>
      <x v="889"/>
    </i>
    <i>
      <x v="39"/>
      <x v="252"/>
      <x v="253"/>
      <x v="254"/>
      <x v="257"/>
      <x v="675"/>
      <x v="884"/>
      <x v="890"/>
    </i>
    <i>
      <x v="40"/>
      <x v="253"/>
      <x v="254"/>
      <x v="255"/>
      <x v="258"/>
      <x v="676"/>
      <x v="885"/>
      <x v="891"/>
    </i>
    <i>
      <x v="41"/>
      <x v="254"/>
      <x v="255"/>
      <x v="256"/>
      <x v="259"/>
      <x v="677"/>
      <x v="886"/>
      <x v="892"/>
    </i>
    <i>
      <x v="42"/>
      <x v="255"/>
      <x v="256"/>
      <x v="257"/>
      <x v="260"/>
      <x v="678"/>
      <x v="887"/>
      <x v="893"/>
    </i>
    <i>
      <x v="43"/>
      <x v="256"/>
      <x v="257"/>
      <x v="258"/>
      <x v="261"/>
      <x v="679"/>
      <x v="888"/>
      <x v="894"/>
    </i>
    <i>
      <x v="44"/>
      <x v="257"/>
      <x v="258"/>
      <x v="259"/>
      <x v="262"/>
      <x v="680"/>
      <x v="889"/>
      <x v="895"/>
    </i>
    <i>
      <x v="45"/>
      <x v="258"/>
      <x v="259"/>
      <x v="260"/>
      <x v="263"/>
      <x v="681"/>
      <x v="890"/>
      <x v="896"/>
    </i>
    <i>
      <x v="46"/>
      <x v="259"/>
      <x v="260"/>
      <x v="261"/>
      <x v="264"/>
      <x v="682"/>
      <x v="891"/>
      <x v="897"/>
    </i>
    <i>
      <x v="47"/>
      <x v="260"/>
      <x v="261"/>
      <x v="262"/>
      <x v="265"/>
      <x v="683"/>
      <x v="892"/>
      <x v="898"/>
    </i>
    <i>
      <x v="48"/>
      <x v="424"/>
      <x v="262"/>
      <x v="263"/>
      <x v="434"/>
      <x v="684"/>
      <x v="893"/>
      <x v="899"/>
    </i>
    <i>
      <x v="49"/>
      <x v="262"/>
      <x v="263"/>
      <x v="264"/>
      <x v="267"/>
      <x v="685"/>
      <x v="894"/>
      <x v="900"/>
    </i>
    <i>
      <x v="50"/>
      <x v="263"/>
      <x v="264"/>
      <x v="266"/>
      <x v="269"/>
      <x v="686"/>
      <x v="895"/>
      <x v="901"/>
    </i>
    <i>
      <x v="51"/>
      <x v="264"/>
      <x v="265"/>
      <x v="267"/>
      <x v="270"/>
      <x v="687"/>
      <x v="896"/>
      <x v="902"/>
    </i>
    <i>
      <x v="52"/>
      <x v="265"/>
      <x v="266"/>
      <x v="268"/>
      <x v="271"/>
      <x v="688"/>
      <x v="897"/>
      <x v="903"/>
    </i>
    <i>
      <x v="53"/>
      <x v="266"/>
      <x v="267"/>
      <x v="269"/>
      <x v="272"/>
      <x v="689"/>
      <x v="898"/>
      <x v="904"/>
    </i>
    <i>
      <x v="54"/>
      <x v="267"/>
      <x v="268"/>
      <x v="270"/>
      <x v="273"/>
      <x v="690"/>
      <x v="899"/>
      <x v="905"/>
    </i>
    <i>
      <x v="55"/>
      <x/>
      <x v="58"/>
      <x v="57"/>
      <x v="58"/>
      <x/>
      <x/>
      <x v="58"/>
    </i>
    <i>
      <x v="56"/>
      <x v="268"/>
      <x v="269"/>
      <x v="271"/>
      <x v="274"/>
      <x v="691"/>
      <x v="900"/>
      <x v="906"/>
    </i>
    <i>
      <x v="57"/>
      <x v="269"/>
      <x v="270"/>
      <x v="272"/>
      <x v="275"/>
      <x v="692"/>
      <x v="901"/>
      <x v="907"/>
    </i>
    <i>
      <x v="58"/>
      <x v="270"/>
      <x v="271"/>
      <x v="273"/>
      <x v="276"/>
      <x v="693"/>
      <x v="902"/>
      <x v="908"/>
    </i>
    <i>
      <x v="59"/>
      <x v="271"/>
      <x v="272"/>
      <x v="274"/>
      <x v="277"/>
      <x v="694"/>
      <x v="903"/>
      <x v="909"/>
    </i>
    <i>
      <x v="60"/>
      <x v="272"/>
      <x v="273"/>
      <x v="275"/>
      <x v="278"/>
      <x v="695"/>
      <x v="904"/>
      <x v="910"/>
    </i>
    <i>
      <x v="61"/>
      <x v="273"/>
      <x v="274"/>
      <x v="276"/>
      <x v="279"/>
      <x v="696"/>
      <x v="905"/>
      <x v="911"/>
    </i>
    <i>
      <x v="62"/>
      <x v="274"/>
      <x v="275"/>
      <x v="277"/>
      <x v="280"/>
      <x v="697"/>
      <x v="906"/>
      <x v="912"/>
    </i>
    <i>
      <x v="63"/>
      <x v="275"/>
      <x v="276"/>
      <x v="278"/>
      <x v="281"/>
      <x v="698"/>
      <x v="907"/>
      <x v="913"/>
    </i>
    <i>
      <x v="64"/>
      <x v="276"/>
      <x v="277"/>
      <x v="279"/>
      <x v="282"/>
      <x v="699"/>
      <x v="908"/>
      <x v="914"/>
    </i>
    <i>
      <x v="65"/>
      <x v="277"/>
      <x v="278"/>
      <x v="280"/>
      <x v="283"/>
      <x v="700"/>
      <x v="909"/>
      <x v="915"/>
    </i>
    <i>
      <x v="66"/>
      <x v="278"/>
      <x v="279"/>
      <x v="281"/>
      <x v="284"/>
      <x v="701"/>
      <x v="910"/>
      <x v="916"/>
    </i>
    <i>
      <x v="67"/>
      <x v="279"/>
      <x v="280"/>
      <x v="282"/>
      <x v="285"/>
      <x v="702"/>
      <x v="911"/>
      <x v="917"/>
    </i>
    <i>
      <x v="68"/>
      <x v="280"/>
      <x v="281"/>
      <x v="283"/>
      <x v="286"/>
      <x v="703"/>
      <x v="912"/>
      <x v="918"/>
    </i>
    <i>
      <x v="69"/>
      <x v="281"/>
      <x v="282"/>
      <x v="284"/>
      <x v="287"/>
      <x v="704"/>
      <x v="913"/>
      <x v="919"/>
    </i>
    <i>
      <x v="70"/>
      <x v="283"/>
      <x v="284"/>
      <x v="286"/>
      <x v="289"/>
      <x v="706"/>
      <x v="915"/>
      <x v="921"/>
    </i>
    <i>
      <x v="71"/>
      <x v="284"/>
      <x v="285"/>
      <x v="287"/>
      <x v="290"/>
      <x v="707"/>
      <x v="916"/>
      <x v="922"/>
    </i>
    <i>
      <x v="72"/>
      <x v="285"/>
      <x v="286"/>
      <x v="288"/>
      <x v="291"/>
      <x v="708"/>
      <x v="917"/>
      <x v="923"/>
    </i>
    <i>
      <x v="73"/>
      <x v="286"/>
      <x v="287"/>
      <x v="289"/>
      <x v="292"/>
      <x v="709"/>
      <x v="918"/>
      <x v="924"/>
    </i>
    <i>
      <x v="74"/>
      <x v="287"/>
      <x v="288"/>
      <x v="290"/>
      <x v="293"/>
      <x v="710"/>
      <x v="919"/>
      <x v="925"/>
    </i>
    <i>
      <x v="75"/>
      <x v="288"/>
      <x v="289"/>
      <x v="291"/>
      <x v="294"/>
      <x v="711"/>
      <x v="920"/>
      <x v="926"/>
    </i>
    <i>
      <x v="76"/>
      <x v="289"/>
      <x v="290"/>
      <x v="292"/>
      <x v="295"/>
      <x v="712"/>
      <x v="921"/>
      <x v="927"/>
    </i>
    <i>
      <x v="77"/>
      <x v="290"/>
      <x v="291"/>
      <x v="293"/>
      <x v="296"/>
      <x v="713"/>
      <x v="922"/>
      <x v="928"/>
    </i>
    <i>
      <x v="78"/>
      <x v="291"/>
      <x v="292"/>
      <x v="295"/>
      <x v="298"/>
      <x v="714"/>
      <x v="923"/>
      <x v="929"/>
    </i>
    <i>
      <x v="79"/>
      <x v="292"/>
      <x v="293"/>
      <x v="296"/>
      <x v="299"/>
      <x v="715"/>
      <x v="924"/>
      <x v="930"/>
    </i>
    <i>
      <x v="80"/>
      <x v="293"/>
      <x v="294"/>
      <x v="297"/>
      <x v="300"/>
      <x v="716"/>
      <x v="925"/>
      <x v="931"/>
    </i>
    <i>
      <x v="81"/>
      <x v="294"/>
      <x v="295"/>
      <x v="298"/>
      <x v="301"/>
      <x v="717"/>
      <x v="926"/>
      <x v="932"/>
    </i>
    <i>
      <x v="82"/>
      <x v="295"/>
      <x v="296"/>
      <x v="299"/>
      <x v="302"/>
      <x v="718"/>
      <x v="927"/>
      <x v="933"/>
    </i>
    <i>
      <x v="83"/>
      <x v="296"/>
      <x v="297"/>
      <x v="300"/>
      <x v="303"/>
      <x v="719"/>
      <x v="928"/>
      <x v="934"/>
    </i>
    <i>
      <x v="84"/>
      <x v="297"/>
      <x v="298"/>
      <x v="301"/>
      <x v="304"/>
      <x v="720"/>
      <x v="929"/>
      <x v="935"/>
    </i>
    <i>
      <x v="85"/>
      <x v="298"/>
      <x v="299"/>
      <x v="302"/>
      <x v="305"/>
      <x v="721"/>
      <x v="930"/>
      <x v="936"/>
    </i>
    <i>
      <x v="86"/>
      <x v="299"/>
      <x v="300"/>
      <x v="303"/>
      <x v="306"/>
      <x v="722"/>
      <x v="931"/>
      <x v="937"/>
    </i>
    <i>
      <x v="87"/>
      <x v="425"/>
      <x v="301"/>
      <x v="304"/>
      <x v="435"/>
      <x v="723"/>
      <x v="932"/>
      <x v="938"/>
    </i>
    <i>
      <x v="88"/>
      <x v="301"/>
      <x v="302"/>
      <x v="305"/>
      <x v="308"/>
      <x v="724"/>
      <x v="933"/>
      <x v="939"/>
    </i>
    <i>
      <x v="89"/>
      <x v="302"/>
      <x v="303"/>
      <x v="306"/>
      <x v="309"/>
      <x v="725"/>
      <x v="934"/>
      <x v="940"/>
    </i>
    <i>
      <x v="90"/>
      <x v="303"/>
      <x v="304"/>
      <x v="307"/>
      <x v="310"/>
      <x v="726"/>
      <x v="935"/>
      <x v="941"/>
    </i>
    <i>
      <x v="91"/>
      <x v="304"/>
      <x v="305"/>
      <x v="308"/>
      <x v="311"/>
      <x v="727"/>
      <x v="936"/>
      <x v="942"/>
    </i>
    <i>
      <x v="92"/>
      <x v="305"/>
      <x v="306"/>
      <x v="309"/>
      <x v="312"/>
      <x v="728"/>
      <x v="937"/>
      <x v="943"/>
    </i>
    <i>
      <x v="93"/>
      <x v="306"/>
      <x v="307"/>
      <x v="310"/>
      <x v="313"/>
      <x v="729"/>
      <x v="938"/>
      <x v="944"/>
    </i>
    <i>
      <x v="94"/>
      <x v="307"/>
      <x v="308"/>
      <x v="311"/>
      <x v="314"/>
      <x v="730"/>
      <x v="939"/>
      <x v="945"/>
    </i>
    <i>
      <x v="95"/>
      <x v="308"/>
      <x v="309"/>
      <x v="312"/>
      <x v="315"/>
      <x v="731"/>
      <x v="940"/>
      <x v="946"/>
    </i>
    <i>
      <x v="96"/>
      <x v="309"/>
      <x v="310"/>
      <x v="313"/>
      <x v="316"/>
      <x v="732"/>
      <x v="941"/>
      <x v="947"/>
    </i>
    <i>
      <x v="97"/>
      <x v="310"/>
      <x v="311"/>
      <x v="314"/>
      <x v="317"/>
      <x v="733"/>
      <x v="942"/>
      <x v="948"/>
    </i>
    <i>
      <x v="98"/>
      <x v="311"/>
      <x v="312"/>
      <x v="315"/>
      <x v="318"/>
      <x v="734"/>
      <x v="943"/>
      <x v="949"/>
    </i>
    <i>
      <x v="99"/>
      <x v="312"/>
      <x v="313"/>
      <x v="316"/>
      <x v="319"/>
      <x v="735"/>
      <x v="944"/>
      <x v="950"/>
    </i>
    <i>
      <x v="100"/>
      <x v="313"/>
      <x v="314"/>
      <x v="317"/>
      <x v="320"/>
      <x v="736"/>
      <x v="945"/>
      <x v="951"/>
    </i>
    <i>
      <x v="101"/>
      <x v="314"/>
      <x v="315"/>
      <x v="318"/>
      <x v="321"/>
      <x v="737"/>
      <x v="946"/>
      <x v="952"/>
    </i>
    <i>
      <x v="102"/>
      <x v="315"/>
      <x v="316"/>
      <x v="319"/>
      <x v="322"/>
      <x v="738"/>
      <x v="947"/>
      <x v="953"/>
    </i>
    <i>
      <x v="103"/>
      <x v="316"/>
      <x v="317"/>
      <x v="320"/>
      <x v="323"/>
      <x v="739"/>
      <x v="948"/>
      <x v="954"/>
    </i>
    <i>
      <x v="104"/>
      <x v="317"/>
      <x v="318"/>
      <x v="321"/>
      <x v="324"/>
      <x v="740"/>
      <x v="949"/>
      <x v="955"/>
    </i>
    <i>
      <x v="105"/>
      <x/>
      <x v="58"/>
      <x v="110"/>
      <x v="110"/>
      <x/>
      <x/>
      <x v="110"/>
    </i>
    <i>
      <x v="106"/>
      <x v="318"/>
      <x v="319"/>
      <x v="322"/>
      <x v="325"/>
      <x v="741"/>
      <x v="950"/>
      <x v="956"/>
    </i>
    <i>
      <x v="107"/>
      <x v="319"/>
      <x v="320"/>
      <x v="323"/>
      <x v="326"/>
      <x v="742"/>
      <x v="951"/>
      <x v="957"/>
    </i>
    <i>
      <x v="108"/>
      <x v="320"/>
      <x v="321"/>
      <x v="324"/>
      <x v="327"/>
      <x v="743"/>
      <x v="952"/>
      <x v="958"/>
    </i>
    <i>
      <x v="109"/>
      <x v="321"/>
      <x v="322"/>
      <x v="325"/>
      <x v="328"/>
      <x v="744"/>
      <x v="953"/>
      <x v="959"/>
    </i>
    <i>
      <x v="110"/>
      <x v="426"/>
      <x v="323"/>
      <x v="326"/>
      <x v="436"/>
      <x v="745"/>
      <x v="954"/>
      <x v="960"/>
    </i>
    <i>
      <x v="111"/>
      <x v="323"/>
      <x v="324"/>
      <x v="327"/>
      <x v="330"/>
      <x v="746"/>
      <x v="955"/>
      <x v="961"/>
    </i>
    <i>
      <x v="112"/>
      <x v="324"/>
      <x v="325"/>
      <x v="328"/>
      <x v="331"/>
      <x v="747"/>
      <x v="956"/>
      <x v="962"/>
    </i>
    <i>
      <x v="113"/>
      <x v="325"/>
      <x v="326"/>
      <x v="329"/>
      <x v="332"/>
      <x v="748"/>
      <x v="957"/>
      <x v="963"/>
    </i>
    <i>
      <x v="114"/>
      <x v="326"/>
      <x v="327"/>
      <x v="330"/>
      <x v="333"/>
      <x v="749"/>
      <x v="958"/>
      <x v="964"/>
    </i>
    <i>
      <x v="115"/>
      <x v="327"/>
      <x v="328"/>
      <x v="331"/>
      <x v="334"/>
      <x v="750"/>
      <x v="959"/>
      <x v="965"/>
    </i>
    <i>
      <x v="116"/>
      <x v="328"/>
      <x v="329"/>
      <x v="332"/>
      <x v="335"/>
      <x v="751"/>
      <x v="960"/>
      <x v="966"/>
    </i>
    <i>
      <x v="117"/>
      <x v="329"/>
      <x v="330"/>
      <x v="333"/>
      <x v="336"/>
      <x v="752"/>
      <x v="961"/>
      <x v="967"/>
    </i>
    <i>
      <x v="118"/>
      <x v="330"/>
      <x v="331"/>
      <x v="334"/>
      <x v="337"/>
      <x v="753"/>
      <x v="962"/>
      <x v="968"/>
    </i>
    <i>
      <x v="119"/>
      <x v="331"/>
      <x v="332"/>
      <x v="335"/>
      <x v="338"/>
      <x v="754"/>
      <x v="963"/>
      <x v="969"/>
    </i>
    <i>
      <x v="120"/>
      <x v="332"/>
      <x v="333"/>
      <x v="336"/>
      <x v="339"/>
      <x v="755"/>
      <x v="964"/>
      <x v="970"/>
    </i>
    <i>
      <x v="121"/>
      <x v="333"/>
      <x v="334"/>
      <x v="337"/>
      <x v="340"/>
      <x v="756"/>
      <x v="965"/>
      <x v="971"/>
    </i>
    <i>
      <x v="122"/>
      <x v="334"/>
      <x v="335"/>
      <x v="338"/>
      <x v="341"/>
      <x v="757"/>
      <x v="966"/>
      <x v="972"/>
    </i>
    <i>
      <x v="123"/>
      <x v="335"/>
      <x v="336"/>
      <x v="339"/>
      <x v="342"/>
      <x v="758"/>
      <x v="967"/>
      <x v="973"/>
    </i>
    <i>
      <x v="124"/>
      <x v="336"/>
      <x v="337"/>
      <x v="340"/>
      <x v="343"/>
      <x v="759"/>
      <x v="968"/>
      <x v="974"/>
    </i>
    <i>
      <x v="125"/>
      <x v="337"/>
      <x v="338"/>
      <x v="341"/>
      <x v="344"/>
      <x v="760"/>
      <x v="969"/>
      <x v="975"/>
    </i>
    <i>
      <x v="126"/>
      <x v="338"/>
      <x v="339"/>
      <x v="342"/>
      <x v="345"/>
      <x v="761"/>
      <x v="970"/>
      <x v="976"/>
    </i>
    <i>
      <x v="127"/>
      <x v="339"/>
      <x v="340"/>
      <x v="343"/>
      <x v="346"/>
      <x v="762"/>
      <x v="971"/>
      <x v="977"/>
    </i>
    <i>
      <x v="128"/>
      <x v="340"/>
      <x v="341"/>
      <x v="344"/>
      <x v="347"/>
      <x v="763"/>
      <x v="972"/>
      <x v="978"/>
    </i>
    <i>
      <x v="129"/>
      <x v="341"/>
      <x v="342"/>
      <x v="345"/>
      <x v="348"/>
      <x v="764"/>
      <x v="973"/>
      <x v="979"/>
    </i>
    <i>
      <x v="130"/>
      <x v="342"/>
      <x v="343"/>
      <x v="346"/>
      <x v="349"/>
      <x v="765"/>
      <x v="974"/>
      <x v="980"/>
    </i>
    <i>
      <x v="131"/>
      <x v="343"/>
      <x v="344"/>
      <x v="136"/>
      <x v="350"/>
      <x v="766"/>
      <x v="975"/>
      <x v="981"/>
    </i>
    <i>
      <x v="132"/>
      <x v="344"/>
      <x v="345"/>
      <x v="346"/>
      <x v="351"/>
      <x v="767"/>
      <x v="976"/>
      <x v="982"/>
    </i>
    <i>
      <x v="133"/>
      <x v="345"/>
      <x v="346"/>
      <x v="347"/>
      <x v="352"/>
      <x v="768"/>
      <x v="977"/>
      <x v="983"/>
    </i>
    <i>
      <x v="134"/>
      <x v="346"/>
      <x v="347"/>
      <x v="346"/>
      <x v="353"/>
      <x v="769"/>
      <x v="978"/>
      <x v="984"/>
    </i>
    <i>
      <x v="135"/>
      <x v="347"/>
      <x v="348"/>
      <x v="348"/>
      <x v="354"/>
      <x v="770"/>
      <x v="979"/>
      <x v="985"/>
    </i>
    <i>
      <x v="136"/>
      <x v="348"/>
      <x v="349"/>
      <x v="349"/>
      <x v="355"/>
      <x v="771"/>
      <x v="980"/>
      <x v="986"/>
    </i>
    <i>
      <x v="137"/>
      <x v="349"/>
      <x v="423"/>
      <x v="350"/>
      <x v="430"/>
      <x v="772"/>
      <x v="981"/>
      <x v="987"/>
    </i>
    <i>
      <x v="138"/>
      <x v="350"/>
      <x v="351"/>
      <x v="351"/>
      <x v="357"/>
      <x v="773"/>
      <x v="982"/>
      <x v="988"/>
    </i>
    <i>
      <x v="139"/>
      <x v="351"/>
      <x v="352"/>
      <x v="352"/>
      <x v="358"/>
      <x v="774"/>
      <x v="983"/>
      <x v="989"/>
    </i>
    <i>
      <x v="140"/>
      <x v="352"/>
      <x v="353"/>
      <x v="353"/>
      <x v="359"/>
      <x v="775"/>
      <x v="984"/>
      <x v="990"/>
    </i>
    <i>
      <x v="141"/>
      <x v="353"/>
      <x v="354"/>
      <x v="354"/>
      <x v="360"/>
      <x v="776"/>
      <x v="985"/>
      <x v="991"/>
    </i>
    <i>
      <x v="142"/>
      <x v="354"/>
      <x v="355"/>
      <x v="355"/>
      <x v="361"/>
      <x v="777"/>
      <x v="986"/>
      <x v="992"/>
    </i>
    <i>
      <x v="143"/>
      <x v="355"/>
      <x v="356"/>
      <x v="356"/>
      <x v="362"/>
      <x v="778"/>
      <x v="987"/>
      <x v="993"/>
    </i>
    <i>
      <x v="144"/>
      <x v="356"/>
      <x v="357"/>
      <x v="357"/>
      <x v="363"/>
      <x v="779"/>
      <x v="988"/>
      <x v="994"/>
    </i>
    <i>
      <x v="145"/>
      <x v="357"/>
      <x v="358"/>
      <x v="358"/>
      <x v="364"/>
      <x v="780"/>
      <x v="989"/>
      <x v="995"/>
    </i>
    <i>
      <x v="146"/>
      <x v="358"/>
      <x v="359"/>
      <x v="359"/>
      <x v="365"/>
      <x v="781"/>
      <x v="990"/>
      <x v="996"/>
    </i>
    <i>
      <x v="147"/>
      <x v="427"/>
      <x v="360"/>
      <x v="360"/>
      <x v="437"/>
      <x v="782"/>
      <x v="991"/>
      <x v="997"/>
    </i>
    <i>
      <x v="148"/>
      <x v="360"/>
      <x v="361"/>
      <x v="361"/>
      <x v="367"/>
      <x v="783"/>
      <x v="992"/>
      <x v="998"/>
    </i>
    <i>
      <x v="149"/>
      <x v="361"/>
      <x v="362"/>
      <x v="362"/>
      <x v="368"/>
      <x v="784"/>
      <x v="993"/>
      <x v="999"/>
    </i>
    <i>
      <x v="150"/>
      <x v="362"/>
      <x v="363"/>
      <x v="363"/>
      <x v="369"/>
      <x v="785"/>
      <x v="994"/>
      <x v="1000"/>
    </i>
    <i>
      <x v="151"/>
      <x v="363"/>
      <x v="364"/>
      <x v="364"/>
      <x v="370"/>
      <x v="786"/>
      <x v="995"/>
      <x v="1001"/>
    </i>
    <i>
      <x v="152"/>
      <x v="364"/>
      <x v="365"/>
      <x v="365"/>
      <x v="371"/>
      <x v="787"/>
      <x v="996"/>
      <x v="1002"/>
    </i>
    <i>
      <x v="153"/>
      <x v="365"/>
      <x v="366"/>
      <x v="366"/>
      <x v="372"/>
      <x v="788"/>
      <x v="997"/>
      <x v="1003"/>
    </i>
    <i>
      <x v="154"/>
      <x v="366"/>
      <x v="367"/>
      <x v="367"/>
      <x v="373"/>
      <x v="789"/>
      <x v="998"/>
      <x v="1004"/>
    </i>
    <i>
      <x v="155"/>
      <x v="367"/>
      <x v="368"/>
      <x v="368"/>
      <x v="374"/>
      <x v="790"/>
      <x v="999"/>
      <x v="1005"/>
    </i>
    <i>
      <x v="156"/>
      <x v="368"/>
      <x v="424"/>
      <x v="369"/>
      <x v="431"/>
      <x v="791"/>
      <x v="1000"/>
      <x v="1006"/>
    </i>
    <i>
      <x v="157"/>
      <x v="369"/>
      <x v="370"/>
      <x v="370"/>
      <x v="376"/>
      <x v="792"/>
      <x v="1001"/>
      <x v="1007"/>
    </i>
    <i>
      <x v="158"/>
      <x v="370"/>
      <x v="371"/>
      <x v="371"/>
      <x v="377"/>
      <x v="793"/>
      <x v="1002"/>
      <x v="1008"/>
    </i>
    <i>
      <x v="159"/>
      <x v="371"/>
      <x v="372"/>
      <x v="372"/>
      <x v="378"/>
      <x v="794"/>
      <x v="1003"/>
      <x v="1009"/>
    </i>
    <i>
      <x v="160"/>
      <x v="372"/>
      <x v="373"/>
      <x v="373"/>
      <x v="379"/>
      <x v="795"/>
      <x v="1004"/>
      <x v="1010"/>
    </i>
    <i>
      <x v="161"/>
      <x v="373"/>
      <x v="374"/>
      <x v="374"/>
      <x v="380"/>
      <x v="796"/>
      <x v="1005"/>
      <x v="1011"/>
    </i>
    <i>
      <x v="162"/>
      <x v="374"/>
      <x v="375"/>
      <x v="376"/>
      <x v="382"/>
      <x v="797"/>
      <x v="1006"/>
      <x v="1012"/>
    </i>
    <i>
      <x v="163"/>
      <x v="375"/>
      <x v="376"/>
      <x v="377"/>
      <x v="383"/>
      <x v="798"/>
      <x v="1007"/>
      <x v="1013"/>
    </i>
    <i>
      <x v="164"/>
      <x v="376"/>
      <x v="377"/>
      <x v="378"/>
      <x v="384"/>
      <x v="799"/>
      <x v="1008"/>
      <x v="1014"/>
    </i>
    <i>
      <x v="165"/>
      <x v="377"/>
      <x v="378"/>
      <x v="379"/>
      <x v="385"/>
      <x v="800"/>
      <x v="1009"/>
      <x v="1015"/>
    </i>
    <i>
      <x v="166"/>
      <x v="378"/>
      <x v="379"/>
      <x v="380"/>
      <x v="386"/>
      <x v="801"/>
      <x v="1010"/>
      <x v="1016"/>
    </i>
    <i>
      <x v="167"/>
      <x v="379"/>
      <x v="380"/>
      <x v="381"/>
      <x v="387"/>
      <x v="802"/>
      <x v="1011"/>
      <x v="1017"/>
    </i>
    <i>
      <x v="168"/>
      <x v="380"/>
      <x v="381"/>
      <x v="382"/>
      <x v="388"/>
      <x v="803"/>
      <x v="1012"/>
      <x v="1018"/>
    </i>
    <i>
      <x v="169"/>
      <x v="381"/>
      <x v="382"/>
      <x v="383"/>
      <x v="389"/>
      <x v="804"/>
      <x v="1013"/>
      <x v="1019"/>
    </i>
    <i>
      <x v="170"/>
      <x v="382"/>
      <x v="383"/>
      <x v="384"/>
      <x v="390"/>
      <x v="805"/>
      <x v="1014"/>
      <x v="1020"/>
    </i>
    <i>
      <x v="171"/>
      <x v="383"/>
      <x v="384"/>
      <x v="385"/>
      <x v="391"/>
      <x v="806"/>
      <x v="1015"/>
      <x v="1021"/>
    </i>
    <i>
      <x v="172"/>
      <x v="384"/>
      <x v="385"/>
      <x v="386"/>
      <x v="392"/>
      <x v="807"/>
      <x v="1016"/>
      <x v="1022"/>
    </i>
    <i>
      <x v="173"/>
      <x v="385"/>
      <x v="386"/>
      <x v="387"/>
      <x v="393"/>
      <x v="808"/>
      <x v="1017"/>
      <x v="1023"/>
    </i>
    <i>
      <x v="174"/>
      <x v="386"/>
      <x v="387"/>
      <x v="388"/>
      <x v="394"/>
      <x v="809"/>
      <x v="1018"/>
      <x v="1024"/>
    </i>
    <i>
      <x v="175"/>
      <x v="387"/>
      <x v="388"/>
      <x v="389"/>
      <x v="395"/>
      <x v="810"/>
      <x v="1019"/>
      <x v="1025"/>
    </i>
    <i>
      <x v="176"/>
      <x v="388"/>
      <x v="389"/>
      <x v="390"/>
      <x v="396"/>
      <x v="811"/>
      <x v="1020"/>
      <x v="1026"/>
    </i>
    <i>
      <x v="177"/>
      <x v="389"/>
      <x v="390"/>
      <x v="391"/>
      <x v="397"/>
      <x v="812"/>
      <x v="1021"/>
      <x v="1027"/>
    </i>
    <i>
      <x v="178"/>
      <x v="390"/>
      <x v="391"/>
      <x v="392"/>
      <x v="398"/>
      <x v="813"/>
      <x v="1022"/>
      <x v="1028"/>
    </i>
    <i>
      <x v="179"/>
      <x v="391"/>
      <x v="392"/>
      <x v="393"/>
      <x v="399"/>
      <x v="814"/>
      <x v="1023"/>
      <x v="1029"/>
    </i>
    <i>
      <x v="180"/>
      <x v="392"/>
      <x v="393"/>
      <x v="394"/>
      <x v="400"/>
      <x v="815"/>
      <x v="1024"/>
      <x v="1030"/>
    </i>
    <i>
      <x v="181"/>
      <x v="393"/>
      <x v="394"/>
      <x v="395"/>
      <x v="401"/>
      <x v="816"/>
      <x v="1025"/>
      <x v="1031"/>
    </i>
    <i>
      <x v="182"/>
      <x v="394"/>
      <x v="395"/>
      <x v="396"/>
      <x v="402"/>
      <x v="817"/>
      <x v="1026"/>
      <x v="1032"/>
    </i>
    <i>
      <x v="183"/>
      <x v="395"/>
      <x v="396"/>
      <x v="397"/>
      <x v="403"/>
      <x v="818"/>
      <x v="1027"/>
      <x v="1033"/>
    </i>
    <i>
      <x v="184"/>
      <x v="396"/>
      <x v="397"/>
      <x v="398"/>
      <x v="404"/>
      <x v="819"/>
      <x v="1028"/>
      <x v="1034"/>
    </i>
    <i>
      <x v="185"/>
      <x v="397"/>
      <x v="398"/>
      <x v="399"/>
      <x v="405"/>
      <x v="820"/>
      <x v="1029"/>
      <x v="1035"/>
    </i>
    <i>
      <x v="186"/>
      <x v="398"/>
      <x v="399"/>
      <x v="400"/>
      <x v="406"/>
      <x v="821"/>
      <x v="1030"/>
      <x v="1036"/>
    </i>
    <i>
      <x v="187"/>
      <x v="399"/>
      <x v="400"/>
      <x v="401"/>
      <x v="407"/>
      <x v="822"/>
      <x v="1031"/>
      <x v="1037"/>
    </i>
    <i>
      <x v="188"/>
      <x v="400"/>
      <x v="401"/>
      <x v="402"/>
      <x v="408"/>
      <x v="823"/>
      <x v="1032"/>
      <x v="1038"/>
    </i>
    <i>
      <x v="189"/>
      <x v="401"/>
      <x v="402"/>
      <x v="403"/>
      <x v="409"/>
      <x v="824"/>
      <x v="1033"/>
      <x v="1039"/>
    </i>
    <i>
      <x v="190"/>
      <x v="402"/>
      <x v="403"/>
      <x v="404"/>
      <x v="410"/>
      <x v="825"/>
      <x v="1034"/>
      <x v="1040"/>
    </i>
    <i>
      <x v="191"/>
      <x v="403"/>
      <x v="404"/>
      <x v="405"/>
      <x v="411"/>
      <x v="826"/>
      <x v="1035"/>
      <x v="1041"/>
    </i>
    <i>
      <x v="192"/>
      <x v="404"/>
      <x v="405"/>
      <x v="406"/>
      <x v="412"/>
      <x v="827"/>
      <x v="1036"/>
      <x v="1042"/>
    </i>
    <i>
      <x v="193"/>
      <x v="406"/>
      <x v="407"/>
      <x v="408"/>
      <x v="414"/>
      <x v="829"/>
      <x v="1038"/>
      <x v="1044"/>
    </i>
    <i>
      <x v="194"/>
      <x v="407"/>
      <x v="408"/>
      <x v="409"/>
      <x v="415"/>
      <x v="830"/>
      <x v="1039"/>
      <x v="1045"/>
    </i>
    <i>
      <x v="195"/>
      <x v="408"/>
      <x v="409"/>
      <x v="410"/>
      <x v="416"/>
      <x v="831"/>
      <x v="1040"/>
      <x v="1046"/>
    </i>
    <i>
      <x v="196"/>
      <x v="409"/>
      <x v="410"/>
      <x v="411"/>
      <x v="417"/>
      <x v="832"/>
      <x v="1041"/>
      <x v="1047"/>
    </i>
    <i>
      <x v="197"/>
      <x v="410"/>
      <x v="411"/>
      <x v="412"/>
      <x v="418"/>
      <x v="833"/>
      <x v="1042"/>
      <x v="1048"/>
    </i>
    <i>
      <x v="198"/>
      <x v="411"/>
      <x v="412"/>
      <x v="413"/>
      <x v="419"/>
      <x v="834"/>
      <x v="1043"/>
      <x v="1049"/>
    </i>
    <i>
      <x v="199"/>
      <x v="412"/>
      <x v="413"/>
      <x v="414"/>
      <x v="420"/>
      <x v="835"/>
      <x v="1044"/>
      <x v="1050"/>
    </i>
    <i>
      <x v="200"/>
      <x v="413"/>
      <x v="414"/>
      <x v="415"/>
      <x v="421"/>
      <x v="836"/>
      <x v="1045"/>
      <x v="1051"/>
    </i>
    <i>
      <x v="201"/>
      <x v="414"/>
      <x v="415"/>
      <x v="416"/>
      <x v="422"/>
      <x v="837"/>
      <x v="1046"/>
      <x v="1052"/>
    </i>
    <i>
      <x v="202"/>
      <x v="415"/>
      <x v="416"/>
      <x v="417"/>
      <x v="423"/>
      <x v="838"/>
      <x v="1047"/>
      <x v="1053"/>
    </i>
    <i>
      <x v="203"/>
      <x v="416"/>
      <x v="417"/>
      <x v="418"/>
      <x v="424"/>
      <x v="839"/>
      <x v="1048"/>
      <x v="1054"/>
    </i>
    <i>
      <x v="204"/>
      <x v="417"/>
      <x v="418"/>
      <x v="419"/>
      <x v="425"/>
      <x v="840"/>
      <x v="1049"/>
      <x v="1055"/>
    </i>
    <i>
      <x v="205"/>
      <x v="418"/>
      <x v="419"/>
      <x v="420"/>
      <x v="426"/>
      <x v="841"/>
      <x v="1050"/>
      <x v="1056"/>
    </i>
    <i>
      <x v="206"/>
      <x v="419"/>
      <x v="420"/>
      <x v="421"/>
      <x v="427"/>
      <x v="842"/>
      <x v="1051"/>
      <x v="1057"/>
    </i>
    <i>
      <x v="207"/>
      <x v="420"/>
      <x v="421"/>
      <x v="422"/>
      <x v="428"/>
      <x v="843"/>
      <x v="1052"/>
      <x v="1058"/>
    </i>
    <i>
      <x v="208"/>
      <x v="421"/>
      <x v="422"/>
      <x v="423"/>
      <x v="429"/>
      <x v="844"/>
      <x v="1053"/>
      <x v="1059"/>
    </i>
    <i>
      <x v="209"/>
      <x/>
      <x v="5"/>
      <x v="217"/>
      <x v="220"/>
      <x v="638"/>
      <x v="847"/>
      <x v="853"/>
    </i>
    <i>
      <x v="210"/>
      <x v="243"/>
      <x v="244"/>
      <x v="245"/>
      <x v="248"/>
      <x v="666"/>
      <x v="875"/>
      <x v="881"/>
    </i>
    <i>
      <x v="211"/>
      <x v="282"/>
      <x v="283"/>
      <x v="285"/>
      <x v="288"/>
      <x v="705"/>
      <x v="914"/>
      <x v="920"/>
    </i>
    <i>
      <x v="212"/>
      <x v="428"/>
      <x v="406"/>
      <x v="407"/>
      <x v="438"/>
      <x v="828"/>
      <x v="1037"/>
      <x v="1043"/>
    </i>
    <i>
      <x v="213"/>
      <x/>
      <x v="58"/>
      <x v="294"/>
      <x v="297"/>
      <x/>
      <x/>
      <x v="296"/>
    </i>
    <i>
      <x v="214"/>
      <x/>
      <x/>
      <x v="93"/>
      <x/>
      <x/>
      <x/>
      <x/>
    </i>
    <i>
      <x v="217"/>
      <x/>
      <x/>
      <x v="265"/>
      <x v="268"/>
      <x/>
      <x/>
      <x v="267"/>
    </i>
    <i>
      <x v="218"/>
      <x/>
      <x v="58"/>
      <x v="375"/>
      <x v="381"/>
      <x/>
      <x/>
      <x v="380"/>
    </i>
    <i t="grand">
      <x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94835-330C-423E-94BF-3F3BE7E1DB24}" name="TablaDinámica19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olHeaderCaption="">
  <location ref="C3:HH11" firstHeaderRow="1" firstDataRow="9" firstDataCol="0"/>
  <pivotFields count="11">
    <pivotField axis="axisCol" showAll="0" defaultSubtotal="0">
      <items count="426"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m="1" x="214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x="169"/>
        <item m="1" x="424"/>
        <item x="170"/>
        <item x="171"/>
        <item x="172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3"/>
        <item m="1" x="215"/>
        <item m="1" x="216"/>
        <item m="1" x="217"/>
        <item m="1" x="218"/>
        <item m="1" x="219"/>
        <item m="1" x="220"/>
        <item m="1" x="221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5"/>
        <item m="1" x="276"/>
        <item m="1" x="277"/>
        <item m="1" x="278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425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x="61"/>
        <item m="1" x="423"/>
        <item x="120"/>
        <item x="163"/>
        <item m="1" x="222"/>
        <item m="1" x="274"/>
        <item m="1" x="279"/>
        <item m="1" x="332"/>
        <item m="1" x="374"/>
        <item x="212"/>
        <item x="30"/>
        <item x="133"/>
        <item x="0"/>
        <item x="6"/>
        <item x="67"/>
        <item x="105"/>
        <item x="174"/>
        <item x="197"/>
      </items>
    </pivotField>
    <pivotField axis="axisCol" numFmtId="164" showAll="0" defaultSubtotal="0">
      <items count="1061">
        <item x="0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538"/>
        <item m="1" x="741"/>
        <item m="1" x="742"/>
        <item m="1" x="541"/>
        <item m="1" x="743"/>
        <item m="1" x="744"/>
        <item m="1" x="745"/>
        <item m="1" x="545"/>
        <item m="1" x="546"/>
        <item m="1" x="746"/>
        <item m="1" x="747"/>
        <item m="1" x="748"/>
        <item m="1" x="749"/>
        <item m="1" x="750"/>
        <item m="1" x="751"/>
        <item m="1" x="752"/>
        <item m="1" x="554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565"/>
        <item m="1" x="763"/>
        <item m="1" x="764"/>
        <item m="1" x="765"/>
        <item m="1" x="766"/>
        <item m="1" x="570"/>
        <item m="1" x="767"/>
        <item m="1" x="768"/>
        <item m="1" x="573"/>
        <item m="1" x="769"/>
        <item m="1" x="575"/>
        <item m="1" x="770"/>
        <item m="1" x="771"/>
        <item m="1" x="772"/>
        <item m="1" x="773"/>
        <item m="1" x="774"/>
        <item m="1" x="581"/>
        <item m="1" x="582"/>
        <item m="1" x="583"/>
        <item m="1" x="775"/>
        <item m="1" x="776"/>
        <item m="1" x="777"/>
        <item m="1" x="587"/>
        <item m="1" x="588"/>
        <item m="1" x="778"/>
        <item m="1" x="590"/>
        <item m="1" x="779"/>
        <item m="1" x="592"/>
        <item m="1" x="780"/>
        <item m="1" x="594"/>
        <item m="1" x="781"/>
        <item m="1" x="596"/>
        <item m="1" x="597"/>
        <item m="1" x="782"/>
        <item m="1" x="783"/>
        <item m="1" x="784"/>
        <item m="1" x="785"/>
        <item m="1" x="602"/>
        <item m="1" x="603"/>
        <item m="1" x="786"/>
        <item m="1" x="605"/>
        <item m="1" x="787"/>
        <item m="1" x="607"/>
        <item m="1" x="608"/>
        <item m="1" x="609"/>
        <item m="1" x="610"/>
        <item m="1" x="788"/>
        <item m="1" x="789"/>
        <item m="1" x="790"/>
        <item m="1" x="791"/>
        <item m="1" x="792"/>
        <item m="1" x="793"/>
        <item m="1" x="794"/>
        <item m="1" x="618"/>
        <item m="1" x="795"/>
        <item m="1" x="620"/>
        <item m="1" x="621"/>
        <item m="1" x="796"/>
        <item m="1" x="623"/>
        <item m="1" x="797"/>
        <item m="1" x="625"/>
        <item m="1" x="626"/>
        <item m="1" x="798"/>
        <item m="1" x="799"/>
        <item m="1" x="629"/>
        <item m="1" x="800"/>
        <item m="1" x="631"/>
        <item m="1" x="632"/>
        <item m="1" x="801"/>
        <item m="1" x="802"/>
        <item m="1" x="635"/>
        <item m="1" x="803"/>
        <item m="1" x="804"/>
        <item m="1" x="805"/>
        <item m="1" x="806"/>
        <item m="1" x="640"/>
        <item m="1" x="807"/>
        <item m="1" x="808"/>
        <item m="1" x="643"/>
        <item m="1" x="809"/>
        <item m="1" x="645"/>
        <item m="1" x="810"/>
        <item m="1" x="647"/>
        <item m="1" x="811"/>
        <item m="1" x="812"/>
        <item m="1" x="650"/>
        <item m="1" x="651"/>
        <item m="1" x="652"/>
        <item m="1" x="813"/>
        <item m="1" x="654"/>
        <item m="1" x="655"/>
        <item m="1" x="814"/>
        <item m="1" x="815"/>
        <item m="1" x="816"/>
        <item m="1" x="817"/>
        <item m="1" x="660"/>
        <item m="1" x="661"/>
        <item m="1" x="662"/>
        <item m="1" x="663"/>
        <item m="1" x="664"/>
        <item m="1" x="665"/>
        <item m="1" x="818"/>
        <item m="1" x="667"/>
        <item m="1" x="668"/>
        <item m="1" x="819"/>
        <item m="1" x="820"/>
        <item m="1" x="671"/>
        <item m="1" x="821"/>
        <item m="1" x="822"/>
        <item m="1" x="674"/>
        <item m="1" x="823"/>
        <item m="1" x="676"/>
        <item m="1" x="824"/>
        <item m="1" x="825"/>
        <item m="1" x="679"/>
        <item m="1" x="826"/>
        <item m="1" x="827"/>
        <item m="1" x="828"/>
        <item m="1" x="829"/>
        <item m="1" x="830"/>
        <item m="1" x="831"/>
        <item m="1" x="832"/>
        <item m="1" x="833"/>
        <item m="1" x="688"/>
        <item m="1" x="689"/>
        <item m="1" x="834"/>
        <item m="1" x="835"/>
        <item m="1" x="692"/>
        <item m="1" x="693"/>
        <item m="1" x="836"/>
        <item m="1" x="837"/>
        <item m="1" x="696"/>
        <item m="1" x="838"/>
        <item m="1" x="698"/>
        <item m="1" x="699"/>
        <item m="1" x="839"/>
        <item m="1" x="701"/>
        <item m="1" x="840"/>
        <item m="1" x="841"/>
        <item m="1" x="842"/>
        <item m="1" x="705"/>
        <item m="1" x="843"/>
        <item m="1" x="707"/>
        <item m="1" x="844"/>
        <item m="1" x="845"/>
        <item m="1" x="846"/>
        <item m="1" x="711"/>
        <item m="1" x="712"/>
        <item m="1" x="713"/>
        <item m="1" x="714"/>
        <item m="1" x="847"/>
        <item m="1" x="848"/>
        <item m="1" x="849"/>
        <item m="1" x="718"/>
        <item m="1" x="719"/>
        <item m="1" x="720"/>
        <item m="1" x="850"/>
        <item m="1" x="722"/>
        <item m="1" x="851"/>
        <item m="1" x="852"/>
        <item m="1" x="725"/>
        <item m="1" x="853"/>
        <item m="1" x="727"/>
        <item m="1" x="854"/>
        <item m="1" x="855"/>
        <item m="1" x="856"/>
        <item m="1" x="731"/>
        <item m="1" x="732"/>
        <item m="1" x="857"/>
        <item m="1" x="858"/>
        <item m="1" x="735"/>
        <item m="1" x="736"/>
        <item m="1" x="859"/>
        <item m="1" x="738"/>
        <item m="1" x="860"/>
        <item m="1" x="861"/>
        <item m="1" x="539"/>
        <item m="1" x="540"/>
        <item m="1" x="542"/>
        <item m="1" x="543"/>
        <item m="1" x="544"/>
        <item m="1" x="547"/>
        <item m="1" x="548"/>
        <item m="1" x="549"/>
        <item m="1" x="550"/>
        <item m="1" x="551"/>
        <item m="1" x="552"/>
        <item m="1" x="553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6"/>
        <item m="1" x="567"/>
        <item m="1" x="568"/>
        <item m="1" x="569"/>
        <item m="1" x="571"/>
        <item m="1" x="572"/>
        <item m="1" x="574"/>
        <item m="1" x="576"/>
        <item m="1" x="577"/>
        <item m="1" x="578"/>
        <item m="1" x="579"/>
        <item m="1" x="580"/>
        <item m="1" x="584"/>
        <item m="1" x="585"/>
        <item m="1" x="586"/>
        <item m="1" x="589"/>
        <item m="1" x="591"/>
        <item m="1" x="593"/>
        <item m="1" x="595"/>
        <item m="1" x="598"/>
        <item m="1" x="599"/>
        <item m="1" x="600"/>
        <item m="1" x="601"/>
        <item m="1" x="604"/>
        <item m="1" x="606"/>
        <item m="1" x="611"/>
        <item m="1" x="612"/>
        <item m="1" x="613"/>
        <item m="1" x="614"/>
        <item m="1" x="615"/>
        <item m="1" x="616"/>
        <item m="1" x="617"/>
        <item m="1" x="619"/>
        <item m="1" x="622"/>
        <item m="1" x="624"/>
        <item m="1" x="627"/>
        <item m="1" x="628"/>
        <item m="1" x="630"/>
        <item m="1" x="633"/>
        <item m="1" x="634"/>
        <item m="1" x="636"/>
        <item m="1" x="637"/>
        <item m="1" x="638"/>
        <item m="1" x="639"/>
        <item m="1" x="641"/>
        <item m="1" x="642"/>
        <item m="1" x="644"/>
        <item m="1" x="646"/>
        <item m="1" x="648"/>
        <item m="1" x="649"/>
        <item m="1" x="653"/>
        <item m="1" x="656"/>
        <item m="1" x="657"/>
        <item m="1" x="658"/>
        <item m="1" x="659"/>
        <item x="206"/>
        <item m="1" x="666"/>
        <item m="1" x="669"/>
        <item m="1" x="670"/>
        <item m="1" x="672"/>
        <item m="1" x="673"/>
        <item m="1" x="675"/>
        <item m="1" x="677"/>
        <item m="1" x="678"/>
        <item m="1" x="680"/>
        <item m="1" x="681"/>
        <item m="1" x="682"/>
        <item m="1" x="683"/>
        <item m="1" x="684"/>
        <item m="1" x="685"/>
        <item m="1" x="686"/>
        <item m="1" x="687"/>
        <item m="1" x="690"/>
        <item m="1" x="691"/>
        <item m="1" x="694"/>
        <item m="1" x="695"/>
        <item m="1" x="697"/>
        <item m="1" x="700"/>
        <item m="1" x="702"/>
        <item m="1" x="703"/>
        <item m="1" x="704"/>
        <item m="1" x="706"/>
        <item m="1" x="708"/>
        <item m="1" x="709"/>
        <item m="1" x="710"/>
        <item m="1" x="715"/>
        <item m="1" x="716"/>
        <item m="1" x="717"/>
        <item m="1" x="721"/>
        <item m="1" x="723"/>
        <item m="1" x="724"/>
        <item m="1" x="726"/>
        <item m="1" x="728"/>
        <item m="1" x="729"/>
        <item m="1" x="730"/>
        <item m="1" x="733"/>
        <item m="1" x="734"/>
        <item m="1" x="737"/>
        <item m="1" x="739"/>
        <item m="1" x="740"/>
        <item m="1" x="208"/>
        <item m="1" x="413"/>
        <item m="1" x="210"/>
        <item m="1" x="414"/>
        <item m="1" x="415"/>
        <item m="1" x="213"/>
        <item m="1" x="416"/>
        <item m="1" x="215"/>
        <item m="1" x="417"/>
        <item m="1" x="418"/>
        <item m="1" x="419"/>
        <item m="1" x="219"/>
        <item m="1" x="420"/>
        <item m="1" x="421"/>
        <item m="1" x="222"/>
        <item m="1" x="223"/>
        <item m="1" x="422"/>
        <item m="1" x="423"/>
        <item m="1" x="424"/>
        <item m="1" x="425"/>
        <item m="1" x="426"/>
        <item m="1" x="427"/>
        <item m="1" x="428"/>
        <item m="1" x="429"/>
        <item m="1" x="232"/>
        <item m="1" x="430"/>
        <item m="1" x="431"/>
        <item m="1" x="432"/>
        <item m="1" x="236"/>
        <item m="1" x="433"/>
        <item m="1" x="434"/>
        <item m="1" x="435"/>
        <item m="1" x="436"/>
        <item m="1" x="437"/>
        <item m="1" x="438"/>
        <item m="1" x="243"/>
        <item m="1" x="244"/>
        <item m="1" x="439"/>
        <item m="1" x="440"/>
        <item m="1" x="441"/>
        <item m="1" x="442"/>
        <item m="1" x="249"/>
        <item m="1" x="443"/>
        <item m="1" x="444"/>
        <item m="1" x="445"/>
        <item m="1" x="253"/>
        <item m="1" x="446"/>
        <item m="1" x="447"/>
        <item m="1" x="448"/>
        <item m="1" x="257"/>
        <item m="1" x="449"/>
        <item m="1" x="450"/>
        <item m="1" x="260"/>
        <item m="1" x="451"/>
        <item m="1" x="262"/>
        <item m="1" x="263"/>
        <item m="1" x="452"/>
        <item m="1" x="265"/>
        <item m="1" x="453"/>
        <item m="1" x="267"/>
        <item m="1" x="268"/>
        <item m="1" x="454"/>
        <item m="1" x="455"/>
        <item m="1" x="456"/>
        <item m="1" x="457"/>
        <item m="1" x="273"/>
        <item m="1" x="458"/>
        <item m="1" x="459"/>
        <item m="1" x="460"/>
        <item m="1" x="461"/>
        <item m="1" x="462"/>
        <item m="1" x="463"/>
        <item m="1" x="280"/>
        <item m="1" x="281"/>
        <item m="1" x="282"/>
        <item m="1" x="464"/>
        <item m="1" x="284"/>
        <item m="1" x="465"/>
        <item m="1" x="466"/>
        <item m="1" x="287"/>
        <item m="1" x="288"/>
        <item m="1" x="289"/>
        <item m="1" x="290"/>
        <item m="1" x="467"/>
        <item m="1" x="468"/>
        <item m="1" x="469"/>
        <item m="1" x="470"/>
        <item m="1" x="471"/>
        <item m="1" x="472"/>
        <item m="1" x="473"/>
        <item m="1" x="298"/>
        <item m="1" x="299"/>
        <item m="1" x="300"/>
        <item m="1" x="301"/>
        <item m="1" x="474"/>
        <item m="1" x="303"/>
        <item m="1" x="304"/>
        <item m="1" x="305"/>
        <item m="1" x="475"/>
        <item m="1" x="307"/>
        <item m="1" x="308"/>
        <item m="1" x="476"/>
        <item m="1" x="477"/>
        <item m="1" x="478"/>
        <item m="1" x="479"/>
        <item m="1" x="480"/>
        <item m="1" x="314"/>
        <item m="1" x="481"/>
        <item m="1" x="316"/>
        <item m="1" x="317"/>
        <item m="1" x="318"/>
        <item m="1" x="319"/>
        <item m="1" x="320"/>
        <item m="1" x="321"/>
        <item m="1" x="482"/>
        <item m="1" x="323"/>
        <item m="1" x="324"/>
        <item m="1" x="325"/>
        <item m="1" x="483"/>
        <item m="1" x="327"/>
        <item m="1" x="484"/>
        <item m="1" x="329"/>
        <item m="1" x="485"/>
        <item m="1" x="486"/>
        <item m="1" x="332"/>
        <item m="1" x="333"/>
        <item m="1" x="334"/>
        <item m="1" x="487"/>
        <item m="1" x="488"/>
        <item m="1" x="337"/>
        <item m="1" x="338"/>
        <item m="1" x="339"/>
        <item m="1" x="489"/>
        <item m="1" x="341"/>
        <item m="1" x="490"/>
        <item m="1" x="491"/>
        <item m="1" x="344"/>
        <item m="1" x="492"/>
        <item m="1" x="493"/>
        <item m="1" x="494"/>
        <item m="1" x="495"/>
        <item m="1" x="496"/>
        <item m="1" x="497"/>
        <item m="1" x="351"/>
        <item m="1" x="498"/>
        <item m="1" x="499"/>
        <item m="1" x="354"/>
        <item m="1" x="355"/>
        <item m="1" x="356"/>
        <item m="1" x="357"/>
        <item m="1" x="500"/>
        <item m="1" x="501"/>
        <item m="1" x="502"/>
        <item m="1" x="361"/>
        <item m="1" x="503"/>
        <item m="1" x="504"/>
        <item m="1" x="505"/>
        <item m="1" x="506"/>
        <item m="1" x="507"/>
        <item m="1" x="508"/>
        <item m="1" x="368"/>
        <item m="1" x="509"/>
        <item m="1" x="370"/>
        <item m="1" x="371"/>
        <item m="1" x="510"/>
        <item m="1" x="511"/>
        <item m="1" x="512"/>
        <item m="1" x="375"/>
        <item m="1" x="513"/>
        <item m="1" x="514"/>
        <item m="1" x="515"/>
        <item m="1" x="379"/>
        <item m="1" x="516"/>
        <item m="1" x="517"/>
        <item m="1" x="518"/>
        <item m="1" x="519"/>
        <item m="1" x="520"/>
        <item m="1" x="521"/>
        <item m="1" x="386"/>
        <item m="1" x="522"/>
        <item m="1" x="523"/>
        <item m="1" x="524"/>
        <item m="1" x="525"/>
        <item m="1" x="391"/>
        <item m="1" x="526"/>
        <item m="1" x="527"/>
        <item m="1" x="394"/>
        <item m="1" x="395"/>
        <item m="1" x="396"/>
        <item m="1" x="528"/>
        <item m="1" x="529"/>
        <item m="1" x="399"/>
        <item m="1" x="400"/>
        <item m="1" x="530"/>
        <item m="1" x="531"/>
        <item m="1" x="403"/>
        <item m="1" x="532"/>
        <item m="1" x="533"/>
        <item m="1" x="534"/>
        <item m="1" x="535"/>
        <item m="1" x="536"/>
        <item m="1" x="409"/>
        <item m="1" x="410"/>
        <item m="1" x="411"/>
        <item m="1" x="537"/>
        <item m="1" x="209"/>
        <item m="1" x="211"/>
        <item m="1" x="212"/>
        <item m="1" x="214"/>
        <item m="1" x="216"/>
        <item m="1" x="217"/>
        <item m="1" x="218"/>
        <item m="1" x="220"/>
        <item m="1" x="221"/>
        <item m="1" x="224"/>
        <item m="1" x="225"/>
        <item m="1" x="226"/>
        <item m="1" x="227"/>
        <item m="1" x="228"/>
        <item m="1" x="229"/>
        <item m="1" x="230"/>
        <item m="1" x="231"/>
        <item m="1" x="233"/>
        <item m="1" x="234"/>
        <item m="1" x="235"/>
        <item m="1" x="237"/>
        <item m="1" x="238"/>
        <item m="1" x="239"/>
        <item m="1" x="240"/>
        <item m="1" x="241"/>
        <item m="1" x="242"/>
        <item m="1" x="245"/>
        <item m="1" x="246"/>
        <item m="1" x="247"/>
        <item m="1" x="248"/>
        <item m="1" x="250"/>
        <item m="1" x="251"/>
        <item m="1" x="252"/>
        <item m="1" x="254"/>
        <item m="1" x="255"/>
        <item m="1" x="256"/>
        <item m="1" x="258"/>
        <item m="1" x="259"/>
        <item m="1" x="261"/>
        <item m="1" x="264"/>
        <item m="1" x="266"/>
        <item m="1" x="269"/>
        <item m="1" x="270"/>
        <item m="1" x="271"/>
        <item m="1" x="272"/>
        <item m="1" x="274"/>
        <item m="1" x="275"/>
        <item m="1" x="276"/>
        <item m="1" x="277"/>
        <item m="1" x="278"/>
        <item m="1" x="279"/>
        <item m="1" x="283"/>
        <item m="1" x="285"/>
        <item m="1" x="286"/>
        <item m="1" x="291"/>
        <item m="1" x="292"/>
        <item m="1" x="293"/>
        <item m="1" x="294"/>
        <item m="1" x="295"/>
        <item m="1" x="296"/>
        <item m="1" x="297"/>
        <item m="1" x="302"/>
        <item m="1" x="306"/>
        <item m="1" x="309"/>
        <item m="1" x="310"/>
        <item m="1" x="311"/>
        <item m="1" x="312"/>
        <item m="1" x="313"/>
        <item m="1" x="315"/>
        <item m="1" x="322"/>
        <item m="1" x="326"/>
        <item m="1" x="328"/>
        <item m="1" x="330"/>
        <item m="1" x="331"/>
        <item m="1" x="335"/>
        <item m="1" x="336"/>
        <item m="1" x="340"/>
        <item m="1" x="342"/>
        <item m="1" x="343"/>
        <item m="1" x="345"/>
        <item m="1" x="346"/>
        <item m="1" x="347"/>
        <item m="1" x="348"/>
        <item m="1" x="349"/>
        <item m="1" x="350"/>
        <item m="1" x="352"/>
        <item m="1" x="353"/>
        <item m="1" x="358"/>
        <item m="1" x="359"/>
        <item m="1" x="360"/>
        <item m="1" x="362"/>
        <item m="1" x="363"/>
        <item m="1" x="364"/>
        <item m="1" x="365"/>
        <item m="1" x="366"/>
        <item m="1" x="367"/>
        <item m="1" x="369"/>
        <item m="1" x="372"/>
        <item m="1" x="373"/>
        <item m="1" x="374"/>
        <item m="1" x="376"/>
        <item m="1" x="377"/>
        <item m="1" x="378"/>
        <item m="1" x="380"/>
        <item m="1" x="381"/>
        <item m="1" x="382"/>
        <item m="1" x="383"/>
        <item m="1" x="384"/>
        <item m="1" x="385"/>
        <item m="1" x="387"/>
        <item m="1" x="388"/>
        <item m="1" x="389"/>
        <item m="1" x="390"/>
        <item m="1" x="392"/>
        <item m="1" x="393"/>
        <item m="1" x="397"/>
        <item m="1" x="398"/>
        <item m="1" x="401"/>
        <item m="1" x="402"/>
        <item m="1" x="404"/>
        <item m="1" x="405"/>
        <item m="1" x="406"/>
        <item m="1" x="407"/>
        <item m="1" x="408"/>
        <item m="1" x="412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7"/>
      </items>
    </pivotField>
    <pivotField axis="axisCol" numFmtId="164" showAll="0" defaultSubtotal="0">
      <items count="1201">
        <item x="67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x="210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415"/>
        <item m="1" x="416"/>
        <item m="1" x="417"/>
        <item m="1" x="215"/>
        <item m="1" x="418"/>
        <item m="1" x="217"/>
        <item m="1" x="419"/>
        <item m="1" x="420"/>
        <item m="1" x="421"/>
        <item m="1" x="422"/>
        <item m="1" x="423"/>
        <item m="1" x="223"/>
        <item m="1" x="424"/>
        <item m="1" x="425"/>
        <item m="1" x="426"/>
        <item m="1" x="427"/>
        <item m="1" x="428"/>
        <item m="1" x="429"/>
        <item m="1" x="430"/>
        <item m="1" x="431"/>
        <item m="1" x="232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273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313"/>
        <item m="1" x="511"/>
        <item m="1" x="512"/>
        <item m="1" x="513"/>
        <item m="1" x="514"/>
        <item m="1" x="515"/>
        <item m="1" x="516"/>
        <item m="1" x="320"/>
        <item m="1" x="321"/>
        <item m="1" x="517"/>
        <item m="1" x="518"/>
        <item m="1" x="519"/>
        <item m="1" x="520"/>
        <item m="1" x="326"/>
        <item m="1" x="521"/>
        <item m="1" x="522"/>
        <item m="1" x="523"/>
        <item m="1" x="330"/>
        <item m="1" x="524"/>
        <item m="1" x="525"/>
        <item m="1" x="526"/>
        <item m="1" x="527"/>
        <item m="1" x="528"/>
        <item m="1" x="336"/>
        <item m="1" x="529"/>
        <item m="1" x="530"/>
        <item m="1" x="531"/>
        <item m="1" x="532"/>
        <item m="1" x="341"/>
        <item m="1" x="342"/>
        <item m="1" x="533"/>
        <item m="1" x="534"/>
        <item m="1" x="535"/>
        <item m="1" x="536"/>
        <item m="1" x="537"/>
        <item m="1" x="348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363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375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386"/>
        <item m="1" x="573"/>
        <item m="1" x="574"/>
        <item m="1" x="575"/>
        <item m="1" x="576"/>
        <item m="1" x="577"/>
        <item m="1" x="578"/>
        <item m="1" x="393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212"/>
        <item m="1" x="213"/>
        <item m="1" x="214"/>
        <item m="1" x="216"/>
        <item m="1" x="218"/>
        <item m="1" x="219"/>
        <item m="1" x="220"/>
        <item m="1" x="221"/>
        <item m="1" x="222"/>
        <item m="1" x="224"/>
        <item m="1" x="225"/>
        <item m="1" x="226"/>
        <item m="1" x="227"/>
        <item m="1" x="228"/>
        <item m="1" x="229"/>
        <item m="1" x="230"/>
        <item m="1" x="231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4"/>
        <item m="1" x="315"/>
        <item m="1" x="316"/>
        <item m="1" x="317"/>
        <item m="1" x="318"/>
        <item m="1" x="319"/>
        <item m="1" x="322"/>
        <item m="1" x="323"/>
        <item m="1" x="324"/>
        <item m="1" x="325"/>
        <item m="1" x="327"/>
        <item m="1" x="328"/>
        <item m="1" x="329"/>
        <item m="1" x="331"/>
        <item m="1" x="332"/>
        <item m="1" x="333"/>
        <item m="1" x="334"/>
        <item m="1" x="335"/>
        <item m="1" x="337"/>
        <item m="1" x="338"/>
        <item m="1" x="339"/>
        <item m="1" x="340"/>
        <item m="1" x="343"/>
        <item m="1" x="344"/>
        <item m="1" x="345"/>
        <item m="1" x="346"/>
        <item m="1" x="347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7"/>
        <item m="1" x="388"/>
        <item m="1" x="389"/>
        <item m="1" x="390"/>
        <item m="1" x="391"/>
        <item m="1" x="392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</items>
    </pivotField>
    <pivotField numFmtId="164" showAll="0" defaultSubtotal="0"/>
    <pivotField numFmtId="164" showAll="0" defaultSubtotal="0"/>
    <pivotField axis="axisCol" numFmtId="164" showAll="0" defaultSubtotal="0">
      <items count="1169">
        <item x="0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787"/>
        <item m="1" x="788"/>
        <item m="1" x="789"/>
        <item m="1" x="790"/>
        <item m="1" x="791"/>
        <item m="1" x="591"/>
        <item m="1" x="792"/>
        <item m="1" x="593"/>
        <item m="1" x="793"/>
        <item m="1" x="794"/>
        <item m="1" x="795"/>
        <item m="1" x="796"/>
        <item m="1" x="797"/>
        <item m="1" x="798"/>
        <item m="1" x="799"/>
        <item m="1" x="800"/>
        <item m="1" x="602"/>
        <item m="1" x="603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624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642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658"/>
        <item m="1" x="853"/>
        <item m="1" x="854"/>
        <item m="1" x="855"/>
        <item m="1" x="856"/>
        <item m="1" x="857"/>
        <item m="1" x="664"/>
        <item m="1" x="858"/>
        <item m="1" x="859"/>
        <item m="1" x="860"/>
        <item m="1" x="861"/>
        <item m="1" x="862"/>
        <item m="1" x="670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680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692"/>
        <item m="1" x="883"/>
        <item m="1" x="884"/>
        <item m="1" x="885"/>
        <item m="1" x="886"/>
        <item m="1" x="697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708"/>
        <item m="1" x="897"/>
        <item m="1" x="898"/>
        <item m="1" x="711"/>
        <item m="1" x="899"/>
        <item m="1" x="900"/>
        <item m="1" x="714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747"/>
        <item m="1" x="933"/>
        <item m="1" x="934"/>
        <item m="1" x="935"/>
        <item m="1" x="936"/>
        <item m="1" x="937"/>
        <item m="1" x="753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786"/>
        <item m="1" x="586"/>
        <item m="1" x="587"/>
        <item m="1" x="588"/>
        <item m="1" x="589"/>
        <item m="1" x="590"/>
        <item m="1" x="592"/>
        <item m="1" x="594"/>
        <item m="1" x="595"/>
        <item m="1" x="596"/>
        <item m="1" x="597"/>
        <item m="1" x="598"/>
        <item m="1" x="599"/>
        <item m="1" x="600"/>
        <item m="1" x="601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9"/>
        <item m="1" x="660"/>
        <item m="1" x="661"/>
        <item m="1" x="662"/>
        <item m="1" x="663"/>
        <item m="1" x="665"/>
        <item m="1" x="666"/>
        <item m="1" x="667"/>
        <item m="1" x="668"/>
        <item m="1" x="669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3"/>
        <item m="1" x="694"/>
        <item m="1" x="695"/>
        <item m="1" x="696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9"/>
        <item m="1" x="710"/>
        <item x="202"/>
        <item m="1" x="712"/>
        <item m="1" x="713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8"/>
        <item m="1" x="749"/>
        <item m="1" x="750"/>
        <item m="1" x="751"/>
        <item m="1" x="752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406"/>
        <item m="1" x="407"/>
        <item m="1" x="408"/>
        <item m="1" x="409"/>
        <item m="1" x="410"/>
        <item m="1" x="209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246"/>
        <item m="1" x="447"/>
        <item m="1" x="248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258"/>
        <item m="1" x="457"/>
        <item m="1" x="458"/>
        <item m="1" x="459"/>
        <item m="1" x="460"/>
        <item m="1" x="461"/>
        <item m="1" x="264"/>
        <item m="1" x="462"/>
        <item m="1" x="266"/>
        <item m="1" x="463"/>
        <item m="1" x="268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280"/>
        <item m="1" x="475"/>
        <item m="1" x="476"/>
        <item m="1" x="477"/>
        <item m="1" x="478"/>
        <item m="1" x="479"/>
        <item m="1" x="480"/>
        <item m="1" x="481"/>
        <item m="1" x="482"/>
        <item m="1" x="289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301"/>
        <item m="1" x="494"/>
        <item m="1" x="495"/>
        <item m="1" x="496"/>
        <item m="1" x="305"/>
        <item m="1" x="497"/>
        <item m="1" x="498"/>
        <item m="1" x="308"/>
        <item m="1" x="499"/>
        <item m="1" x="500"/>
        <item m="1" x="311"/>
        <item m="1" x="501"/>
        <item m="1" x="313"/>
        <item m="1" x="314"/>
        <item m="1" x="502"/>
        <item m="1" x="316"/>
        <item m="1" x="317"/>
        <item m="1" x="318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337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380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396"/>
        <item m="1" x="578"/>
        <item m="1" x="579"/>
        <item m="1" x="399"/>
        <item m="1" x="580"/>
        <item m="1" x="581"/>
        <item m="1" x="582"/>
        <item m="1" x="583"/>
        <item m="1" x="584"/>
        <item m="1" x="585"/>
        <item m="1" x="204"/>
        <item m="1" x="205"/>
        <item m="1" x="206"/>
        <item m="1" x="207"/>
        <item m="1" x="208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7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9"/>
        <item m="1" x="260"/>
        <item m="1" x="261"/>
        <item m="1" x="262"/>
        <item m="1" x="263"/>
        <item m="1" x="265"/>
        <item m="1" x="267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1"/>
        <item m="1" x="282"/>
        <item m="1" x="283"/>
        <item m="1" x="284"/>
        <item m="1" x="285"/>
        <item m="1" x="286"/>
        <item m="1" x="287"/>
        <item m="1" x="288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2"/>
        <item m="1" x="303"/>
        <item m="1" x="304"/>
        <item m="1" x="306"/>
        <item m="1" x="307"/>
        <item m="1" x="309"/>
        <item m="1" x="310"/>
        <item m="1" x="312"/>
        <item m="1" x="315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7"/>
        <item m="1" x="398"/>
        <item m="1" x="400"/>
        <item m="1" x="401"/>
        <item m="1" x="402"/>
        <item m="1" x="403"/>
        <item m="1" x="404"/>
        <item m="1" x="405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3"/>
      </items>
    </pivotField>
    <pivotField axis="axisCol" numFmtId="164" showAll="0" defaultSubtotal="0">
      <items count="1229"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824"/>
        <item m="1" x="825"/>
        <item m="1" x="826"/>
        <item m="1" x="827"/>
        <item m="1" x="828"/>
        <item m="1" x="829"/>
        <item m="1" x="830"/>
        <item m="1" x="625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672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727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775"/>
        <item m="1" x="978"/>
        <item m="1" x="979"/>
        <item m="1" x="980"/>
        <item m="1" x="981"/>
        <item m="1" x="982"/>
        <item m="1" x="983"/>
        <item m="1" x="782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618"/>
        <item m="1" x="619"/>
        <item m="1" x="620"/>
        <item m="1" x="621"/>
        <item m="1" x="622"/>
        <item m="1" x="623"/>
        <item m="1" x="624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x="212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6"/>
        <item m="1" x="777"/>
        <item m="1" x="778"/>
        <item m="1" x="779"/>
        <item m="1" x="780"/>
        <item m="1" x="781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421"/>
        <item m="1" x="422"/>
        <item m="1" x="423"/>
        <item m="1" x="424"/>
        <item m="1" x="425"/>
        <item m="1" x="219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268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290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315"/>
        <item m="1" x="316"/>
        <item m="1" x="519"/>
        <item m="1" x="520"/>
        <item m="1" x="319"/>
        <item m="1" x="521"/>
        <item m="1" x="522"/>
        <item m="1" x="523"/>
        <item m="1" x="524"/>
        <item m="1" x="324"/>
        <item m="1" x="525"/>
        <item m="1" x="326"/>
        <item m="1" x="526"/>
        <item m="1" x="527"/>
        <item m="1" x="528"/>
        <item m="1" x="529"/>
        <item m="1" x="331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346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214"/>
        <item m="1" x="215"/>
        <item m="1" x="216"/>
        <item m="1" x="217"/>
        <item m="1" x="218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7"/>
        <item m="1" x="318"/>
        <item m="1" x="320"/>
        <item m="1" x="321"/>
        <item m="1" x="322"/>
        <item m="1" x="323"/>
        <item m="1" x="325"/>
        <item m="1" x="327"/>
        <item m="1" x="328"/>
        <item m="1" x="329"/>
        <item m="1" x="330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3"/>
      </items>
    </pivotField>
    <pivotField numFmtId="164" showAll="0" defaultSubtotal="0"/>
    <pivotField axis="axisCol" numFmtId="10" showAll="0" defaultSubtotal="0">
      <items count="1218">
        <item x="67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414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x="210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</items>
    </pivotField>
    <pivotField axis="axisCol" numFmtId="164" showAll="0" defaultSubtotal="0">
      <items count="1818">
        <item x="67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618"/>
        <item m="1" x="619"/>
        <item m="1" x="620"/>
        <item m="1" x="621"/>
        <item m="1" x="622"/>
        <item m="1" x="623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739"/>
        <item m="1" x="740"/>
        <item m="1" x="741"/>
        <item m="1" x="742"/>
        <item x="210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</items>
    </pivotField>
    <pivotField axis="axisCol" numFmtId="164" showAll="0" defaultSubtotal="0">
      <items count="1835">
        <item m="1" x="1233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286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3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341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395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032"/>
        <item m="1" x="1033"/>
        <item m="1" x="1034"/>
        <item m="1" x="1035"/>
        <item m="1" x="1036"/>
        <item m="1" x="1037"/>
        <item m="1" x="1038"/>
        <item m="1" x="632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679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734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782"/>
        <item m="1" x="1186"/>
        <item m="1" x="1187"/>
        <item m="1" x="1188"/>
        <item m="1" x="1189"/>
        <item m="1" x="1190"/>
        <item m="1" x="1191"/>
        <item m="1" x="789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831"/>
        <item m="1" x="832"/>
        <item m="1" x="833"/>
        <item m="1" x="834"/>
        <item m="1" x="835"/>
        <item m="1" x="836"/>
        <item m="1" x="837"/>
        <item m="1" x="838"/>
        <item m="1" x="839"/>
        <item m="1" x="840"/>
        <item m="1" x="841"/>
        <item m="1" x="842"/>
        <item m="1" x="843"/>
        <item m="1" x="844"/>
        <item m="1" x="845"/>
        <item m="1" x="846"/>
        <item m="1" x="847"/>
        <item m="1" x="848"/>
        <item m="1" x="849"/>
        <item m="1" x="850"/>
        <item m="1" x="851"/>
        <item m="1" x="852"/>
        <item m="1" x="853"/>
        <item m="1" x="854"/>
        <item m="1" x="855"/>
        <item m="1" x="856"/>
        <item m="1" x="857"/>
        <item m="1" x="858"/>
        <item m="1" x="859"/>
        <item m="1" x="860"/>
        <item m="1" x="861"/>
        <item m="1" x="862"/>
        <item m="1" x="863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6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m="1" x="888"/>
        <item m="1" x="889"/>
        <item m="1" x="890"/>
        <item m="1" x="891"/>
        <item m="1" x="892"/>
        <item m="1" x="893"/>
        <item m="1" x="894"/>
        <item m="1" x="895"/>
        <item m="1" x="896"/>
        <item m="1" x="897"/>
        <item m="1" x="898"/>
        <item m="1" x="899"/>
        <item m="1" x="900"/>
        <item m="1" x="901"/>
        <item m="1" x="902"/>
        <item m="1" x="903"/>
        <item m="1" x="904"/>
        <item m="1" x="905"/>
        <item m="1" x="906"/>
        <item m="1" x="907"/>
        <item m="1" x="908"/>
        <item m="1" x="909"/>
        <item m="1" x="910"/>
        <item m="1" x="911"/>
        <item m="1" x="912"/>
        <item m="1" x="913"/>
        <item m="1" x="914"/>
        <item m="1" x="915"/>
        <item m="1" x="916"/>
        <item m="1" x="917"/>
        <item m="1" x="918"/>
        <item m="1" x="919"/>
        <item m="1" x="920"/>
        <item m="1" x="921"/>
        <item m="1" x="922"/>
        <item m="1" x="923"/>
        <item m="1" x="924"/>
        <item m="1" x="925"/>
        <item m="1" x="926"/>
        <item m="1" x="927"/>
        <item m="1" x="928"/>
        <item m="1" x="929"/>
        <item m="1" x="930"/>
        <item m="1" x="931"/>
        <item m="1" x="932"/>
        <item m="1" x="933"/>
        <item m="1" x="934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945"/>
        <item m="1" x="946"/>
        <item m="1" x="947"/>
        <item m="1" x="948"/>
        <item m="1" x="949"/>
        <item m="1" x="950"/>
        <item m="1" x="951"/>
        <item m="1" x="952"/>
        <item m="1" x="953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m="1" x="963"/>
        <item m="1" x="964"/>
        <item m="1" x="965"/>
        <item m="1" x="966"/>
        <item m="1" x="967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977"/>
        <item m="1" x="978"/>
        <item m="1" x="979"/>
        <item m="1" x="980"/>
        <item m="1" x="981"/>
        <item m="1" x="982"/>
        <item m="1" x="983"/>
        <item m="1" x="984"/>
        <item m="1" x="985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1009"/>
        <item m="1" x="1010"/>
        <item m="1" x="1011"/>
        <item m="1" x="1012"/>
        <item m="1" x="1013"/>
        <item m="1" x="1014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625"/>
        <item m="1" x="626"/>
        <item m="1" x="627"/>
        <item m="1" x="628"/>
        <item m="1" x="629"/>
        <item m="1" x="630"/>
        <item m="1" x="631"/>
        <item m="1" x="633"/>
        <item m="1" x="634"/>
        <item m="1" x="635"/>
        <item m="1" x="636"/>
        <item m="1" x="637"/>
        <item m="1" x="638"/>
        <item m="1" x="639"/>
        <item m="1" x="640"/>
        <item m="1" x="641"/>
        <item m="1" x="642"/>
        <item m="1" x="643"/>
        <item m="1" x="644"/>
        <item m="1" x="645"/>
        <item m="1" x="646"/>
        <item m="1" x="647"/>
        <item m="1" x="648"/>
        <item m="1" x="649"/>
        <item m="1" x="650"/>
        <item m="1" x="651"/>
        <item m="1" x="652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2"/>
        <item m="1" x="663"/>
        <item m="1" x="664"/>
        <item m="1" x="665"/>
        <item m="1" x="666"/>
        <item m="1" x="667"/>
        <item m="1" x="668"/>
        <item m="1" x="669"/>
        <item m="1" x="670"/>
        <item m="1" x="671"/>
        <item m="1" x="672"/>
        <item m="1" x="673"/>
        <item m="1" x="674"/>
        <item m="1" x="675"/>
        <item m="1" x="676"/>
        <item m="1" x="677"/>
        <item m="1" x="678"/>
        <item m="1" x="680"/>
        <item m="1" x="681"/>
        <item m="1" x="682"/>
        <item m="1" x="683"/>
        <item m="1" x="684"/>
        <item m="1" x="685"/>
        <item m="1" x="686"/>
        <item m="1" x="687"/>
        <item m="1" x="688"/>
        <item m="1" x="689"/>
        <item m="1" x="690"/>
        <item m="1" x="69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16"/>
        <item m="1" x="717"/>
        <item m="1" x="718"/>
        <item m="1" x="719"/>
        <item m="1" x="720"/>
        <item m="1" x="721"/>
        <item m="1" x="722"/>
        <item m="1" x="723"/>
        <item m="1" x="724"/>
        <item m="1" x="725"/>
        <item m="1" x="726"/>
        <item m="1" x="727"/>
        <item m="1" x="728"/>
        <item m="1" x="729"/>
        <item m="1" x="730"/>
        <item m="1" x="731"/>
        <item m="1" x="732"/>
        <item m="1" x="733"/>
        <item m="1" x="735"/>
        <item m="1" x="736"/>
        <item m="1" x="737"/>
        <item m="1" x="738"/>
        <item m="1" x="739"/>
        <item m="1" x="740"/>
        <item m="1" x="741"/>
        <item m="1" x="742"/>
        <item m="1" x="743"/>
        <item m="1" x="744"/>
        <item m="1" x="745"/>
        <item m="1" x="746"/>
        <item m="1" x="747"/>
        <item m="1" x="748"/>
        <item m="1" x="749"/>
        <item m="1" x="750"/>
        <item m="1" x="751"/>
        <item m="1" x="752"/>
        <item x="21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3"/>
        <item m="1" x="784"/>
        <item m="1" x="785"/>
        <item m="1" x="786"/>
        <item m="1" x="787"/>
        <item m="1" x="788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m="1" x="83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268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290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3"/>
        <item m="1" x="524"/>
        <item m="1" x="525"/>
        <item m="1" x="526"/>
        <item m="1" x="527"/>
        <item m="1" x="528"/>
        <item m="1" x="324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7"/>
        <item m="1" x="558"/>
        <item m="1" x="559"/>
        <item m="1" x="560"/>
        <item m="1" x="561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2"/>
        <item m="1" x="573"/>
        <item m="1" x="574"/>
        <item m="1" x="575"/>
        <item m="1" x="576"/>
        <item m="1" x="577"/>
        <item m="1" x="578"/>
        <item m="1" x="579"/>
        <item m="1" x="580"/>
        <item m="1" x="581"/>
        <item m="1" x="582"/>
        <item m="1" x="583"/>
        <item m="1" x="584"/>
        <item m="1" x="585"/>
        <item m="1" x="586"/>
        <item m="1" x="587"/>
        <item m="1" x="588"/>
        <item m="1" x="589"/>
        <item m="1" x="590"/>
        <item m="1" x="591"/>
        <item m="1" x="592"/>
        <item m="1" x="593"/>
        <item m="1" x="594"/>
        <item m="1" x="595"/>
        <item m="1" x="596"/>
        <item m="1" x="597"/>
        <item m="1" x="598"/>
        <item m="1" x="599"/>
        <item m="1" x="600"/>
        <item m="1" x="601"/>
        <item m="1" x="602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623"/>
        <item m="1" x="624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9"/>
        <item m="1" x="270"/>
        <item m="1" x="271"/>
        <item m="1" x="272"/>
        <item m="1" x="273"/>
        <item m="1" x="274"/>
        <item m="1" x="275"/>
        <item m="1" x="276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19"/>
        <item m="1" x="4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3"/>
      </items>
    </pivotField>
  </pivotFields>
  <rowItems count="1">
    <i/>
  </rowItems>
  <colFields count="8">
    <field x="0"/>
    <field x="5"/>
    <field x="2"/>
    <field x="1"/>
    <field x="6"/>
    <field x="8"/>
    <field x="9"/>
    <field x="10"/>
  </colFields>
  <colItems count="214">
    <i>
      <x/>
      <x v="967"/>
      <x v="992"/>
      <x v="855"/>
      <x v="1017"/>
      <x v="1009"/>
      <x v="1609"/>
      <x v="1623"/>
    </i>
    <i>
      <x v="1"/>
      <x v="968"/>
      <x v="993"/>
      <x v="856"/>
      <x v="1018"/>
      <x v="1010"/>
      <x v="1610"/>
      <x v="1624"/>
    </i>
    <i>
      <x v="2"/>
      <x v="969"/>
      <x v="994"/>
      <x v="857"/>
      <x v="1019"/>
      <x v="1011"/>
      <x v="1611"/>
      <x v="1625"/>
    </i>
    <i>
      <x v="3"/>
      <x v="970"/>
      <x v="995"/>
      <x v="858"/>
      <x v="1020"/>
      <x v="1012"/>
      <x v="1612"/>
      <x v="1626"/>
    </i>
    <i>
      <x v="4"/>
      <x v="971"/>
      <x v="996"/>
      <x v="859"/>
      <x v="1021"/>
      <x v="1013"/>
      <x v="1613"/>
      <x v="1627"/>
    </i>
    <i>
      <x v="5"/>
      <x v="972"/>
      <x v="998"/>
      <x v="860"/>
      <x v="1023"/>
      <x v="1015"/>
      <x v="1615"/>
      <x v="1629"/>
    </i>
    <i>
      <x v="6"/>
      <x v="973"/>
      <x v="999"/>
      <x v="861"/>
      <x v="1024"/>
      <x v="1016"/>
      <x v="1616"/>
      <x v="1630"/>
    </i>
    <i>
      <x v="7"/>
      <x v="974"/>
      <x v="1000"/>
      <x v="862"/>
      <x v="1025"/>
      <x v="1017"/>
      <x v="1617"/>
      <x v="1631"/>
    </i>
    <i>
      <x v="8"/>
      <x v="975"/>
      <x v="1001"/>
      <x v="863"/>
      <x v="1026"/>
      <x v="1018"/>
      <x v="1618"/>
      <x v="1632"/>
    </i>
    <i>
      <x v="9"/>
      <x v="976"/>
      <x v="1002"/>
      <x v="864"/>
      <x v="1027"/>
      <x v="1019"/>
      <x v="1619"/>
      <x v="1633"/>
    </i>
    <i>
      <x v="10"/>
      <x v="977"/>
      <x v="1003"/>
      <x v="865"/>
      <x v="1028"/>
      <x v="1020"/>
      <x v="1620"/>
      <x v="1634"/>
    </i>
    <i>
      <x v="11"/>
      <x v="978"/>
      <x v="1004"/>
      <x v="866"/>
      <x v="1029"/>
      <x v="1021"/>
      <x v="1621"/>
      <x v="1635"/>
    </i>
    <i>
      <x v="12"/>
      <x v="979"/>
      <x v="1005"/>
      <x v="867"/>
      <x v="1030"/>
      <x v="1022"/>
      <x v="1622"/>
      <x v="1636"/>
    </i>
    <i>
      <x v="13"/>
      <x v="980"/>
      <x v="1006"/>
      <x v="868"/>
      <x v="1031"/>
      <x v="1023"/>
      <x v="1623"/>
      <x v="1637"/>
    </i>
    <i>
      <x v="14"/>
      <x v="981"/>
      <x v="1007"/>
      <x v="869"/>
      <x v="1032"/>
      <x v="1024"/>
      <x v="1624"/>
      <x v="1638"/>
    </i>
    <i>
      <x v="15"/>
      <x v="982"/>
      <x v="1008"/>
      <x v="870"/>
      <x v="1033"/>
      <x v="1025"/>
      <x v="1625"/>
      <x v="1639"/>
    </i>
    <i>
      <x v="16"/>
      <x v="983"/>
      <x v="1009"/>
      <x v="871"/>
      <x v="1034"/>
      <x v="1026"/>
      <x v="1626"/>
      <x v="1640"/>
    </i>
    <i>
      <x v="17"/>
      <x v="984"/>
      <x v="1010"/>
      <x v="872"/>
      <x v="1035"/>
      <x v="1027"/>
      <x v="1627"/>
      <x v="1641"/>
    </i>
    <i>
      <x v="18"/>
      <x v="985"/>
      <x v="1011"/>
      <x v="873"/>
      <x v="1036"/>
      <x v="1028"/>
      <x v="1628"/>
      <x v="1642"/>
    </i>
    <i>
      <x v="19"/>
      <x v="986"/>
      <x v="1012"/>
      <x v="874"/>
      <x v="1037"/>
      <x v="1029"/>
      <x v="1629"/>
      <x v="1643"/>
    </i>
    <i>
      <x v="20"/>
      <x v="987"/>
      <x v="1013"/>
      <x v="875"/>
      <x v="1038"/>
      <x v="1030"/>
      <x v="1630"/>
      <x v="1644"/>
    </i>
    <i>
      <x v="21"/>
      <x v="988"/>
      <x v="1014"/>
      <x v="876"/>
      <x v="1039"/>
      <x v="1031"/>
      <x v="1631"/>
      <x v="1645"/>
    </i>
    <i>
      <x v="22"/>
      <x v="989"/>
      <x v="1015"/>
      <x v="877"/>
      <x v="1040"/>
      <x v="1032"/>
      <x v="1632"/>
      <x v="1646"/>
    </i>
    <i>
      <x v="23"/>
      <x v="990"/>
      <x v="1016"/>
      <x v="878"/>
      <x v="1041"/>
      <x v="1033"/>
      <x v="1633"/>
      <x v="1647"/>
    </i>
    <i>
      <x v="24"/>
      <x v="991"/>
      <x v="1017"/>
      <x v="879"/>
      <x v="1042"/>
      <x v="1034"/>
      <x v="1634"/>
      <x v="1648"/>
    </i>
    <i>
      <x v="25"/>
      <x v="992"/>
      <x v="1018"/>
      <x v="880"/>
      <x v="1043"/>
      <x v="1035"/>
      <x v="1635"/>
      <x v="1649"/>
    </i>
    <i>
      <x v="26"/>
      <x v="993"/>
      <x v="1019"/>
      <x v="881"/>
      <x v="1044"/>
      <x v="1036"/>
      <x v="1636"/>
      <x v="1650"/>
    </i>
    <i>
      <x v="27"/>
      <x v="994"/>
      <x v="1020"/>
      <x v="882"/>
      <x v="1045"/>
      <x v="1037"/>
      <x v="1637"/>
      <x v="1651"/>
    </i>
    <i>
      <x v="28"/>
      <x v="996"/>
      <x v="1022"/>
      <x v="884"/>
      <x v="1047"/>
      <x v="1039"/>
      <x v="1639"/>
      <x v="1653"/>
    </i>
    <i>
      <x v="29"/>
      <x v="997"/>
      <x v="1023"/>
      <x v="885"/>
      <x v="1048"/>
      <x v="1040"/>
      <x v="1640"/>
      <x v="1654"/>
    </i>
    <i>
      <x v="30"/>
      <x v="998"/>
      <x v="1024"/>
      <x v="886"/>
      <x v="1049"/>
      <x v="1041"/>
      <x v="1641"/>
      <x v="1655"/>
    </i>
    <i>
      <x v="31"/>
      <x v="999"/>
      <x v="1025"/>
      <x v="887"/>
      <x v="1050"/>
      <x v="1042"/>
      <x v="1642"/>
      <x v="1656"/>
    </i>
    <i>
      <x v="32"/>
      <x v="1000"/>
      <x v="1026"/>
      <x v="888"/>
      <x v="1051"/>
      <x v="1043"/>
      <x v="1643"/>
      <x v="1657"/>
    </i>
    <i>
      <x v="33"/>
      <x v="1001"/>
      <x v="1027"/>
      <x v="889"/>
      <x v="1052"/>
      <x v="1044"/>
      <x v="1644"/>
      <x v="1658"/>
    </i>
    <i>
      <x v="34"/>
      <x v="1002"/>
      <x v="1028"/>
      <x v="890"/>
      <x v="1053"/>
      <x v="1045"/>
      <x v="1645"/>
      <x v="1659"/>
    </i>
    <i>
      <x v="35"/>
      <x v="1003"/>
      <x v="1029"/>
      <x v="891"/>
      <x v="1054"/>
      <x v="1046"/>
      <x v="1646"/>
      <x v="1660"/>
    </i>
    <i>
      <x v="36"/>
      <x v="1004"/>
      <x v="1030"/>
      <x v="892"/>
      <x v="1055"/>
      <x v="1047"/>
      <x v="1647"/>
      <x v="1661"/>
    </i>
    <i>
      <x v="37"/>
      <x v="1005"/>
      <x v="1031"/>
      <x v="893"/>
      <x v="1056"/>
      <x v="1048"/>
      <x v="1648"/>
      <x v="1662"/>
    </i>
    <i>
      <x v="38"/>
      <x v="1006"/>
      <x v="1032"/>
      <x v="894"/>
      <x v="1057"/>
      <x v="1049"/>
      <x v="1649"/>
      <x v="1663"/>
    </i>
    <i>
      <x v="39"/>
      <x v="1007"/>
      <x v="1033"/>
      <x v="895"/>
      <x v="1058"/>
      <x v="1050"/>
      <x v="1650"/>
      <x v="1664"/>
    </i>
    <i>
      <x v="40"/>
      <x v="1008"/>
      <x v="1034"/>
      <x v="896"/>
      <x v="1059"/>
      <x v="1051"/>
      <x v="1651"/>
      <x v="1665"/>
    </i>
    <i>
      <x v="41"/>
      <x v="1009"/>
      <x v="1035"/>
      <x v="897"/>
      <x v="1060"/>
      <x v="1052"/>
      <x v="1652"/>
      <x v="1666"/>
    </i>
    <i>
      <x v="42"/>
      <x v="1010"/>
      <x v="1036"/>
      <x v="898"/>
      <x v="1061"/>
      <x v="1053"/>
      <x v="1653"/>
      <x v="1667"/>
    </i>
    <i>
      <x v="43"/>
      <x v="1011"/>
      <x v="1037"/>
      <x v="899"/>
      <x v="1062"/>
      <x v="1054"/>
      <x v="1654"/>
      <x v="1668"/>
    </i>
    <i>
      <x v="44"/>
      <x v="1012"/>
      <x v="1038"/>
      <x v="900"/>
      <x v="1063"/>
      <x v="1055"/>
      <x v="1655"/>
      <x v="1669"/>
    </i>
    <i>
      <x v="45"/>
      <x v="1013"/>
      <x v="1039"/>
      <x v="901"/>
      <x v="1064"/>
      <x v="1056"/>
      <x v="1656"/>
      <x v="1670"/>
    </i>
    <i>
      <x v="46"/>
      <x v="1014"/>
      <x v="1040"/>
      <x v="902"/>
      <x v="1065"/>
      <x v="1057"/>
      <x v="1657"/>
      <x v="1671"/>
    </i>
    <i>
      <x v="47"/>
      <x v="1015"/>
      <x v="1041"/>
      <x v="903"/>
      <x v="1066"/>
      <x v="1058"/>
      <x v="1658"/>
      <x v="1672"/>
    </i>
    <i>
      <x v="48"/>
      <x v="1016"/>
      <x v="1042"/>
      <x v="904"/>
      <x v="1067"/>
      <x v="1059"/>
      <x v="1659"/>
      <x v="1673"/>
    </i>
    <i>
      <x v="49"/>
      <x v="1017"/>
      <x v="1043"/>
      <x v="905"/>
      <x v="1068"/>
      <x v="1060"/>
      <x v="1660"/>
      <x v="1674"/>
    </i>
    <i>
      <x v="50"/>
      <x v="1018"/>
      <x v="1044"/>
      <x v="906"/>
      <x v="1069"/>
      <x v="1061"/>
      <x v="1661"/>
      <x v="1675"/>
    </i>
    <i>
      <x v="51"/>
      <x v="1019"/>
      <x v="1045"/>
      <x v="907"/>
      <x v="1070"/>
      <x v="1062"/>
      <x v="1662"/>
      <x v="1676"/>
    </i>
    <i>
      <x v="52"/>
      <x v="1020"/>
      <x v="1046"/>
      <x v="908"/>
      <x v="1071"/>
      <x v="1063"/>
      <x v="1663"/>
      <x v="1677"/>
    </i>
    <i>
      <x v="53"/>
      <x/>
      <x v="1047"/>
      <x v="909"/>
      <x v="1072"/>
      <x v="1064"/>
      <x v="1664"/>
      <x v="1678"/>
    </i>
    <i>
      <x v="54"/>
      <x v="1021"/>
      <x v="1048"/>
      <x v="910"/>
      <x v="1073"/>
      <x v="1065"/>
      <x v="1665"/>
      <x v="1679"/>
    </i>
    <i>
      <x v="55"/>
      <x v="1022"/>
      <x v="1049"/>
      <x v="911"/>
      <x v="1074"/>
      <x v="1066"/>
      <x v="1666"/>
      <x v="1680"/>
    </i>
    <i>
      <x v="56"/>
      <x v="1023"/>
      <x v="1050"/>
      <x v="912"/>
      <x v="1075"/>
      <x v="1067"/>
      <x v="1667"/>
      <x v="1681"/>
    </i>
    <i>
      <x v="57"/>
      <x v="1024"/>
      <x v="1051"/>
      <x v="913"/>
      <x v="1076"/>
      <x v="1068"/>
      <x v="1668"/>
      <x v="1682"/>
    </i>
    <i>
      <x v="58"/>
      <x v="1026"/>
      <x v="1053"/>
      <x v="915"/>
      <x v="1078"/>
      <x v="1070"/>
      <x v="1670"/>
      <x v="1684"/>
    </i>
    <i>
      <x v="59"/>
      <x v="1027"/>
      <x v="1054"/>
      <x v="916"/>
      <x v="1079"/>
      <x v="1071"/>
      <x v="1671"/>
      <x v="1685"/>
    </i>
    <i>
      <x v="60"/>
      <x v="1028"/>
      <x v="1055"/>
      <x v="917"/>
      <x v="1080"/>
      <x v="1072"/>
      <x v="1672"/>
      <x v="1686"/>
    </i>
    <i>
      <x v="61"/>
      <x v="1029"/>
      <x v="1056"/>
      <x v="918"/>
      <x v="1081"/>
      <x v="1073"/>
      <x v="1673"/>
      <x v="1687"/>
    </i>
    <i>
      <x v="62"/>
      <x v="1030"/>
      <x v="1057"/>
      <x v="919"/>
      <x v="1082"/>
      <x v="1074"/>
      <x v="1674"/>
      <x v="1688"/>
    </i>
    <i>
      <x v="63"/>
      <x v="1031"/>
      <x v="1058"/>
      <x/>
      <x v="1084"/>
      <x v="1075"/>
      <x v="1675"/>
      <x v="1690"/>
    </i>
    <i>
      <x v="64"/>
      <x v="1032"/>
      <x v="1059"/>
      <x v="921"/>
      <x v="1085"/>
      <x v="1076"/>
      <x v="1676"/>
      <x v="1691"/>
    </i>
    <i>
      <x v="65"/>
      <x v="1033"/>
      <x v="1060"/>
      <x v="922"/>
      <x v="1086"/>
      <x v="1077"/>
      <x v="1677"/>
      <x v="1692"/>
    </i>
    <i>
      <x v="66"/>
      <x v="1034"/>
      <x v="1061"/>
      <x v="923"/>
      <x v="1087"/>
      <x v="1078"/>
      <x v="1678"/>
      <x v="1693"/>
    </i>
    <i>
      <x v="67"/>
      <x v="1035"/>
      <x v="1062"/>
      <x v="924"/>
      <x v="1088"/>
      <x v="1079"/>
      <x v="1679"/>
      <x v="1694"/>
    </i>
    <i>
      <x v="68"/>
      <x v="1036"/>
      <x v="1063"/>
      <x v="925"/>
      <x v="1089"/>
      <x v="1080"/>
      <x v="1680"/>
      <x v="1695"/>
    </i>
    <i>
      <x v="69"/>
      <x v="1037"/>
      <x v="1064"/>
      <x v="926"/>
      <x v="1090"/>
      <x v="1081"/>
      <x v="1681"/>
      <x v="1696"/>
    </i>
    <i>
      <x v="70"/>
      <x v="1038"/>
      <x v="1065"/>
      <x v="927"/>
      <x v="1091"/>
      <x v="1082"/>
      <x v="1682"/>
      <x v="1697"/>
    </i>
    <i>
      <x v="71"/>
      <x v="1039"/>
      <x v="1066"/>
      <x v="928"/>
      <x v="1092"/>
      <x v="1083"/>
      <x v="1683"/>
      <x v="1698"/>
    </i>
    <i>
      <x v="72"/>
      <x v="1040"/>
      <x v="1067"/>
      <x v="929"/>
      <x v="1093"/>
      <x v="1084"/>
      <x v="1684"/>
      <x v="1699"/>
    </i>
    <i>
      <x v="73"/>
      <x v="1041"/>
      <x v="1068"/>
      <x v="930"/>
      <x v="1094"/>
      <x v="1085"/>
      <x v="1685"/>
      <x v="1700"/>
    </i>
    <i>
      <x v="75"/>
      <x v="1042"/>
      <x v="1069"/>
      <x v="931"/>
      <x v="1095"/>
      <x v="1086"/>
      <x v="1686"/>
      <x v="1701"/>
    </i>
    <i>
      <x v="76"/>
      <x v="1043"/>
      <x v="1070"/>
      <x v="932"/>
      <x v="1096"/>
      <x v="1087"/>
      <x v="1687"/>
      <x v="1702"/>
    </i>
    <i>
      <x v="77"/>
      <x v="1044"/>
      <x v="1071"/>
      <x v="933"/>
      <x v="1097"/>
      <x v="1088"/>
      <x v="1688"/>
      <x v="1703"/>
    </i>
    <i>
      <x v="78"/>
      <x v="1045"/>
      <x v="1072"/>
      <x v="934"/>
      <x v="1098"/>
      <x v="1089"/>
      <x v="1689"/>
      <x v="1704"/>
    </i>
    <i>
      <x v="79"/>
      <x v="1046"/>
      <x v="1073"/>
      <x v="935"/>
      <x v="1099"/>
      <x v="1090"/>
      <x v="1690"/>
      <x v="1705"/>
    </i>
    <i>
      <x v="80"/>
      <x v="1047"/>
      <x v="1074"/>
      <x v="936"/>
      <x v="1100"/>
      <x v="1091"/>
      <x v="1691"/>
      <x v="1706"/>
    </i>
    <i>
      <x v="81"/>
      <x v="1048"/>
      <x v="1075"/>
      <x v="937"/>
      <x v="1101"/>
      <x v="1092"/>
      <x v="1692"/>
      <x v="1707"/>
    </i>
    <i>
      <x v="82"/>
      <x v="1049"/>
      <x v="1076"/>
      <x v="938"/>
      <x v="1102"/>
      <x v="1093"/>
      <x v="1693"/>
      <x v="1708"/>
    </i>
    <i>
      <x v="83"/>
      <x v="1050"/>
      <x v="1077"/>
      <x v="939"/>
      <x v="1103"/>
      <x v="1094"/>
      <x v="1694"/>
      <x v="1709"/>
    </i>
    <i>
      <x v="84"/>
      <x v="1051"/>
      <x v="1078"/>
      <x v="940"/>
      <x v="1104"/>
      <x v="1095"/>
      <x v="1695"/>
      <x v="1710"/>
    </i>
    <i>
      <x v="85"/>
      <x v="1052"/>
      <x v="1079"/>
      <x v="941"/>
      <x v="1105"/>
      <x v="1096"/>
      <x v="1696"/>
      <x v="1711"/>
    </i>
    <i>
      <x v="86"/>
      <x v="1053"/>
      <x v="1080"/>
      <x v="942"/>
      <x v="1106"/>
      <x v="1097"/>
      <x v="1697"/>
      <x v="1712"/>
    </i>
    <i>
      <x v="87"/>
      <x v="1054"/>
      <x v="1081"/>
      <x v="943"/>
      <x v="1107"/>
      <x v="1098"/>
      <x v="1698"/>
      <x v="1713"/>
    </i>
    <i>
      <x v="88"/>
      <x v="1055"/>
      <x v="1082"/>
      <x v="944"/>
      <x v="1108"/>
      <x v="1099"/>
      <x v="1699"/>
      <x v="1714"/>
    </i>
    <i>
      <x v="89"/>
      <x v="1056"/>
      <x v="1083"/>
      <x v="945"/>
      <x v="1109"/>
      <x v="1100"/>
      <x v="1700"/>
      <x v="1715"/>
    </i>
    <i>
      <x v="90"/>
      <x v="1057"/>
      <x v="1084"/>
      <x v="946"/>
      <x v="1110"/>
      <x v="1101"/>
      <x v="1701"/>
      <x v="1716"/>
    </i>
    <i>
      <x v="91"/>
      <x v="1058"/>
      <x v="1085"/>
      <x v="947"/>
      <x v="1111"/>
      <x v="1102"/>
      <x v="1702"/>
      <x v="1717"/>
    </i>
    <i>
      <x v="92"/>
      <x v="1059"/>
      <x v="1086"/>
      <x v="948"/>
      <x v="1112"/>
      <x v="1103"/>
      <x v="1703"/>
      <x v="1718"/>
    </i>
    <i>
      <x v="93"/>
      <x v="1060"/>
      <x v="1087"/>
      <x v="949"/>
      <x v="1113"/>
      <x v="1104"/>
      <x v="1704"/>
      <x v="1719"/>
    </i>
    <i>
      <x v="94"/>
      <x v="1061"/>
      <x v="1088"/>
      <x v="950"/>
      <x v="1114"/>
      <x v="1105"/>
      <x v="1705"/>
      <x v="1720"/>
    </i>
    <i>
      <x v="95"/>
      <x v="1062"/>
      <x v="1089"/>
      <x v="951"/>
      <x v="1115"/>
      <x v="1106"/>
      <x v="1706"/>
      <x v="1721"/>
    </i>
    <i>
      <x v="96"/>
      <x v="1063"/>
      <x v="1090"/>
      <x v="952"/>
      <x v="1116"/>
      <x v="1107"/>
      <x v="1707"/>
      <x v="1722"/>
    </i>
    <i>
      <x v="97"/>
      <x v="1064"/>
      <x v="1091"/>
      <x v="953"/>
      <x v="1117"/>
      <x v="1108"/>
      <x v="1708"/>
      <x v="1723"/>
    </i>
    <i>
      <x v="98"/>
      <x v="1065"/>
      <x v="1092"/>
      <x v="954"/>
      <x v="1118"/>
      <x v="1109"/>
      <x v="1709"/>
      <x v="1724"/>
    </i>
    <i>
      <x v="99"/>
      <x v="1066"/>
      <x v="1093"/>
      <x v="955"/>
      <x v="1119"/>
      <x v="1110"/>
      <x v="1710"/>
      <x v="1725"/>
    </i>
    <i>
      <x v="100"/>
      <x v="1067"/>
      <x v="1094"/>
      <x v="956"/>
      <x v="1120"/>
      <x v="1111"/>
      <x v="1711"/>
      <x v="1726"/>
    </i>
    <i>
      <x v="101"/>
      <x/>
      <x v="1096"/>
      <x v="957"/>
      <x v="1122"/>
      <x v="1113"/>
      <x v="1713"/>
      <x v="1728"/>
    </i>
    <i>
      <x v="102"/>
      <x v="1068"/>
      <x v="1097"/>
      <x v="958"/>
      <x v="1123"/>
      <x v="1114"/>
      <x v="1714"/>
      <x v="1729"/>
    </i>
    <i>
      <x v="103"/>
      <x v="1069"/>
      <x v="1098"/>
      <x v="959"/>
      <x v="1124"/>
      <x v="1115"/>
      <x v="1715"/>
      <x v="1730"/>
    </i>
    <i>
      <x v="104"/>
      <x v="1070"/>
      <x v="1099"/>
      <x v="960"/>
      <x v="1125"/>
      <x v="1116"/>
      <x v="1716"/>
      <x v="1731"/>
    </i>
    <i>
      <x v="105"/>
      <x v="1071"/>
      <x v="1100"/>
      <x v="961"/>
      <x v="1126"/>
      <x v="1117"/>
      <x v="1717"/>
      <x v="1732"/>
    </i>
    <i>
      <x v="106"/>
      <x v="1072"/>
      <x v="1101"/>
      <x v="962"/>
      <x v="1127"/>
      <x v="1118"/>
      <x v="1718"/>
      <x v="1733"/>
    </i>
    <i>
      <x v="107"/>
      <x v="1073"/>
      <x v="1102"/>
      <x v="963"/>
      <x v="1128"/>
      <x v="1119"/>
      <x v="1719"/>
      <x v="1734"/>
    </i>
    <i>
      <x v="108"/>
      <x/>
      <x v="1103"/>
      <x v="964"/>
      <x v="1129"/>
      <x v="1120"/>
      <x v="1720"/>
      <x v="1735"/>
    </i>
    <i>
      <x v="109"/>
      <x v="1074"/>
      <x v="1104"/>
      <x v="965"/>
      <x v="1130"/>
      <x v="1121"/>
      <x v="1721"/>
      <x v="1736"/>
    </i>
    <i>
      <x v="110"/>
      <x v="1075"/>
      <x v="1105"/>
      <x v="966"/>
      <x v="1131"/>
      <x v="1122"/>
      <x v="1722"/>
      <x v="1737"/>
    </i>
    <i>
      <x v="111"/>
      <x v="1076"/>
      <x v="1106"/>
      <x v="967"/>
      <x v="1132"/>
      <x v="1123"/>
      <x v="1723"/>
      <x v="1738"/>
    </i>
    <i>
      <x v="112"/>
      <x v="1077"/>
      <x v="1107"/>
      <x v="968"/>
      <x v="1133"/>
      <x v="1124"/>
      <x v="1724"/>
      <x v="1739"/>
    </i>
    <i>
      <x v="113"/>
      <x v="1078"/>
      <x v="1108"/>
      <x v="969"/>
      <x v="1134"/>
      <x v="1125"/>
      <x v="1725"/>
      <x v="1740"/>
    </i>
    <i>
      <x v="114"/>
      <x v="1079"/>
      <x v="1109"/>
      <x v="970"/>
      <x v="1135"/>
      <x v="1126"/>
      <x v="1726"/>
      <x v="1741"/>
    </i>
    <i>
      <x v="115"/>
      <x v="1080"/>
      <x v="1110"/>
      <x v="972"/>
      <x v="1137"/>
      <x v="1127"/>
      <x v="1727"/>
      <x v="1743"/>
    </i>
    <i>
      <x v="116"/>
      <x v="1081"/>
      <x v="1111"/>
      <x v="973"/>
      <x v="1138"/>
      <x v="1128"/>
      <x v="1728"/>
      <x v="1744"/>
    </i>
    <i>
      <x v="117"/>
      <x v="1082"/>
      <x v="1112"/>
      <x v="974"/>
      <x v="1139"/>
      <x v="1129"/>
      <x v="1729"/>
      <x v="1745"/>
    </i>
    <i>
      <x v="118"/>
      <x v="1083"/>
      <x v="1113"/>
      <x v="975"/>
      <x v="1140"/>
      <x v="1130"/>
      <x v="1730"/>
      <x v="1746"/>
    </i>
    <i>
      <x v="119"/>
      <x v="1084"/>
      <x v="1114"/>
      <x v="976"/>
      <x v="1141"/>
      <x v="1131"/>
      <x v="1731"/>
      <x v="1747"/>
    </i>
    <i>
      <x v="120"/>
      <x v="1085"/>
      <x v="1115"/>
      <x v="977"/>
      <x v="1142"/>
      <x v="1132"/>
      <x v="1732"/>
      <x v="1748"/>
    </i>
    <i>
      <x v="121"/>
      <x v="1086"/>
      <x v="1116"/>
      <x v="978"/>
      <x v="1143"/>
      <x v="1133"/>
      <x v="1733"/>
      <x v="1749"/>
    </i>
    <i>
      <x v="122"/>
      <x v="1087"/>
      <x v="1117"/>
      <x v="979"/>
      <x v="1144"/>
      <x v="1134"/>
      <x v="1734"/>
      <x v="1750"/>
    </i>
    <i>
      <x v="123"/>
      <x v="1088"/>
      <x v="1118"/>
      <x v="980"/>
      <x v="1145"/>
      <x v="1135"/>
      <x v="1735"/>
      <x v="1751"/>
    </i>
    <i>
      <x v="124"/>
      <x v="1089"/>
      <x v="1119"/>
      <x v="981"/>
      <x v="1146"/>
      <x v="1136"/>
      <x v="1736"/>
      <x v="1752"/>
    </i>
    <i>
      <x v="125"/>
      <x v="1090"/>
      <x v="1120"/>
      <x v="982"/>
      <x v="1147"/>
      <x v="1137"/>
      <x v="1737"/>
      <x v="1753"/>
    </i>
    <i>
      <x v="126"/>
      <x v="1091"/>
      <x v="1121"/>
      <x v="983"/>
      <x v="1148"/>
      <x v="1138"/>
      <x v="1738"/>
      <x v="1754"/>
    </i>
    <i>
      <x v="127"/>
      <x v="1093"/>
      <x v="1123"/>
      <x v="985"/>
      <x v="1150"/>
      <x v="1140"/>
      <x v="1740"/>
      <x v="1756"/>
    </i>
    <i>
      <x v="128"/>
      <x v="1094"/>
      <x v="1124"/>
      <x v="984"/>
      <x v="1151"/>
      <x v="1141"/>
      <x v="1741"/>
      <x v="1757"/>
    </i>
    <i>
      <x v="129"/>
      <x v="1095"/>
      <x v="1125"/>
      <x v="984"/>
      <x v="1152"/>
      <x v="1142"/>
      <x v="1742"/>
      <x v="1758"/>
    </i>
    <i>
      <x v="130"/>
      <x v="1096"/>
      <x v="1126"/>
      <x v="986"/>
      <x v="1153"/>
      <x v="1143"/>
      <x v="1743"/>
      <x v="1759"/>
    </i>
    <i>
      <x v="131"/>
      <x v="1097"/>
      <x v="1127"/>
      <x v="987"/>
      <x v="1154"/>
      <x v="1144"/>
      <x v="1744"/>
      <x v="1760"/>
    </i>
    <i>
      <x v="132"/>
      <x v="1098"/>
      <x v="1128"/>
      <x v="988"/>
      <x v="1155"/>
      <x v="1145"/>
      <x v="1745"/>
      <x v="1761"/>
    </i>
    <i>
      <x v="133"/>
      <x v="1099"/>
      <x v="1129"/>
      <x v="989"/>
      <x v="1156"/>
      <x v="1146"/>
      <x v="1746"/>
      <x v="1762"/>
    </i>
    <i>
      <x v="134"/>
      <x v="1100"/>
      <x v="1130"/>
      <x v="990"/>
      <x v="1157"/>
      <x v="1147"/>
      <x v="1747"/>
      <x v="1763"/>
    </i>
    <i>
      <x v="135"/>
      <x v="1101"/>
      <x v="1131"/>
      <x v="991"/>
      <x v="1158"/>
      <x v="1148"/>
      <x v="1748"/>
      <x v="1764"/>
    </i>
    <i>
      <x v="136"/>
      <x v="1102"/>
      <x v="1132"/>
      <x v="992"/>
      <x v="1159"/>
      <x v="1149"/>
      <x v="1749"/>
      <x v="1765"/>
    </i>
    <i>
      <x v="137"/>
      <x v="1103"/>
      <x v="1133"/>
      <x v="993"/>
      <x v="1160"/>
      <x v="1150"/>
      <x v="1750"/>
      <x v="1766"/>
    </i>
    <i>
      <x v="138"/>
      <x v="1104"/>
      <x v="1134"/>
      <x v="994"/>
      <x v="1161"/>
      <x v="1151"/>
      <x v="1751"/>
      <x v="1767"/>
    </i>
    <i>
      <x v="139"/>
      <x v="1105"/>
      <x v="1135"/>
      <x v="995"/>
      <x v="1162"/>
      <x v="1152"/>
      <x v="1752"/>
      <x v="1768"/>
    </i>
    <i>
      <x v="140"/>
      <x v="1106"/>
      <x v="1136"/>
      <x v="996"/>
      <x v="1163"/>
      <x v="1153"/>
      <x v="1753"/>
      <x v="1769"/>
    </i>
    <i>
      <x v="141"/>
      <x v="1107"/>
      <x v="1137"/>
      <x v="997"/>
      <x v="1164"/>
      <x v="1154"/>
      <x v="1754"/>
      <x v="1770"/>
    </i>
    <i>
      <x v="142"/>
      <x v="1108"/>
      <x v="1138"/>
      <x v="998"/>
      <x v="1165"/>
      <x v="1155"/>
      <x v="1755"/>
      <x v="1771"/>
    </i>
    <i>
      <x v="143"/>
      <x v="1109"/>
      <x v="1139"/>
      <x v="999"/>
      <x v="1166"/>
      <x v="1156"/>
      <x v="1756"/>
      <x v="1772"/>
    </i>
    <i>
      <x v="144"/>
      <x v="1110"/>
      <x v="1140"/>
      <x v="1000"/>
      <x v="1167"/>
      <x v="1157"/>
      <x v="1757"/>
      <x v="1773"/>
    </i>
    <i>
      <x v="145"/>
      <x v="1111"/>
      <x v="1141"/>
      <x v="1001"/>
      <x v="1168"/>
      <x v="1158"/>
      <x v="1758"/>
      <x v="1774"/>
    </i>
    <i>
      <x v="146"/>
      <x v="1112"/>
      <x v="1142"/>
      <x v="1002"/>
      <x v="1169"/>
      <x v="1159"/>
      <x v="1759"/>
      <x v="1775"/>
    </i>
    <i>
      <x v="147"/>
      <x v="1113"/>
      <x v="1143"/>
      <x v="1003"/>
      <x v="1170"/>
      <x v="1160"/>
      <x v="1760"/>
      <x v="1776"/>
    </i>
    <i>
      <x v="148"/>
      <x v="1114"/>
      <x v="1144"/>
      <x v="1004"/>
      <x v="1171"/>
      <x v="1161"/>
      <x v="1761"/>
      <x v="1777"/>
    </i>
    <i>
      <x v="149"/>
      <x v="1115"/>
      <x v="1145"/>
      <x v="1005"/>
      <x v="1172"/>
      <x v="1162"/>
      <x v="1762"/>
      <x v="1778"/>
    </i>
    <i>
      <x v="150"/>
      <x v="1116"/>
      <x v="1146"/>
      <x v="1006"/>
      <x v="1173"/>
      <x v="1163"/>
      <x v="1763"/>
      <x v="1779"/>
    </i>
    <i>
      <x v="151"/>
      <x v="1117"/>
      <x v="1147"/>
      <x v="1007"/>
      <x v="1174"/>
      <x v="1164"/>
      <x v="1764"/>
      <x v="1780"/>
    </i>
    <i>
      <x v="152"/>
      <x v="1118"/>
      <x v="1148"/>
      <x v="1008"/>
      <x v="1175"/>
      <x v="1165"/>
      <x v="1765"/>
      <x v="1781"/>
    </i>
    <i>
      <x v="153"/>
      <x v="1119"/>
      <x v="1149"/>
      <x v="1009"/>
      <x v="1176"/>
      <x v="1166"/>
      <x v="1766"/>
      <x v="1782"/>
    </i>
    <i>
      <x v="154"/>
      <x v="1120"/>
      <x v="1150"/>
      <x v="1010"/>
      <x v="1177"/>
      <x v="1167"/>
      <x v="1767"/>
      <x v="1783"/>
    </i>
    <i>
      <x v="155"/>
      <x v="1121"/>
      <x v="1151"/>
      <x v="1011"/>
      <x v="1178"/>
      <x v="1168"/>
      <x v="1768"/>
      <x v="1784"/>
    </i>
    <i>
      <x v="156"/>
      <x v="1122"/>
      <x v="1153"/>
      <x v="1013"/>
      <x v="1180"/>
      <x v="1170"/>
      <x v="1770"/>
      <x v="1786"/>
    </i>
    <i>
      <x v="157"/>
      <x v="1123"/>
      <x v="1154"/>
      <x v="1014"/>
      <x v="1181"/>
      <x v="1171"/>
      <x v="1771"/>
      <x v="1787"/>
    </i>
    <i>
      <x v="158"/>
      <x v="1124"/>
      <x v="1155"/>
      <x v="1015"/>
      <x v="1182"/>
      <x v="1172"/>
      <x v="1772"/>
      <x v="1788"/>
    </i>
    <i>
      <x v="159"/>
      <x v="1125"/>
      <x v="1156"/>
      <x v="1016"/>
      <x v="1183"/>
      <x v="1173"/>
      <x v="1773"/>
      <x v="1789"/>
    </i>
    <i>
      <x v="160"/>
      <x v="1126"/>
      <x v="1157"/>
      <x v="1017"/>
      <x v="1184"/>
      <x v="1174"/>
      <x v="1774"/>
      <x v="1790"/>
    </i>
    <i>
      <x v="161"/>
      <x v="1127"/>
      <x v="1158"/>
      <x v="1018"/>
      <x v="1185"/>
      <x v="1175"/>
      <x v="1775"/>
      <x v="1791"/>
    </i>
    <i>
      <x v="163"/>
      <x v="1128"/>
      <x v="1159"/>
      <x v="1019"/>
      <x v="1186"/>
      <x v="1176"/>
      <x v="1776"/>
      <x v="1792"/>
    </i>
    <i>
      <x v="164"/>
      <x v="1129"/>
      <x v="1160"/>
      <x v="1020"/>
      <x v="1187"/>
      <x v="1177"/>
      <x v="1777"/>
      <x v="1793"/>
    </i>
    <i>
      <x v="165"/>
      <x v="1130"/>
      <x v="1161"/>
      <x v="1021"/>
      <x v="1188"/>
      <x v="1178"/>
      <x v="1778"/>
      <x v="1794"/>
    </i>
    <i>
      <x v="166"/>
      <x v="1131"/>
      <x v="1162"/>
      <x v="1022"/>
      <x v="1189"/>
      <x v="1179"/>
      <x v="1779"/>
      <x v="1795"/>
    </i>
    <i>
      <x v="167"/>
      <x v="1132"/>
      <x v="1163"/>
      <x v="1024"/>
      <x v="1191"/>
      <x v="1180"/>
      <x v="1780"/>
      <x v="1797"/>
    </i>
    <i>
      <x v="168"/>
      <x v="1133"/>
      <x v="1164"/>
      <x v="1025"/>
      <x v="1192"/>
      <x v="1181"/>
      <x v="1781"/>
      <x v="1798"/>
    </i>
    <i>
      <x v="169"/>
      <x v="1134"/>
      <x v="1165"/>
      <x v="1026"/>
      <x v="1193"/>
      <x v="1182"/>
      <x v="1782"/>
      <x v="1799"/>
    </i>
    <i>
      <x v="170"/>
      <x v="1135"/>
      <x v="1166"/>
      <x v="1027"/>
      <x v="1194"/>
      <x v="1183"/>
      <x v="1783"/>
      <x v="1800"/>
    </i>
    <i>
      <x v="171"/>
      <x v="1136"/>
      <x v="1167"/>
      <x v="1028"/>
      <x v="1195"/>
      <x v="1184"/>
      <x v="1784"/>
      <x v="1801"/>
    </i>
    <i>
      <x v="172"/>
      <x v="1137"/>
      <x v="1168"/>
      <x v="1029"/>
      <x v="1196"/>
      <x v="1185"/>
      <x v="1785"/>
      <x v="1802"/>
    </i>
    <i>
      <x v="173"/>
      <x v="1138"/>
      <x v="1169"/>
      <x v="1030"/>
      <x v="1197"/>
      <x v="1186"/>
      <x v="1786"/>
      <x v="1803"/>
    </i>
    <i>
      <x v="174"/>
      <x v="1139"/>
      <x v="1170"/>
      <x v="1031"/>
      <x v="1198"/>
      <x v="1187"/>
      <x v="1787"/>
      <x v="1804"/>
    </i>
    <i>
      <x v="175"/>
      <x v="1140"/>
      <x v="1171"/>
      <x v="1032"/>
      <x v="1199"/>
      <x v="1188"/>
      <x v="1788"/>
      <x v="1805"/>
    </i>
    <i>
      <x v="176"/>
      <x v="1141"/>
      <x v="1172"/>
      <x v="1033"/>
      <x v="1200"/>
      <x v="1189"/>
      <x v="1789"/>
      <x v="1806"/>
    </i>
    <i>
      <x v="177"/>
      <x v="1142"/>
      <x v="1173"/>
      <x v="1034"/>
      <x v="1201"/>
      <x v="1190"/>
      <x v="1790"/>
      <x v="1807"/>
    </i>
    <i>
      <x v="178"/>
      <x v="1143"/>
      <x v="1174"/>
      <x v="1035"/>
      <x v="1202"/>
      <x v="1191"/>
      <x v="1791"/>
      <x v="1808"/>
    </i>
    <i>
      <x v="179"/>
      <x v="1144"/>
      <x v="1175"/>
      <x v="1036"/>
      <x v="1203"/>
      <x v="1192"/>
      <x v="1792"/>
      <x v="1809"/>
    </i>
    <i>
      <x v="180"/>
      <x v="1145"/>
      <x v="1176"/>
      <x v="1037"/>
      <x v="1204"/>
      <x v="1193"/>
      <x v="1793"/>
      <x v="1810"/>
    </i>
    <i>
      <x v="181"/>
      <x v="1146"/>
      <x v="1177"/>
      <x v="1038"/>
      <x v="1205"/>
      <x v="1194"/>
      <x v="1794"/>
      <x v="1811"/>
    </i>
    <i>
      <x v="182"/>
      <x v="1147"/>
      <x v="1178"/>
      <x v="1039"/>
      <x v="1206"/>
      <x v="1195"/>
      <x v="1795"/>
      <x v="1812"/>
    </i>
    <i>
      <x v="183"/>
      <x v="1148"/>
      <x v="1179"/>
      <x v="1040"/>
      <x v="1207"/>
      <x v="1196"/>
      <x v="1796"/>
      <x v="1813"/>
    </i>
    <i>
      <x v="184"/>
      <x v="1149"/>
      <x v="1180"/>
      <x v="1041"/>
      <x v="1208"/>
      <x v="1197"/>
      <x v="1797"/>
      <x v="1814"/>
    </i>
    <i>
      <x v="185"/>
      <x v="1150"/>
      <x v="1181"/>
      <x v="1042"/>
      <x v="1209"/>
      <x v="1198"/>
      <x v="1798"/>
      <x v="1815"/>
    </i>
    <i>
      <x v="186"/>
      <x v="1151"/>
      <x v="1182"/>
      <x v="1043"/>
      <x v="1210"/>
      <x v="1199"/>
      <x v="1799"/>
      <x v="1816"/>
    </i>
    <i>
      <x v="187"/>
      <x v="1152"/>
      <x v="1183"/>
      <x v="1044"/>
      <x v="1211"/>
      <x v="1200"/>
      <x v="1800"/>
      <x v="1817"/>
    </i>
    <i>
      <x v="188"/>
      <x v="1153"/>
      <x v="1184"/>
      <x v="1045"/>
      <x v="1212"/>
      <x v="1201"/>
      <x v="1801"/>
      <x v="1818"/>
    </i>
    <i>
      <x v="189"/>
      <x v="1154"/>
      <x v="1186"/>
      <x v="1046"/>
      <x v="1214"/>
      <x v="1203"/>
      <x v="1803"/>
      <x v="1820"/>
    </i>
    <i>
      <x v="190"/>
      <x v="1155"/>
      <x v="1187"/>
      <x v="1047"/>
      <x v="1215"/>
      <x v="1204"/>
      <x v="1804"/>
      <x v="1821"/>
    </i>
    <i>
      <x v="191"/>
      <x v="1156"/>
      <x v="1188"/>
      <x v="1048"/>
      <x v="1216"/>
      <x v="1205"/>
      <x v="1805"/>
      <x v="1822"/>
    </i>
    <i>
      <x v="192"/>
      <x v="1157"/>
      <x v="1189"/>
      <x v="1049"/>
      <x v="1217"/>
      <x v="1206"/>
      <x v="1806"/>
      <x v="1823"/>
    </i>
    <i>
      <x v="193"/>
      <x v="1158"/>
      <x v="1190"/>
      <x v="1050"/>
      <x v="1218"/>
      <x v="1207"/>
      <x v="1807"/>
      <x v="1824"/>
    </i>
    <i>
      <x v="194"/>
      <x v="1159"/>
      <x v="1191"/>
      <x v="1051"/>
      <x v="1219"/>
      <x v="1208"/>
      <x v="1808"/>
      <x v="1825"/>
    </i>
    <i>
      <x v="195"/>
      <x v="1160"/>
      <x v="1192"/>
      <x v="1052"/>
      <x v="1220"/>
      <x v="1209"/>
      <x v="1809"/>
      <x v="1826"/>
    </i>
    <i>
      <x v="196"/>
      <x v="1161"/>
      <x v="1193"/>
      <x v="1053"/>
      <x v="1221"/>
      <x v="1210"/>
      <x v="1810"/>
      <x v="1827"/>
    </i>
    <i>
      <x v="197"/>
      <x v="1162"/>
      <x v="1194"/>
      <x v="1054"/>
      <x v="1222"/>
      <x v="1211"/>
      <x v="1811"/>
      <x v="1828"/>
    </i>
    <i>
      <x v="198"/>
      <x v="1163"/>
      <x v="1195"/>
      <x v="1055"/>
      <x v="1223"/>
      <x v="1212"/>
      <x v="1812"/>
      <x v="1829"/>
    </i>
    <i>
      <x v="199"/>
      <x v="1164"/>
      <x v="1196"/>
      <x v="1056"/>
      <x v="1224"/>
      <x v="1213"/>
      <x v="1813"/>
      <x v="1830"/>
    </i>
    <i>
      <x v="200"/>
      <x v="1165"/>
      <x v="1197"/>
      <x v="1057"/>
      <x v="1225"/>
      <x v="1214"/>
      <x v="1814"/>
      <x v="1831"/>
    </i>
    <i>
      <x v="201"/>
      <x v="1166"/>
      <x v="1198"/>
      <x v="1058"/>
      <x v="1226"/>
      <x v="1215"/>
      <x v="1815"/>
      <x v="1832"/>
    </i>
    <i>
      <x v="202"/>
      <x v="1167"/>
      <x v="1199"/>
      <x v="1059"/>
      <x v="1227"/>
      <x v="1216"/>
      <x v="1816"/>
      <x v="1833"/>
    </i>
    <i>
      <x v="203"/>
      <x v="1168"/>
      <x v="1200"/>
      <x v="1060"/>
      <x v="1228"/>
      <x v="1217"/>
      <x v="1817"/>
      <x v="1834"/>
    </i>
    <i>
      <x v="408"/>
      <x v="1025"/>
      <x v="1052"/>
      <x v="914"/>
      <x v="1077"/>
      <x v="1069"/>
      <x v="1669"/>
      <x v="1683"/>
    </i>
    <i>
      <x v="410"/>
      <x/>
      <x/>
      <x v="971"/>
      <x v="1136"/>
      <x/>
      <x/>
      <x v="1742"/>
    </i>
    <i>
      <x v="411"/>
      <x/>
      <x v="1152"/>
      <x v="1012"/>
      <x v="1179"/>
      <x v="1169"/>
      <x v="1769"/>
      <x v="1785"/>
    </i>
    <i>
      <x v="417"/>
      <x v="513"/>
      <x v="526"/>
      <x v="480"/>
      <x v="535"/>
      <x v="526"/>
      <x v="1125"/>
      <x v="1134"/>
    </i>
    <i>
      <x v="418"/>
      <x v="995"/>
      <x v="1021"/>
      <x v="883"/>
      <x v="1046"/>
      <x v="1038"/>
      <x v="1638"/>
      <x v="1652"/>
    </i>
    <i>
      <x v="419"/>
      <x v="1092"/>
      <x v="1122"/>
      <x v="984"/>
      <x v="1149"/>
      <x v="1139"/>
      <x v="1739"/>
      <x v="1755"/>
    </i>
    <i>
      <x v="420"/>
      <x/>
      <x v="991"/>
      <x/>
      <x v="1016"/>
      <x v="1008"/>
      <x v="1608"/>
      <x v="1622"/>
    </i>
    <i>
      <x v="421"/>
      <x/>
      <x v="997"/>
      <x/>
      <x v="1022"/>
      <x v="1014"/>
      <x v="1614"/>
      <x v="1628"/>
    </i>
    <i>
      <x v="422"/>
      <x/>
      <x/>
      <x v="920"/>
      <x v="1083"/>
      <x/>
      <x/>
      <x v="1689"/>
    </i>
    <i>
      <x v="423"/>
      <x/>
      <x v="1095"/>
      <x/>
      <x v="1121"/>
      <x v="1112"/>
      <x v="1712"/>
      <x v="1727"/>
    </i>
    <i>
      <x v="424"/>
      <x/>
      <x/>
      <x v="1023"/>
      <x v="1190"/>
      <x/>
      <x/>
      <x v="1796"/>
    </i>
    <i>
      <x v="425"/>
      <x/>
      <x v="1185"/>
      <x/>
      <x v="1213"/>
      <x v="1202"/>
      <x v="1802"/>
      <x v="1819"/>
    </i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1" dT="2026-06-11T20:03:39.35" personId="{4851483C-F0D6-4EE5-A3C1-1A8DC853744A}" id="{8C0101AF-5972-4CA5-A79E-AFED686E99B3}">
    <text>Ver nota 1</text>
  </threadedComment>
  <threadedComment ref="AK1" dT="2026-06-11T19:56:49.80" personId="{4851483C-F0D6-4EE5-A3C1-1A8DC853744A}" id="{B5DEFF37-8FF5-4EA9-83CB-3FC7F3E525AE}">
    <text>Ver nota 2</text>
  </threadedComment>
  <threadedComment ref="AL1" dT="2026-06-11T20:15:47.37" personId="{4851483C-F0D6-4EE5-A3C1-1A8DC853744A}" id="{FC09414F-E711-4BBD-869D-2CC831A26C02}">
    <text>Ver nota 3</text>
  </threadedComment>
  <threadedComment ref="AM1" dT="2026-06-11T20:26:04.27" personId="{4851483C-F0D6-4EE5-A3C1-1A8DC853744A}" id="{5A5403CB-EFD3-4F37-A4C1-1748ADACD11F}">
    <text xml:space="preserve">Ver nota 4
</text>
  </threadedComment>
  <threadedComment ref="AN1" dT="2026-06-11T20:27:09.90" personId="{4851483C-F0D6-4EE5-A3C1-1A8DC853744A}" id="{712DE6E2-3CEB-4299-9772-3534F7989F98}">
    <text xml:space="preserve">Ver nota 5
</text>
  </threadedComment>
  <threadedComment ref="AO1" dT="2026-06-11T20:32:37.59" personId="{4851483C-F0D6-4EE5-A3C1-1A8DC853744A}" id="{2B089F2D-D79E-4D60-AEB0-85C8A8AD9BBB}">
    <text xml:space="preserve">Ver nota 6
</text>
  </threadedComment>
  <threadedComment ref="AR1" dT="2026-07-10T13:13:35.90" personId="{4851483C-F0D6-4EE5-A3C1-1A8DC853744A}" id="{38B5C730-B385-4F62-8CB7-FA6456AF82C8}">
    <text>VER NOTA 7</text>
  </threadedComment>
  <threadedComment ref="R2" dT="2026-08-10T14:05:24.85" personId="{4851483C-F0D6-4EE5-A3C1-1A8DC853744A}" id="{0B2431F9-81DD-4D9A-AB5A-9ADCDDC9471F}">
    <text>Esta en la cuenta de mudanzas y remodelaciones mayores</text>
  </threadedComment>
  <threadedComment ref="P118" dT="2026-08-10T14:01:31.77" personId="{4851483C-F0D6-4EE5-A3C1-1A8DC853744A}" id="{6EF130E0-4F2E-4643-9E38-68312B76B439}">
    <text>PAGO ALCALDIA (LICENCIA DISTRITO CAPITAL)</text>
  </threadedComment>
  <threadedComment ref="X118" dT="2026-08-10T14:01:43.11" personId="{4851483C-F0D6-4EE5-A3C1-1A8DC853744A}" id="{3C832719-C5A3-4A04-8E0A-BC326CC8EE6B}">
    <text>PAGO ALCALDIA (LICENCIA DISTRITO CAPITAL)</text>
  </threadedComment>
  <threadedComment ref="R145" dT="2026-08-10T13:53:51.48" personId="{4851483C-F0D6-4EE5-A3C1-1A8DC853744A}" id="{B7C5C788-2CF5-424E-B609-CA1270E884AC}">
    <text>MERMA POR CIERRE DE TIENDA - LECTOR DE HUELLA FUTRONIC</text>
  </threadedComment>
  <threadedComment ref="Z145" dT="2026-08-10T13:54:27.20" personId="{4851483C-F0D6-4EE5-A3C1-1A8DC853744A}" id="{6C6BEDAD-FD1E-406A-99A1-D32982E420B7}">
    <text>MERMA POR CIERRE DE TIENDA - papel de aluminio</text>
  </threadedComment>
  <threadedComment ref="R147" dT="2026-08-10T13:57:28.64" personId="{4851483C-F0D6-4EE5-A3C1-1A8DC853744A}" id="{F559D279-01CB-4079-859E-821B46EE83B8}">
    <text>Merma por cierre de tienda</text>
  </threadedComment>
  <threadedComment ref="Z147" dT="2026-08-10T13:57:39.14" personId="{4851483C-F0D6-4EE5-A3C1-1A8DC853744A}" id="{DD6548C6-6E61-4ED5-A028-58DB2DA7D8DE}">
    <text>Merma por cierre de tienda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70718-DDCA-46BB-8F20-91FA675C8F55}">
  <sheetPr>
    <tabColor theme="9"/>
  </sheetPr>
  <dimension ref="A3:I227"/>
  <sheetViews>
    <sheetView zoomScale="80" zoomScaleNormal="80" workbookViewId="0">
      <selection activeCell="G20" activeCellId="1" sqref="B227 G20"/>
    </sheetView>
  </sheetViews>
  <sheetFormatPr baseColWidth="10" defaultRowHeight="14.4" x14ac:dyDescent="0.3"/>
  <cols>
    <col min="1" max="1" width="19.77734375" customWidth="1"/>
    <col min="2" max="2" width="14.21875" customWidth="1"/>
    <col min="3" max="3" width="15.33203125" customWidth="1"/>
    <col min="4" max="4" width="14.88671875" customWidth="1"/>
    <col min="5" max="5" width="16.109375" customWidth="1"/>
    <col min="6" max="6" width="18.6640625" customWidth="1"/>
    <col min="7" max="7" width="13.5546875" customWidth="1"/>
    <col min="8" max="8" width="13.6640625" customWidth="1"/>
    <col min="9" max="9" width="34.21875" customWidth="1"/>
  </cols>
  <sheetData>
    <row r="3" spans="1:9" x14ac:dyDescent="0.3">
      <c r="A3" s="124" t="s">
        <v>1003</v>
      </c>
      <c r="B3" s="124"/>
      <c r="C3" s="124"/>
      <c r="F3" s="124" t="s">
        <v>1006</v>
      </c>
      <c r="G3" s="124"/>
      <c r="H3" s="124"/>
      <c r="I3" s="94"/>
    </row>
    <row r="4" spans="1:9" x14ac:dyDescent="0.3">
      <c r="A4" s="41" t="s">
        <v>6</v>
      </c>
      <c r="B4" s="41" t="s">
        <v>310</v>
      </c>
      <c r="C4" s="41" t="s">
        <v>718</v>
      </c>
      <c r="F4" s="41" t="s">
        <v>6</v>
      </c>
      <c r="G4" s="41" t="s">
        <v>310</v>
      </c>
      <c r="H4" s="41" t="s">
        <v>718</v>
      </c>
      <c r="I4" s="94"/>
    </row>
    <row r="5" spans="1:9" x14ac:dyDescent="0.3">
      <c r="A5" t="s">
        <v>311</v>
      </c>
      <c r="B5" s="3">
        <v>49023.839999999946</v>
      </c>
      <c r="C5" s="3">
        <v>39729.409999999945</v>
      </c>
      <c r="F5" t="s">
        <v>301</v>
      </c>
      <c r="G5" s="3">
        <v>1245467.6400000001</v>
      </c>
      <c r="H5" s="3">
        <v>1635382.8900000006</v>
      </c>
      <c r="I5" s="94" t="s">
        <v>1007</v>
      </c>
    </row>
    <row r="6" spans="1:9" x14ac:dyDescent="0.3">
      <c r="A6" t="s">
        <v>313</v>
      </c>
      <c r="B6" s="3">
        <v>47200.369999999974</v>
      </c>
      <c r="C6" s="3">
        <v>40562.119999999908</v>
      </c>
      <c r="F6" t="s">
        <v>294</v>
      </c>
      <c r="G6" s="3">
        <v>43153.630000000034</v>
      </c>
      <c r="H6" s="3">
        <v>45844.310000000034</v>
      </c>
      <c r="I6" s="94" t="s">
        <v>1008</v>
      </c>
    </row>
    <row r="7" spans="1:9" x14ac:dyDescent="0.3">
      <c r="A7" t="s">
        <v>315</v>
      </c>
      <c r="B7" s="3">
        <v>64130.41</v>
      </c>
      <c r="C7" s="3">
        <v>72396.540000000081</v>
      </c>
      <c r="F7" t="s">
        <v>240</v>
      </c>
      <c r="G7" s="3">
        <v>14342.949999999992</v>
      </c>
      <c r="H7" s="3">
        <v>15056.989999999991</v>
      </c>
      <c r="I7" s="94" t="s">
        <v>1009</v>
      </c>
    </row>
    <row r="8" spans="1:9" x14ac:dyDescent="0.3">
      <c r="A8" t="s">
        <v>317</v>
      </c>
      <c r="B8" s="3">
        <v>46414.040000000008</v>
      </c>
      <c r="C8" s="3">
        <v>46940.820000000014</v>
      </c>
      <c r="F8" t="s">
        <v>241</v>
      </c>
      <c r="G8" s="3">
        <v>23427.75</v>
      </c>
      <c r="H8" s="3">
        <v>28833.02</v>
      </c>
      <c r="I8" s="94" t="s">
        <v>1010</v>
      </c>
    </row>
    <row r="9" spans="1:9" x14ac:dyDescent="0.3">
      <c r="A9" t="s">
        <v>719</v>
      </c>
      <c r="B9" s="3">
        <v>59025.21999999979</v>
      </c>
      <c r="C9" s="3">
        <v>54097.419999999802</v>
      </c>
      <c r="F9" t="s">
        <v>297</v>
      </c>
      <c r="G9" s="3">
        <v>19.14</v>
      </c>
      <c r="H9" s="3">
        <v>0</v>
      </c>
      <c r="I9" s="94"/>
    </row>
    <row r="10" spans="1:9" x14ac:dyDescent="0.3">
      <c r="A10" t="s">
        <v>319</v>
      </c>
      <c r="B10" s="3">
        <v>61641.290000000037</v>
      </c>
      <c r="C10" s="3">
        <v>51455.890000000101</v>
      </c>
      <c r="F10" t="s">
        <v>298</v>
      </c>
      <c r="G10" s="3">
        <v>538868.80000000016</v>
      </c>
      <c r="H10" s="3">
        <v>416831.91999999969</v>
      </c>
      <c r="I10" s="94" t="s">
        <v>1011</v>
      </c>
    </row>
    <row r="11" spans="1:9" x14ac:dyDescent="0.3">
      <c r="A11" t="s">
        <v>321</v>
      </c>
      <c r="B11" s="3">
        <v>55092.809999999976</v>
      </c>
      <c r="C11" s="3">
        <v>62230.800000000039</v>
      </c>
      <c r="F11" t="s">
        <v>242</v>
      </c>
      <c r="G11" s="3">
        <v>578017.900000002</v>
      </c>
      <c r="H11" s="3">
        <v>595224.93000000215</v>
      </c>
      <c r="I11" s="94" t="s">
        <v>1012</v>
      </c>
    </row>
    <row r="12" spans="1:9" x14ac:dyDescent="0.3">
      <c r="A12" s="90" t="s">
        <v>323</v>
      </c>
      <c r="B12" s="91">
        <v>0</v>
      </c>
      <c r="C12" s="91">
        <v>0</v>
      </c>
      <c r="F12" t="s">
        <v>243</v>
      </c>
      <c r="G12" s="3">
        <v>193641.4300000002</v>
      </c>
      <c r="H12" s="3">
        <v>849946.03999999841</v>
      </c>
      <c r="I12" s="94" t="s">
        <v>1013</v>
      </c>
    </row>
    <row r="13" spans="1:9" x14ac:dyDescent="0.3">
      <c r="A13" s="90" t="s">
        <v>324</v>
      </c>
      <c r="B13" s="91">
        <v>0</v>
      </c>
      <c r="C13" s="91">
        <v>0</v>
      </c>
      <c r="F13" t="s">
        <v>244</v>
      </c>
      <c r="G13" s="3">
        <v>994.2600000000001</v>
      </c>
      <c r="H13" s="3">
        <v>967.93000000000006</v>
      </c>
      <c r="I13" s="94" t="s">
        <v>1014</v>
      </c>
    </row>
    <row r="14" spans="1:9" x14ac:dyDescent="0.3">
      <c r="A14" t="s">
        <v>327</v>
      </c>
      <c r="B14" s="3">
        <v>40831.929999999957</v>
      </c>
      <c r="C14" s="3">
        <v>41135.179999999913</v>
      </c>
      <c r="F14" t="s">
        <v>296</v>
      </c>
      <c r="G14" s="3">
        <v>23365.789999999972</v>
      </c>
      <c r="H14" s="3">
        <v>117251.43000000002</v>
      </c>
      <c r="I14" s="94" t="s">
        <v>1015</v>
      </c>
    </row>
    <row r="15" spans="1:9" x14ac:dyDescent="0.3">
      <c r="A15" t="s">
        <v>328</v>
      </c>
      <c r="B15" s="3">
        <v>25361.179999999997</v>
      </c>
      <c r="C15" s="3">
        <v>29877.559999999983</v>
      </c>
      <c r="F15" t="s">
        <v>300</v>
      </c>
      <c r="G15" s="3">
        <v>65708.399999999994</v>
      </c>
      <c r="H15" s="3">
        <v>65359.7</v>
      </c>
      <c r="I15" s="94"/>
    </row>
    <row r="16" spans="1:9" x14ac:dyDescent="0.3">
      <c r="A16" t="s">
        <v>330</v>
      </c>
      <c r="B16" s="3">
        <v>41408.770000000055</v>
      </c>
      <c r="C16" s="3">
        <v>35083.370000000003</v>
      </c>
      <c r="F16" t="s">
        <v>670</v>
      </c>
      <c r="G16" s="3">
        <v>96.789999999999992</v>
      </c>
      <c r="H16" s="3">
        <v>4616.7800000000007</v>
      </c>
      <c r="I16" s="94"/>
    </row>
    <row r="17" spans="1:9" x14ac:dyDescent="0.3">
      <c r="A17" t="s">
        <v>332</v>
      </c>
      <c r="B17" s="3">
        <v>56729.439999999981</v>
      </c>
      <c r="C17" s="3">
        <v>48350.950000000004</v>
      </c>
      <c r="F17" t="s">
        <v>295</v>
      </c>
      <c r="G17" s="3">
        <v>798474.50999999989</v>
      </c>
      <c r="H17" s="3">
        <v>932148.65999999957</v>
      </c>
      <c r="I17" s="94" t="s">
        <v>1016</v>
      </c>
    </row>
    <row r="18" spans="1:9" x14ac:dyDescent="0.3">
      <c r="A18" t="s">
        <v>334</v>
      </c>
      <c r="B18" s="3">
        <v>35401.290000000059</v>
      </c>
      <c r="C18" s="3">
        <v>31794.64000000001</v>
      </c>
      <c r="F18" t="s">
        <v>753</v>
      </c>
      <c r="G18" s="3">
        <v>997.95999999999992</v>
      </c>
      <c r="H18" s="3">
        <v>862.24</v>
      </c>
      <c r="I18" s="94" t="s">
        <v>1017</v>
      </c>
    </row>
    <row r="19" spans="1:9" x14ac:dyDescent="0.3">
      <c r="A19" t="s">
        <v>336</v>
      </c>
      <c r="B19" s="3">
        <v>53754.660000000018</v>
      </c>
      <c r="C19" s="3">
        <v>51746.290000000081</v>
      </c>
      <c r="F19" t="s">
        <v>386</v>
      </c>
      <c r="G19" s="3">
        <v>176.6</v>
      </c>
      <c r="H19" s="3">
        <v>-320.46000000000004</v>
      </c>
    </row>
    <row r="20" spans="1:9" x14ac:dyDescent="0.3">
      <c r="A20" t="s">
        <v>338</v>
      </c>
      <c r="B20" s="3">
        <v>40650.949999999946</v>
      </c>
      <c r="C20" s="3">
        <v>45999.819999999985</v>
      </c>
      <c r="F20" s="44" t="s">
        <v>720</v>
      </c>
      <c r="G20" s="45">
        <f>SUM(G5:G19)</f>
        <v>3526753.5500000021</v>
      </c>
      <c r="H20" s="45">
        <f>SUM(H5:H19)</f>
        <v>4708006.3800000008</v>
      </c>
    </row>
    <row r="21" spans="1:9" x14ac:dyDescent="0.3">
      <c r="A21" t="s">
        <v>340</v>
      </c>
      <c r="B21" s="3">
        <v>52190.320000000065</v>
      </c>
      <c r="C21" s="3">
        <v>51828.389999999978</v>
      </c>
    </row>
    <row r="22" spans="1:9" x14ac:dyDescent="0.3">
      <c r="A22" t="s">
        <v>1004</v>
      </c>
      <c r="B22" s="3">
        <v>0</v>
      </c>
      <c r="C22" s="3">
        <v>38029.820000000007</v>
      </c>
    </row>
    <row r="23" spans="1:9" x14ac:dyDescent="0.3">
      <c r="A23" t="s">
        <v>342</v>
      </c>
      <c r="B23" s="3">
        <v>89752.630000000136</v>
      </c>
      <c r="C23" s="3">
        <v>79186.700000000041</v>
      </c>
    </row>
    <row r="24" spans="1:9" x14ac:dyDescent="0.3">
      <c r="A24" t="s">
        <v>344</v>
      </c>
      <c r="B24" s="3">
        <v>36692.630000000128</v>
      </c>
      <c r="C24" s="3">
        <v>47018.230000000127</v>
      </c>
      <c r="F24" s="42" t="s">
        <v>245</v>
      </c>
      <c r="G24" s="43">
        <v>13400.920000000022</v>
      </c>
      <c r="H24" s="43">
        <v>-149722.79999999976</v>
      </c>
    </row>
    <row r="25" spans="1:9" x14ac:dyDescent="0.3">
      <c r="A25" t="s">
        <v>346</v>
      </c>
      <c r="B25" s="3">
        <v>60108.490000000049</v>
      </c>
      <c r="C25" s="3">
        <v>43181.86999999993</v>
      </c>
    </row>
    <row r="26" spans="1:9" x14ac:dyDescent="0.3">
      <c r="A26" t="s">
        <v>348</v>
      </c>
      <c r="B26" s="3">
        <v>90014.109999999928</v>
      </c>
      <c r="C26" s="3">
        <v>66192.629999999845</v>
      </c>
      <c r="F26" s="92" t="s">
        <v>1018</v>
      </c>
      <c r="G26" s="93">
        <f>G24+G20</f>
        <v>3540154.4700000021</v>
      </c>
      <c r="H26" s="93">
        <f>H24+H20</f>
        <v>4558283.580000001</v>
      </c>
    </row>
    <row r="27" spans="1:9" x14ac:dyDescent="0.3">
      <c r="A27" t="s">
        <v>350</v>
      </c>
      <c r="B27" s="3">
        <v>37568.429999999935</v>
      </c>
      <c r="C27" s="3">
        <v>34535.519999999997</v>
      </c>
    </row>
    <row r="28" spans="1:9" x14ac:dyDescent="0.3">
      <c r="A28" t="s">
        <v>352</v>
      </c>
      <c r="B28" s="3">
        <v>54697.450000000033</v>
      </c>
      <c r="C28" s="3">
        <v>62895.260000000053</v>
      </c>
    </row>
    <row r="29" spans="1:9" x14ac:dyDescent="0.3">
      <c r="A29" t="s">
        <v>354</v>
      </c>
      <c r="B29" s="3">
        <v>35239.690000000046</v>
      </c>
      <c r="C29" s="3">
        <v>34550.520000000026</v>
      </c>
    </row>
    <row r="30" spans="1:9" x14ac:dyDescent="0.3">
      <c r="A30" t="s">
        <v>356</v>
      </c>
      <c r="B30" s="3">
        <v>40397.510000000068</v>
      </c>
      <c r="C30" s="3">
        <v>38736.610000000073</v>
      </c>
    </row>
    <row r="31" spans="1:9" x14ac:dyDescent="0.3">
      <c r="A31" t="s">
        <v>358</v>
      </c>
      <c r="B31" s="3">
        <v>39194.459999999963</v>
      </c>
      <c r="C31" s="3">
        <v>34749.900000000009</v>
      </c>
    </row>
    <row r="32" spans="1:9" x14ac:dyDescent="0.3">
      <c r="A32" t="s">
        <v>360</v>
      </c>
      <c r="B32" s="3">
        <v>101322.83000000037</v>
      </c>
      <c r="C32" s="3">
        <v>92309.460000000152</v>
      </c>
    </row>
    <row r="33" spans="1:3" x14ac:dyDescent="0.3">
      <c r="A33" t="s">
        <v>362</v>
      </c>
      <c r="B33" s="3">
        <v>58012.130000000114</v>
      </c>
      <c r="C33" s="3">
        <v>70389.000000000058</v>
      </c>
    </row>
    <row r="34" spans="1:3" x14ac:dyDescent="0.3">
      <c r="A34" t="s">
        <v>364</v>
      </c>
      <c r="B34" s="3">
        <v>60140.370000000163</v>
      </c>
      <c r="C34" s="3">
        <v>63475.850000000086</v>
      </c>
    </row>
    <row r="35" spans="1:3" x14ac:dyDescent="0.3">
      <c r="A35" t="s">
        <v>366</v>
      </c>
      <c r="B35" s="3">
        <v>44760.360000000175</v>
      </c>
      <c r="C35" s="3">
        <v>38903.250000000029</v>
      </c>
    </row>
    <row r="36" spans="1:3" x14ac:dyDescent="0.3">
      <c r="A36" t="s">
        <v>368</v>
      </c>
      <c r="B36" s="3">
        <v>59311.170000000129</v>
      </c>
      <c r="C36" s="3">
        <v>57708.450000000128</v>
      </c>
    </row>
    <row r="37" spans="1:3" x14ac:dyDescent="0.3">
      <c r="A37" t="s">
        <v>370</v>
      </c>
      <c r="B37" s="3">
        <v>61838.119999999966</v>
      </c>
      <c r="C37" s="3">
        <v>44466.349999999984</v>
      </c>
    </row>
    <row r="38" spans="1:3" x14ac:dyDescent="0.3">
      <c r="A38" t="s">
        <v>372</v>
      </c>
      <c r="B38" s="3">
        <v>45461.45999999997</v>
      </c>
      <c r="C38" s="3">
        <v>35402.430000000008</v>
      </c>
    </row>
    <row r="39" spans="1:3" x14ac:dyDescent="0.3">
      <c r="A39" t="s">
        <v>374</v>
      </c>
      <c r="B39" s="3">
        <v>49266.96999999995</v>
      </c>
      <c r="C39" s="3">
        <v>37809.030000000013</v>
      </c>
    </row>
    <row r="40" spans="1:3" x14ac:dyDescent="0.3">
      <c r="A40" t="s">
        <v>376</v>
      </c>
      <c r="B40" s="3">
        <v>45817.500000000058</v>
      </c>
      <c r="C40" s="3">
        <v>50587.860000000095</v>
      </c>
    </row>
    <row r="41" spans="1:3" x14ac:dyDescent="0.3">
      <c r="A41" t="s">
        <v>379</v>
      </c>
      <c r="B41" s="3">
        <v>43202.530000000006</v>
      </c>
      <c r="C41" s="3">
        <v>40952.309999999976</v>
      </c>
    </row>
    <row r="42" spans="1:3" x14ac:dyDescent="0.3">
      <c r="A42" t="s">
        <v>381</v>
      </c>
      <c r="B42" s="3">
        <v>49825.590000000077</v>
      </c>
      <c r="C42" s="3">
        <v>44635.280000000028</v>
      </c>
    </row>
    <row r="43" spans="1:3" x14ac:dyDescent="0.3">
      <c r="A43" t="s">
        <v>384</v>
      </c>
      <c r="B43" s="3">
        <v>68639.550000000017</v>
      </c>
      <c r="C43" s="3">
        <v>50906.440000000097</v>
      </c>
    </row>
    <row r="44" spans="1:3" x14ac:dyDescent="0.3">
      <c r="A44" t="s">
        <v>388</v>
      </c>
      <c r="B44" s="3">
        <v>9.09</v>
      </c>
      <c r="C44" s="3">
        <v>9.09</v>
      </c>
    </row>
    <row r="45" spans="1:3" x14ac:dyDescent="0.3">
      <c r="A45" t="s">
        <v>389</v>
      </c>
      <c r="B45" s="3">
        <v>56963.179999999986</v>
      </c>
      <c r="C45" s="3">
        <v>44588.300000000047</v>
      </c>
    </row>
    <row r="46" spans="1:3" x14ac:dyDescent="0.3">
      <c r="A46" t="s">
        <v>391</v>
      </c>
      <c r="B46" s="3">
        <v>64764.100000000115</v>
      </c>
      <c r="C46" s="3">
        <v>56942.95000000015</v>
      </c>
    </row>
    <row r="47" spans="1:3" x14ac:dyDescent="0.3">
      <c r="A47" t="s">
        <v>393</v>
      </c>
      <c r="B47" s="3">
        <v>56658.92000000018</v>
      </c>
      <c r="C47" s="3">
        <v>48673.060000000092</v>
      </c>
    </row>
    <row r="48" spans="1:3" x14ac:dyDescent="0.3">
      <c r="A48" t="s">
        <v>395</v>
      </c>
      <c r="B48" s="3">
        <v>87520.490000000034</v>
      </c>
      <c r="C48" s="3">
        <v>82302.25999999998</v>
      </c>
    </row>
    <row r="49" spans="1:3" x14ac:dyDescent="0.3">
      <c r="A49" t="s">
        <v>397</v>
      </c>
      <c r="B49" s="3">
        <v>48159.370000000054</v>
      </c>
      <c r="C49" s="3">
        <v>40975.629999999983</v>
      </c>
    </row>
    <row r="50" spans="1:3" x14ac:dyDescent="0.3">
      <c r="A50" t="s">
        <v>399</v>
      </c>
      <c r="B50" s="3">
        <v>51555.959999999985</v>
      </c>
      <c r="C50" s="3">
        <v>46395.539999999972</v>
      </c>
    </row>
    <row r="51" spans="1:3" x14ac:dyDescent="0.3">
      <c r="A51" t="s">
        <v>401</v>
      </c>
      <c r="B51" s="3">
        <v>111588.46000000012</v>
      </c>
      <c r="C51" s="3">
        <v>77425.449999999881</v>
      </c>
    </row>
    <row r="52" spans="1:3" x14ac:dyDescent="0.3">
      <c r="A52" t="s">
        <v>402</v>
      </c>
      <c r="B52" s="3">
        <v>84924.54999999993</v>
      </c>
      <c r="C52" s="3">
        <v>70725.700000000055</v>
      </c>
    </row>
    <row r="53" spans="1:3" x14ac:dyDescent="0.3">
      <c r="A53" t="s">
        <v>1005</v>
      </c>
      <c r="B53" s="3">
        <v>63728.389999999985</v>
      </c>
      <c r="C53" s="3">
        <v>46452.050000000134</v>
      </c>
    </row>
    <row r="54" spans="1:3" x14ac:dyDescent="0.3">
      <c r="A54" t="s">
        <v>404</v>
      </c>
      <c r="B54" s="3">
        <v>70367.659999999887</v>
      </c>
      <c r="C54" s="3">
        <v>58497.59</v>
      </c>
    </row>
    <row r="55" spans="1:3" x14ac:dyDescent="0.3">
      <c r="A55" t="s">
        <v>406</v>
      </c>
      <c r="B55" s="3">
        <v>77816.640000000174</v>
      </c>
      <c r="C55" s="3">
        <v>58563.450000000055</v>
      </c>
    </row>
    <row r="56" spans="1:3" x14ac:dyDescent="0.3">
      <c r="A56" t="s">
        <v>408</v>
      </c>
      <c r="B56" s="3">
        <v>41639.759999999973</v>
      </c>
      <c r="C56" s="3">
        <v>31683.730000000029</v>
      </c>
    </row>
    <row r="57" spans="1:3" x14ac:dyDescent="0.3">
      <c r="A57" t="s">
        <v>410</v>
      </c>
      <c r="B57" s="3">
        <v>110380.24000000005</v>
      </c>
      <c r="C57" s="3">
        <v>94644.03000000013</v>
      </c>
    </row>
    <row r="58" spans="1:3" x14ac:dyDescent="0.3">
      <c r="A58" t="s">
        <v>412</v>
      </c>
      <c r="B58" s="3">
        <v>89574.160000000033</v>
      </c>
      <c r="C58" s="3">
        <v>81177.78000000013</v>
      </c>
    </row>
    <row r="59" spans="1:3" x14ac:dyDescent="0.3">
      <c r="A59" t="s">
        <v>414</v>
      </c>
      <c r="B59" s="3">
        <v>123235.61000000004</v>
      </c>
      <c r="C59" s="3">
        <v>87077.87000000001</v>
      </c>
    </row>
    <row r="60" spans="1:3" x14ac:dyDescent="0.3">
      <c r="A60" t="s">
        <v>416</v>
      </c>
      <c r="B60" s="3">
        <v>65743.309999999954</v>
      </c>
      <c r="C60" s="3">
        <v>43276.97000000003</v>
      </c>
    </row>
    <row r="61" spans="1:3" x14ac:dyDescent="0.3">
      <c r="A61" s="90" t="s">
        <v>739</v>
      </c>
      <c r="B61" s="91">
        <v>0</v>
      </c>
      <c r="C61" s="91">
        <v>0</v>
      </c>
    </row>
    <row r="62" spans="1:3" x14ac:dyDescent="0.3">
      <c r="A62" t="s">
        <v>418</v>
      </c>
      <c r="B62" s="3">
        <v>52019.570000000029</v>
      </c>
      <c r="C62" s="3">
        <v>56345.780000000021</v>
      </c>
    </row>
    <row r="63" spans="1:3" x14ac:dyDescent="0.3">
      <c r="A63" t="s">
        <v>420</v>
      </c>
      <c r="B63" s="3">
        <v>35648.359999999964</v>
      </c>
      <c r="C63" s="3">
        <v>36225.049999999981</v>
      </c>
    </row>
    <row r="64" spans="1:3" x14ac:dyDescent="0.3">
      <c r="A64" t="s">
        <v>422</v>
      </c>
      <c r="B64" s="3">
        <v>50251.8500000001</v>
      </c>
      <c r="C64" s="3">
        <v>61274.170000000064</v>
      </c>
    </row>
    <row r="65" spans="1:3" x14ac:dyDescent="0.3">
      <c r="A65" t="s">
        <v>424</v>
      </c>
      <c r="B65" s="3">
        <v>42624.729999999945</v>
      </c>
      <c r="C65" s="3">
        <v>43799.089999999982</v>
      </c>
    </row>
    <row r="66" spans="1:3" x14ac:dyDescent="0.3">
      <c r="A66" t="s">
        <v>426</v>
      </c>
      <c r="B66" s="3">
        <v>43030.379999999961</v>
      </c>
      <c r="C66" s="3">
        <v>46533.710000000021</v>
      </c>
    </row>
    <row r="67" spans="1:3" x14ac:dyDescent="0.3">
      <c r="A67" t="s">
        <v>428</v>
      </c>
      <c r="B67" s="3">
        <v>40139.670000000093</v>
      </c>
      <c r="C67" s="3">
        <v>46925.900000000031</v>
      </c>
    </row>
    <row r="68" spans="1:3" x14ac:dyDescent="0.3">
      <c r="A68" t="s">
        <v>430</v>
      </c>
      <c r="B68" s="3">
        <v>32822.099999999969</v>
      </c>
      <c r="C68" s="3">
        <v>26250.679999999953</v>
      </c>
    </row>
    <row r="69" spans="1:3" x14ac:dyDescent="0.3">
      <c r="A69" t="s">
        <v>432</v>
      </c>
      <c r="B69" s="3">
        <v>71797.550000000032</v>
      </c>
      <c r="C69" s="3">
        <v>58827.8500000001</v>
      </c>
    </row>
    <row r="70" spans="1:3" x14ac:dyDescent="0.3">
      <c r="A70" s="90" t="s">
        <v>434</v>
      </c>
      <c r="B70" s="91">
        <v>0</v>
      </c>
      <c r="C70" s="91">
        <v>0</v>
      </c>
    </row>
    <row r="71" spans="1:3" x14ac:dyDescent="0.3">
      <c r="A71" t="s">
        <v>435</v>
      </c>
      <c r="B71" s="3">
        <v>83025.8100000001</v>
      </c>
      <c r="C71" s="3">
        <v>68237.690000000061</v>
      </c>
    </row>
    <row r="72" spans="1:3" x14ac:dyDescent="0.3">
      <c r="A72" t="s">
        <v>437</v>
      </c>
      <c r="B72" s="3">
        <v>83807.050000000265</v>
      </c>
      <c r="C72" s="3">
        <v>53632.17000000002</v>
      </c>
    </row>
    <row r="73" spans="1:3" x14ac:dyDescent="0.3">
      <c r="A73" t="s">
        <v>439</v>
      </c>
      <c r="B73" s="3">
        <v>121611.88000000011</v>
      </c>
      <c r="C73" s="3">
        <v>96262.919999999969</v>
      </c>
    </row>
    <row r="74" spans="1:3" x14ac:dyDescent="0.3">
      <c r="A74" t="s">
        <v>441</v>
      </c>
      <c r="B74" s="3">
        <v>42569.500000000131</v>
      </c>
      <c r="C74" s="3">
        <v>29723.630000000037</v>
      </c>
    </row>
    <row r="75" spans="1:3" x14ac:dyDescent="0.3">
      <c r="A75" t="s">
        <v>443</v>
      </c>
      <c r="B75" s="3">
        <v>58687.040000000008</v>
      </c>
      <c r="C75" s="3">
        <v>54210.849999999919</v>
      </c>
    </row>
    <row r="76" spans="1:3" x14ac:dyDescent="0.3">
      <c r="A76" t="s">
        <v>445</v>
      </c>
      <c r="B76" s="3">
        <v>42087.709999999934</v>
      </c>
      <c r="C76" s="3">
        <v>73512.640000000174</v>
      </c>
    </row>
    <row r="77" spans="1:3" x14ac:dyDescent="0.3">
      <c r="A77" t="s">
        <v>446</v>
      </c>
      <c r="B77" s="3">
        <v>55867.379999999976</v>
      </c>
      <c r="C77" s="3">
        <v>49603.399999999987</v>
      </c>
    </row>
    <row r="78" spans="1:3" x14ac:dyDescent="0.3">
      <c r="A78" t="s">
        <v>448</v>
      </c>
      <c r="B78" s="3">
        <v>57143.520000000033</v>
      </c>
      <c r="C78" s="3">
        <v>48357.770000000077</v>
      </c>
    </row>
    <row r="79" spans="1:3" x14ac:dyDescent="0.3">
      <c r="A79" t="s">
        <v>451</v>
      </c>
      <c r="B79" s="3">
        <v>406.17000000000007</v>
      </c>
      <c r="C79" s="3">
        <v>1805.3799999999994</v>
      </c>
    </row>
    <row r="80" spans="1:3" x14ac:dyDescent="0.3">
      <c r="A80" t="s">
        <v>452</v>
      </c>
      <c r="B80" s="3">
        <v>36389.400000000045</v>
      </c>
      <c r="C80" s="3">
        <v>42181.25</v>
      </c>
    </row>
    <row r="81" spans="1:3" x14ac:dyDescent="0.3">
      <c r="A81" t="s">
        <v>454</v>
      </c>
      <c r="B81" s="3">
        <v>47699.760000000097</v>
      </c>
      <c r="C81" s="3">
        <v>42408.930000000066</v>
      </c>
    </row>
    <row r="82" spans="1:3" x14ac:dyDescent="0.3">
      <c r="A82" t="s">
        <v>456</v>
      </c>
      <c r="B82" s="3">
        <v>60925.31</v>
      </c>
      <c r="C82" s="3">
        <v>58499.709999999934</v>
      </c>
    </row>
    <row r="83" spans="1:3" x14ac:dyDescent="0.3">
      <c r="A83" t="s">
        <v>458</v>
      </c>
      <c r="B83" s="3">
        <v>83079.350000000195</v>
      </c>
      <c r="C83" s="3">
        <v>56757.750000000007</v>
      </c>
    </row>
    <row r="84" spans="1:3" x14ac:dyDescent="0.3">
      <c r="A84" t="s">
        <v>460</v>
      </c>
      <c r="B84" s="3">
        <v>48814.760000000038</v>
      </c>
      <c r="C84" s="3">
        <v>30420.48000000004</v>
      </c>
    </row>
    <row r="85" spans="1:3" x14ac:dyDescent="0.3">
      <c r="A85" t="s">
        <v>462</v>
      </c>
      <c r="B85" s="3">
        <v>23205.869999999984</v>
      </c>
      <c r="C85" s="3">
        <v>13546.640000000001</v>
      </c>
    </row>
    <row r="86" spans="1:3" x14ac:dyDescent="0.3">
      <c r="A86" t="s">
        <v>463</v>
      </c>
      <c r="B86" s="3">
        <v>28008.51999999999</v>
      </c>
      <c r="C86" s="3">
        <v>14025.409999999996</v>
      </c>
    </row>
    <row r="87" spans="1:3" x14ac:dyDescent="0.3">
      <c r="A87" t="s">
        <v>464</v>
      </c>
      <c r="B87" s="3">
        <v>22263.459999999981</v>
      </c>
      <c r="C87" s="3">
        <v>18099.809999999987</v>
      </c>
    </row>
    <row r="88" spans="1:3" x14ac:dyDescent="0.3">
      <c r="A88" t="s">
        <v>465</v>
      </c>
      <c r="B88" s="3">
        <v>26487.459999999988</v>
      </c>
      <c r="C88" s="3">
        <v>19051.089999999989</v>
      </c>
    </row>
    <row r="89" spans="1:3" x14ac:dyDescent="0.3">
      <c r="A89" t="s">
        <v>466</v>
      </c>
      <c r="B89" s="3">
        <v>28823.339999999997</v>
      </c>
      <c r="C89" s="3">
        <v>21200.169999999973</v>
      </c>
    </row>
    <row r="90" spans="1:3" x14ac:dyDescent="0.3">
      <c r="A90" t="s">
        <v>471</v>
      </c>
      <c r="B90" s="3">
        <v>73362.359999999884</v>
      </c>
      <c r="C90" s="3">
        <v>54505.390000000087</v>
      </c>
    </row>
    <row r="91" spans="1:3" x14ac:dyDescent="0.3">
      <c r="A91" t="s">
        <v>473</v>
      </c>
      <c r="B91" s="3">
        <v>75062.499999999985</v>
      </c>
      <c r="C91" s="3">
        <v>76742.419999999925</v>
      </c>
    </row>
    <row r="92" spans="1:3" x14ac:dyDescent="0.3">
      <c r="A92" s="90" t="s">
        <v>741</v>
      </c>
      <c r="B92" s="91">
        <v>0</v>
      </c>
      <c r="C92" s="91">
        <v>0</v>
      </c>
    </row>
    <row r="93" spans="1:3" x14ac:dyDescent="0.3">
      <c r="A93" t="s">
        <v>475</v>
      </c>
      <c r="B93" s="3">
        <v>42700.240000000136</v>
      </c>
      <c r="C93" s="3">
        <v>37555.440000000082</v>
      </c>
    </row>
    <row r="94" spans="1:3" x14ac:dyDescent="0.3">
      <c r="A94" s="90" t="s">
        <v>742</v>
      </c>
      <c r="B94" s="91">
        <v>0</v>
      </c>
      <c r="C94" s="91">
        <v>0</v>
      </c>
    </row>
    <row r="95" spans="1:3" x14ac:dyDescent="0.3">
      <c r="A95" t="s">
        <v>477</v>
      </c>
      <c r="B95" s="3">
        <v>70938.520000000019</v>
      </c>
      <c r="C95" s="3">
        <v>61176.849999999955</v>
      </c>
    </row>
    <row r="96" spans="1:3" x14ac:dyDescent="0.3">
      <c r="A96" t="s">
        <v>479</v>
      </c>
      <c r="B96" s="3">
        <v>66000.720000000263</v>
      </c>
      <c r="C96" s="3">
        <v>54289.620000000083</v>
      </c>
    </row>
    <row r="97" spans="1:3" x14ac:dyDescent="0.3">
      <c r="A97" t="s">
        <v>481</v>
      </c>
      <c r="B97" s="3">
        <v>52957.709999999977</v>
      </c>
      <c r="C97" s="3">
        <v>42843.109999999891</v>
      </c>
    </row>
    <row r="98" spans="1:3" x14ac:dyDescent="0.3">
      <c r="A98" t="s">
        <v>483</v>
      </c>
      <c r="B98" s="3">
        <v>69255.809999999925</v>
      </c>
      <c r="C98" s="3">
        <v>65053.039999999928</v>
      </c>
    </row>
    <row r="99" spans="1:3" x14ac:dyDescent="0.3">
      <c r="A99" t="s">
        <v>484</v>
      </c>
      <c r="B99" s="3">
        <v>94685.060000000114</v>
      </c>
      <c r="C99" s="3">
        <v>68158.570000000007</v>
      </c>
    </row>
    <row r="100" spans="1:3" x14ac:dyDescent="0.3">
      <c r="A100" s="90" t="s">
        <v>486</v>
      </c>
      <c r="B100" s="91">
        <v>0</v>
      </c>
      <c r="C100" s="91">
        <v>0</v>
      </c>
    </row>
    <row r="101" spans="1:3" x14ac:dyDescent="0.3">
      <c r="A101" t="s">
        <v>487</v>
      </c>
      <c r="B101" s="3">
        <v>60793.859999999971</v>
      </c>
      <c r="C101" s="3">
        <v>58587.74</v>
      </c>
    </row>
    <row r="102" spans="1:3" x14ac:dyDescent="0.3">
      <c r="A102" t="s">
        <v>489</v>
      </c>
      <c r="B102" s="3">
        <v>53737.38000000015</v>
      </c>
      <c r="C102" s="3">
        <v>39534.350000000122</v>
      </c>
    </row>
    <row r="103" spans="1:3" x14ac:dyDescent="0.3">
      <c r="A103" t="s">
        <v>491</v>
      </c>
      <c r="B103" s="3">
        <v>69074.83000000006</v>
      </c>
      <c r="C103" s="3">
        <v>69169.05</v>
      </c>
    </row>
    <row r="104" spans="1:3" x14ac:dyDescent="0.3">
      <c r="A104" t="s">
        <v>493</v>
      </c>
      <c r="B104" s="3">
        <v>45554.579999999944</v>
      </c>
      <c r="C104" s="3">
        <v>39416.330000000045</v>
      </c>
    </row>
    <row r="105" spans="1:3" x14ac:dyDescent="0.3">
      <c r="A105" s="90" t="s">
        <v>495</v>
      </c>
      <c r="B105" s="91">
        <v>2182.83</v>
      </c>
      <c r="C105" s="91">
        <v>2230.04</v>
      </c>
    </row>
    <row r="106" spans="1:3" x14ac:dyDescent="0.3">
      <c r="A106" t="s">
        <v>496</v>
      </c>
      <c r="B106" s="3">
        <v>28254.27000000003</v>
      </c>
      <c r="C106" s="3">
        <v>18990.839999999989</v>
      </c>
    </row>
    <row r="107" spans="1:3" x14ac:dyDescent="0.3">
      <c r="A107" t="s">
        <v>498</v>
      </c>
      <c r="B107" s="3">
        <v>43271.94000000001</v>
      </c>
      <c r="C107" s="3">
        <v>35942.050000000039</v>
      </c>
    </row>
    <row r="108" spans="1:3" x14ac:dyDescent="0.3">
      <c r="A108" t="s">
        <v>499</v>
      </c>
      <c r="B108" s="3">
        <v>67996.649999999994</v>
      </c>
      <c r="C108" s="3">
        <v>63276.500000000116</v>
      </c>
    </row>
    <row r="109" spans="1:3" x14ac:dyDescent="0.3">
      <c r="A109" t="s">
        <v>501</v>
      </c>
      <c r="B109" s="3">
        <v>75677.959999999832</v>
      </c>
      <c r="C109" s="3">
        <v>55775.420000000136</v>
      </c>
    </row>
    <row r="110" spans="1:3" x14ac:dyDescent="0.3">
      <c r="A110" t="s">
        <v>503</v>
      </c>
      <c r="B110" s="3">
        <v>61637.140000000167</v>
      </c>
      <c r="C110" s="3">
        <v>58543.620000000119</v>
      </c>
    </row>
    <row r="111" spans="1:3" x14ac:dyDescent="0.3">
      <c r="A111" t="s">
        <v>505</v>
      </c>
      <c r="B111" s="3">
        <v>55337.369999999966</v>
      </c>
      <c r="C111" s="3">
        <v>50232.250000000051</v>
      </c>
    </row>
    <row r="112" spans="1:3" x14ac:dyDescent="0.3">
      <c r="A112" t="s">
        <v>506</v>
      </c>
      <c r="B112" s="3">
        <v>54723.849999999904</v>
      </c>
      <c r="C112" s="3">
        <v>38916.819999999905</v>
      </c>
    </row>
    <row r="113" spans="1:3" x14ac:dyDescent="0.3">
      <c r="A113" t="s">
        <v>508</v>
      </c>
      <c r="B113" s="3">
        <v>57341.660000000011</v>
      </c>
      <c r="C113" s="3">
        <v>47073.170000000064</v>
      </c>
    </row>
    <row r="114" spans="1:3" x14ac:dyDescent="0.3">
      <c r="A114" t="s">
        <v>510</v>
      </c>
      <c r="B114" s="3">
        <v>32445.78000000001</v>
      </c>
      <c r="C114" s="3">
        <v>20850.129999999994</v>
      </c>
    </row>
    <row r="115" spans="1:3" x14ac:dyDescent="0.3">
      <c r="A115" t="s">
        <v>512</v>
      </c>
      <c r="B115" s="3">
        <v>42422.44999999999</v>
      </c>
      <c r="C115" s="3">
        <v>41359.460000000014</v>
      </c>
    </row>
    <row r="116" spans="1:3" x14ac:dyDescent="0.3">
      <c r="A116" t="s">
        <v>514</v>
      </c>
      <c r="B116" s="3">
        <v>58005.230000000047</v>
      </c>
      <c r="C116" s="3">
        <v>45059.169999999933</v>
      </c>
    </row>
    <row r="117" spans="1:3" x14ac:dyDescent="0.3">
      <c r="A117" t="s">
        <v>515</v>
      </c>
      <c r="B117" s="3">
        <v>45019.759999999973</v>
      </c>
      <c r="C117" s="3">
        <v>53238.789999999914</v>
      </c>
    </row>
    <row r="118" spans="1:3" x14ac:dyDescent="0.3">
      <c r="A118" t="s">
        <v>517</v>
      </c>
      <c r="B118" s="3">
        <v>49715.94000000001</v>
      </c>
      <c r="C118" s="3">
        <v>46516.309999999925</v>
      </c>
    </row>
    <row r="119" spans="1:3" x14ac:dyDescent="0.3">
      <c r="A119" t="s">
        <v>519</v>
      </c>
      <c r="B119" s="3">
        <v>61212.01</v>
      </c>
      <c r="C119" s="3">
        <v>65889.84000000004</v>
      </c>
    </row>
    <row r="120" spans="1:3" x14ac:dyDescent="0.3">
      <c r="A120" t="s">
        <v>521</v>
      </c>
      <c r="B120" s="3">
        <v>23700.360000000004</v>
      </c>
      <c r="C120" s="3">
        <v>27397.599999999959</v>
      </c>
    </row>
    <row r="121" spans="1:3" x14ac:dyDescent="0.3">
      <c r="A121" t="s">
        <v>523</v>
      </c>
      <c r="B121" s="3">
        <v>41879.529999999904</v>
      </c>
      <c r="C121" s="3">
        <v>50670.61999999993</v>
      </c>
    </row>
    <row r="122" spans="1:3" x14ac:dyDescent="0.3">
      <c r="A122" s="90" t="s">
        <v>525</v>
      </c>
      <c r="B122" s="91">
        <v>3516.13</v>
      </c>
      <c r="C122" s="91">
        <v>3274.9300000000003</v>
      </c>
    </row>
    <row r="123" spans="1:3" x14ac:dyDescent="0.3">
      <c r="A123" t="s">
        <v>526</v>
      </c>
      <c r="B123" s="3">
        <v>65068.449999999953</v>
      </c>
      <c r="C123" s="3">
        <v>49527.229999999923</v>
      </c>
    </row>
    <row r="124" spans="1:3" x14ac:dyDescent="0.3">
      <c r="A124" t="s">
        <v>528</v>
      </c>
      <c r="B124" s="3">
        <v>57356.310000000049</v>
      </c>
      <c r="C124" s="3">
        <v>42199.380000000034</v>
      </c>
    </row>
    <row r="125" spans="1:3" x14ac:dyDescent="0.3">
      <c r="A125" t="s">
        <v>530</v>
      </c>
      <c r="B125" s="3">
        <v>59673.000000000073</v>
      </c>
      <c r="C125" s="3">
        <v>44570.170000000006</v>
      </c>
    </row>
    <row r="126" spans="1:3" x14ac:dyDescent="0.3">
      <c r="A126" t="s">
        <v>532</v>
      </c>
      <c r="B126" s="3">
        <v>50219.810000000136</v>
      </c>
      <c r="C126" s="3">
        <v>45365.209999999941</v>
      </c>
    </row>
    <row r="127" spans="1:3" x14ac:dyDescent="0.3">
      <c r="A127" t="s">
        <v>535</v>
      </c>
      <c r="B127" s="3">
        <v>63103.260000000009</v>
      </c>
      <c r="C127" s="3">
        <v>63114.5</v>
      </c>
    </row>
    <row r="128" spans="1:3" x14ac:dyDescent="0.3">
      <c r="A128" t="s">
        <v>537</v>
      </c>
      <c r="B128" s="3">
        <v>7111.0999999999985</v>
      </c>
      <c r="C128" s="3">
        <v>6420.8599999999988</v>
      </c>
    </row>
    <row r="129" spans="1:3" x14ac:dyDescent="0.3">
      <c r="A129" t="s">
        <v>538</v>
      </c>
      <c r="B129" s="3">
        <v>9480.0999999999949</v>
      </c>
      <c r="C129" s="3">
        <v>19955.429999999997</v>
      </c>
    </row>
    <row r="130" spans="1:3" x14ac:dyDescent="0.3">
      <c r="A130" t="s">
        <v>539</v>
      </c>
      <c r="B130" s="3">
        <v>4169.5599999999995</v>
      </c>
      <c r="C130" s="3">
        <v>5897.6899999999969</v>
      </c>
    </row>
    <row r="131" spans="1:3" x14ac:dyDescent="0.3">
      <c r="A131" t="s">
        <v>540</v>
      </c>
      <c r="B131" s="3">
        <v>9840.8899999999976</v>
      </c>
      <c r="C131" s="3">
        <v>9026.3099999999959</v>
      </c>
    </row>
    <row r="132" spans="1:3" x14ac:dyDescent="0.3">
      <c r="A132" t="s">
        <v>541</v>
      </c>
      <c r="B132" s="3">
        <v>9484.1500000000051</v>
      </c>
      <c r="C132" s="3">
        <v>8327.9000000000033</v>
      </c>
    </row>
    <row r="133" spans="1:3" x14ac:dyDescent="0.3">
      <c r="A133" t="s">
        <v>542</v>
      </c>
      <c r="B133" s="3">
        <v>9878.6000000000058</v>
      </c>
      <c r="C133" s="3">
        <v>8463.2899999999991</v>
      </c>
    </row>
    <row r="134" spans="1:3" x14ac:dyDescent="0.3">
      <c r="A134" t="s">
        <v>543</v>
      </c>
      <c r="B134" s="3">
        <v>23423.269999999997</v>
      </c>
      <c r="C134" s="3">
        <v>4652.7999999999993</v>
      </c>
    </row>
    <row r="135" spans="1:3" x14ac:dyDescent="0.3">
      <c r="A135" t="s">
        <v>544</v>
      </c>
      <c r="B135" s="3">
        <v>8578.7200000000066</v>
      </c>
      <c r="C135" s="3">
        <v>8830.7300000000014</v>
      </c>
    </row>
    <row r="136" spans="1:3" x14ac:dyDescent="0.3">
      <c r="A136" t="s">
        <v>545</v>
      </c>
      <c r="B136" s="3">
        <v>44302.189999999966</v>
      </c>
      <c r="C136" s="3">
        <v>43634.669999999933</v>
      </c>
    </row>
    <row r="137" spans="1:3" x14ac:dyDescent="0.3">
      <c r="A137" t="s">
        <v>547</v>
      </c>
      <c r="B137" s="3">
        <v>39897.619999999937</v>
      </c>
      <c r="C137" s="3">
        <v>36646.439999999959</v>
      </c>
    </row>
    <row r="138" spans="1:3" x14ac:dyDescent="0.3">
      <c r="A138" t="s">
        <v>548</v>
      </c>
      <c r="B138" s="3">
        <v>81735.600000000166</v>
      </c>
      <c r="C138" s="3">
        <v>80368.759999999878</v>
      </c>
    </row>
    <row r="139" spans="1:3" x14ac:dyDescent="0.3">
      <c r="A139" t="s">
        <v>550</v>
      </c>
      <c r="B139" s="3">
        <v>74890.120000000024</v>
      </c>
      <c r="C139" s="3">
        <v>85429.490000000151</v>
      </c>
    </row>
    <row r="140" spans="1:3" x14ac:dyDescent="0.3">
      <c r="A140" t="s">
        <v>552</v>
      </c>
      <c r="B140" s="3">
        <v>56681.500000000182</v>
      </c>
      <c r="C140" s="3">
        <v>40819.500000000124</v>
      </c>
    </row>
    <row r="141" spans="1:3" x14ac:dyDescent="0.3">
      <c r="A141" t="s">
        <v>554</v>
      </c>
      <c r="B141" s="3">
        <v>61373.850000000006</v>
      </c>
      <c r="C141" s="3">
        <v>51729.770000000019</v>
      </c>
    </row>
    <row r="142" spans="1:3" x14ac:dyDescent="0.3">
      <c r="A142" t="s">
        <v>556</v>
      </c>
      <c r="B142" s="3">
        <v>47642.730000000192</v>
      </c>
      <c r="C142" s="3">
        <v>41476.070000000102</v>
      </c>
    </row>
    <row r="143" spans="1:3" x14ac:dyDescent="0.3">
      <c r="A143" t="s">
        <v>558</v>
      </c>
      <c r="B143" s="3">
        <v>37522.820000000036</v>
      </c>
      <c r="C143" s="3">
        <v>61904.210000000145</v>
      </c>
    </row>
    <row r="144" spans="1:3" x14ac:dyDescent="0.3">
      <c r="A144" s="90" t="s">
        <v>560</v>
      </c>
      <c r="B144" s="91">
        <v>-150.01999999999998</v>
      </c>
      <c r="C144" s="91">
        <v>-149.94999999999999</v>
      </c>
    </row>
    <row r="145" spans="1:3" x14ac:dyDescent="0.3">
      <c r="A145" s="90" t="s">
        <v>561</v>
      </c>
      <c r="B145" s="91">
        <v>183.99</v>
      </c>
      <c r="C145" s="91">
        <v>0</v>
      </c>
    </row>
    <row r="146" spans="1:3" x14ac:dyDescent="0.3">
      <c r="A146" s="90" t="s">
        <v>562</v>
      </c>
      <c r="B146" s="91">
        <v>81.820000000000007</v>
      </c>
      <c r="C146" s="91">
        <v>75.950000000000031</v>
      </c>
    </row>
    <row r="147" spans="1:3" x14ac:dyDescent="0.3">
      <c r="A147" s="90" t="s">
        <v>563</v>
      </c>
      <c r="B147" s="91">
        <v>-14.709999999999999</v>
      </c>
      <c r="C147" s="91">
        <v>0</v>
      </c>
    </row>
    <row r="148" spans="1:3" x14ac:dyDescent="0.3">
      <c r="A148" s="90" t="s">
        <v>564</v>
      </c>
      <c r="B148" s="91">
        <v>102.78999999999999</v>
      </c>
      <c r="C148" s="91">
        <v>9.7399999999999984</v>
      </c>
    </row>
    <row r="149" spans="1:3" x14ac:dyDescent="0.3">
      <c r="A149" s="90" t="s">
        <v>565</v>
      </c>
      <c r="B149" s="91">
        <v>67</v>
      </c>
      <c r="C149" s="91">
        <v>67.69</v>
      </c>
    </row>
    <row r="150" spans="1:3" x14ac:dyDescent="0.3">
      <c r="A150" s="90" t="s">
        <v>566</v>
      </c>
      <c r="B150" s="91">
        <v>64.489999999999995</v>
      </c>
      <c r="C150" s="91">
        <v>0</v>
      </c>
    </row>
    <row r="151" spans="1:3" x14ac:dyDescent="0.3">
      <c r="A151" s="90" t="s">
        <v>567</v>
      </c>
      <c r="B151" s="91">
        <v>-9.39</v>
      </c>
      <c r="C151" s="91">
        <v>0</v>
      </c>
    </row>
    <row r="152" spans="1:3" x14ac:dyDescent="0.3">
      <c r="A152" s="90" t="s">
        <v>568</v>
      </c>
      <c r="B152" s="91">
        <v>66.960000000000022</v>
      </c>
      <c r="C152" s="91">
        <v>0</v>
      </c>
    </row>
    <row r="153" spans="1:3" x14ac:dyDescent="0.3">
      <c r="A153" s="90" t="s">
        <v>569</v>
      </c>
      <c r="B153" s="91">
        <v>18.410000000000004</v>
      </c>
      <c r="C153" s="91">
        <v>18.25</v>
      </c>
    </row>
    <row r="154" spans="1:3" x14ac:dyDescent="0.3">
      <c r="A154" t="s">
        <v>570</v>
      </c>
      <c r="B154" s="3">
        <v>72407.310000000201</v>
      </c>
      <c r="C154" s="3">
        <v>63617.0800000003</v>
      </c>
    </row>
    <row r="155" spans="1:3" x14ac:dyDescent="0.3">
      <c r="A155" t="s">
        <v>572</v>
      </c>
      <c r="B155" s="3">
        <v>57328.70999999997</v>
      </c>
      <c r="C155" s="3">
        <v>45660.589999999967</v>
      </c>
    </row>
    <row r="156" spans="1:3" x14ac:dyDescent="0.3">
      <c r="A156" t="s">
        <v>574</v>
      </c>
      <c r="B156" s="3">
        <v>56585.310000000056</v>
      </c>
      <c r="C156" s="3">
        <v>56808.37</v>
      </c>
    </row>
    <row r="157" spans="1:3" x14ac:dyDescent="0.3">
      <c r="A157" t="s">
        <v>576</v>
      </c>
      <c r="B157" s="3">
        <v>26800.789999999983</v>
      </c>
      <c r="C157" s="3">
        <v>24934.029999999959</v>
      </c>
    </row>
    <row r="158" spans="1:3" x14ac:dyDescent="0.3">
      <c r="A158" t="s">
        <v>578</v>
      </c>
      <c r="B158" s="3">
        <v>47198.740000000085</v>
      </c>
      <c r="C158" s="3">
        <v>35089.240000000005</v>
      </c>
    </row>
    <row r="159" spans="1:3" x14ac:dyDescent="0.3">
      <c r="A159" t="s">
        <v>580</v>
      </c>
      <c r="B159" s="3">
        <v>26965.169999999995</v>
      </c>
      <c r="C159" s="3">
        <v>33198.090000000011</v>
      </c>
    </row>
    <row r="160" spans="1:3" x14ac:dyDescent="0.3">
      <c r="A160" t="s">
        <v>582</v>
      </c>
      <c r="B160" s="3">
        <v>47940.590000000098</v>
      </c>
      <c r="C160" s="3">
        <v>40880.420000000136</v>
      </c>
    </row>
    <row r="161" spans="1:3" x14ac:dyDescent="0.3">
      <c r="A161" t="s">
        <v>584</v>
      </c>
      <c r="B161" s="3">
        <v>87190.180000000109</v>
      </c>
      <c r="C161" s="3">
        <v>70339.36000000003</v>
      </c>
    </row>
    <row r="162" spans="1:3" x14ac:dyDescent="0.3">
      <c r="A162" t="s">
        <v>587</v>
      </c>
      <c r="B162" s="3">
        <v>54262.200000000106</v>
      </c>
      <c r="C162" s="3">
        <v>46128.010000000097</v>
      </c>
    </row>
    <row r="163" spans="1:3" x14ac:dyDescent="0.3">
      <c r="A163" t="s">
        <v>588</v>
      </c>
      <c r="B163" s="3">
        <v>81379.56000000007</v>
      </c>
      <c r="C163" s="3">
        <v>75195.189999999799</v>
      </c>
    </row>
    <row r="164" spans="1:3" x14ac:dyDescent="0.3">
      <c r="A164" t="s">
        <v>590</v>
      </c>
      <c r="B164" s="3">
        <v>90827.139999999796</v>
      </c>
      <c r="C164" s="3">
        <v>78799.539999999906</v>
      </c>
    </row>
    <row r="165" spans="1:3" x14ac:dyDescent="0.3">
      <c r="A165" t="s">
        <v>592</v>
      </c>
      <c r="B165" s="3">
        <v>83295.979999999967</v>
      </c>
      <c r="C165" s="3">
        <v>82088.840000000069</v>
      </c>
    </row>
    <row r="166" spans="1:3" x14ac:dyDescent="0.3">
      <c r="A166" t="s">
        <v>594</v>
      </c>
      <c r="B166" s="3">
        <v>49856.810000000005</v>
      </c>
      <c r="C166" s="3">
        <v>41997.040000000066</v>
      </c>
    </row>
    <row r="167" spans="1:3" x14ac:dyDescent="0.3">
      <c r="A167" t="s">
        <v>596</v>
      </c>
      <c r="B167" s="3">
        <v>24273.809999999983</v>
      </c>
      <c r="C167" s="3">
        <v>14429.250000000005</v>
      </c>
    </row>
    <row r="168" spans="1:3" x14ac:dyDescent="0.3">
      <c r="A168" t="s">
        <v>597</v>
      </c>
      <c r="B168" s="3">
        <v>88400.140000000072</v>
      </c>
      <c r="C168" s="3">
        <v>73991.240000000078</v>
      </c>
    </row>
    <row r="169" spans="1:3" x14ac:dyDescent="0.3">
      <c r="A169" t="s">
        <v>599</v>
      </c>
      <c r="B169" s="3">
        <v>81084.290000000168</v>
      </c>
      <c r="C169" s="3">
        <v>66695.620000000039</v>
      </c>
    </row>
    <row r="170" spans="1:3" x14ac:dyDescent="0.3">
      <c r="A170" t="s">
        <v>600</v>
      </c>
      <c r="B170" s="3">
        <v>110717.34000000016</v>
      </c>
      <c r="C170" s="3">
        <v>80198.06</v>
      </c>
    </row>
    <row r="171" spans="1:3" x14ac:dyDescent="0.3">
      <c r="A171" t="s">
        <v>601</v>
      </c>
      <c r="B171" s="3">
        <v>80586.469999999885</v>
      </c>
      <c r="C171" s="3">
        <v>70237.939999999959</v>
      </c>
    </row>
    <row r="172" spans="1:3" x14ac:dyDescent="0.3">
      <c r="A172" t="s">
        <v>602</v>
      </c>
      <c r="B172" s="3">
        <v>33019.320000000007</v>
      </c>
      <c r="C172" s="3">
        <v>32793.589999999989</v>
      </c>
    </row>
    <row r="173" spans="1:3" x14ac:dyDescent="0.3">
      <c r="A173" t="s">
        <v>603</v>
      </c>
      <c r="B173" s="3">
        <v>37995.290000000008</v>
      </c>
      <c r="C173" s="3">
        <v>29957.069999999974</v>
      </c>
    </row>
    <row r="174" spans="1:3" x14ac:dyDescent="0.3">
      <c r="A174" t="s">
        <v>604</v>
      </c>
      <c r="B174" s="3">
        <v>40264.300000000047</v>
      </c>
      <c r="C174" s="3">
        <v>26735.920000000024</v>
      </c>
    </row>
    <row r="175" spans="1:3" x14ac:dyDescent="0.3">
      <c r="A175" t="s">
        <v>605</v>
      </c>
      <c r="B175" s="3">
        <v>28009.150000000023</v>
      </c>
      <c r="C175" s="3">
        <v>24216.189999999991</v>
      </c>
    </row>
    <row r="176" spans="1:3" x14ac:dyDescent="0.3">
      <c r="A176" t="s">
        <v>613</v>
      </c>
      <c r="B176" s="3">
        <v>42338.309999999947</v>
      </c>
      <c r="C176" s="3">
        <v>28942.130000000052</v>
      </c>
    </row>
    <row r="177" spans="1:3" x14ac:dyDescent="0.3">
      <c r="A177" t="s">
        <v>615</v>
      </c>
      <c r="B177" s="3">
        <v>51116.77</v>
      </c>
      <c r="C177" s="3">
        <v>68869.949999999983</v>
      </c>
    </row>
    <row r="178" spans="1:3" x14ac:dyDescent="0.3">
      <c r="A178" t="s">
        <v>617</v>
      </c>
      <c r="B178" s="3">
        <v>43883.969999999936</v>
      </c>
      <c r="C178" s="3">
        <v>38505.120000000024</v>
      </c>
    </row>
    <row r="179" spans="1:3" x14ac:dyDescent="0.3">
      <c r="A179" t="s">
        <v>619</v>
      </c>
      <c r="B179" s="3">
        <v>43647.95</v>
      </c>
      <c r="C179" s="3">
        <v>32720.22999999997</v>
      </c>
    </row>
    <row r="180" spans="1:3" x14ac:dyDescent="0.3">
      <c r="A180" t="s">
        <v>621</v>
      </c>
      <c r="B180" s="3">
        <v>44537.680000000146</v>
      </c>
      <c r="C180" s="3">
        <v>37161.68</v>
      </c>
    </row>
    <row r="181" spans="1:3" x14ac:dyDescent="0.3">
      <c r="A181" t="s">
        <v>623</v>
      </c>
      <c r="B181" s="3">
        <v>101725.59000000011</v>
      </c>
      <c r="C181" s="3">
        <v>85815.880000000136</v>
      </c>
    </row>
    <row r="182" spans="1:3" x14ac:dyDescent="0.3">
      <c r="A182" t="s">
        <v>626</v>
      </c>
      <c r="B182" s="3">
        <v>53123.070000000029</v>
      </c>
      <c r="C182" s="3">
        <v>55759.850000000064</v>
      </c>
    </row>
    <row r="183" spans="1:3" x14ac:dyDescent="0.3">
      <c r="A183" t="s">
        <v>628</v>
      </c>
      <c r="B183" s="3">
        <v>45677.440000000031</v>
      </c>
      <c r="C183" s="3">
        <v>40118.139999999992</v>
      </c>
    </row>
    <row r="184" spans="1:3" x14ac:dyDescent="0.3">
      <c r="A184" t="s">
        <v>630</v>
      </c>
      <c r="B184" s="3">
        <v>42181.649999999936</v>
      </c>
      <c r="C184" s="3">
        <v>53888.879999999932</v>
      </c>
    </row>
    <row r="185" spans="1:3" x14ac:dyDescent="0.3">
      <c r="A185" t="s">
        <v>632</v>
      </c>
      <c r="B185" s="3">
        <v>38260.540000000059</v>
      </c>
      <c r="C185" s="3">
        <v>34248.09000000004</v>
      </c>
    </row>
    <row r="186" spans="1:3" x14ac:dyDescent="0.3">
      <c r="A186" t="s">
        <v>634</v>
      </c>
      <c r="B186" s="3">
        <v>43107.33</v>
      </c>
      <c r="C186" s="3">
        <v>40776.740000000013</v>
      </c>
    </row>
    <row r="187" spans="1:3" x14ac:dyDescent="0.3">
      <c r="A187" t="s">
        <v>636</v>
      </c>
      <c r="B187" s="3">
        <v>47136.669999999955</v>
      </c>
      <c r="C187" s="3">
        <v>42054.529999999977</v>
      </c>
    </row>
    <row r="188" spans="1:3" x14ac:dyDescent="0.3">
      <c r="A188" t="s">
        <v>638</v>
      </c>
      <c r="B188" s="3">
        <v>46515.510000000046</v>
      </c>
      <c r="C188" s="3">
        <v>49762.410000000062</v>
      </c>
    </row>
    <row r="189" spans="1:3" x14ac:dyDescent="0.3">
      <c r="A189" t="s">
        <v>640</v>
      </c>
      <c r="B189" s="3">
        <v>53500.719999999994</v>
      </c>
      <c r="C189" s="3">
        <v>40211.74999999992</v>
      </c>
    </row>
    <row r="190" spans="1:3" x14ac:dyDescent="0.3">
      <c r="A190" t="s">
        <v>642</v>
      </c>
      <c r="B190" s="3">
        <v>74277.040000000154</v>
      </c>
      <c r="C190" s="3">
        <v>57113.320000000043</v>
      </c>
    </row>
    <row r="191" spans="1:3" x14ac:dyDescent="0.3">
      <c r="A191" t="s">
        <v>644</v>
      </c>
      <c r="B191" s="3">
        <v>58343.109999999986</v>
      </c>
      <c r="C191" s="3">
        <v>40968.209999999919</v>
      </c>
    </row>
    <row r="192" spans="1:3" x14ac:dyDescent="0.3">
      <c r="A192" t="s">
        <v>646</v>
      </c>
      <c r="B192" s="3">
        <v>85833.249999999869</v>
      </c>
      <c r="C192" s="3">
        <v>79418.270000000179</v>
      </c>
    </row>
    <row r="193" spans="1:3" x14ac:dyDescent="0.3">
      <c r="A193" t="s">
        <v>648</v>
      </c>
      <c r="B193" s="3">
        <v>29632.97000000003</v>
      </c>
      <c r="C193" s="3">
        <v>38563.630000000136</v>
      </c>
    </row>
    <row r="194" spans="1:3" x14ac:dyDescent="0.3">
      <c r="A194" t="s">
        <v>650</v>
      </c>
      <c r="B194" s="3">
        <v>54209.36000000003</v>
      </c>
      <c r="C194" s="3">
        <v>36115.819999999978</v>
      </c>
    </row>
    <row r="195" spans="1:3" x14ac:dyDescent="0.3">
      <c r="A195" t="s">
        <v>652</v>
      </c>
      <c r="B195" s="3">
        <v>59708.419999999991</v>
      </c>
      <c r="C195" s="3">
        <v>52607.080000000082</v>
      </c>
    </row>
    <row r="196" spans="1:3" x14ac:dyDescent="0.3">
      <c r="A196" t="s">
        <v>654</v>
      </c>
      <c r="B196" s="3">
        <v>49959.500000000036</v>
      </c>
      <c r="C196" s="3">
        <v>46376.290000000008</v>
      </c>
    </row>
    <row r="197" spans="1:3" x14ac:dyDescent="0.3">
      <c r="A197" t="s">
        <v>656</v>
      </c>
      <c r="B197" s="3">
        <v>44421.940000000148</v>
      </c>
      <c r="C197" s="3">
        <v>68788.810000000129</v>
      </c>
    </row>
    <row r="198" spans="1:3" x14ac:dyDescent="0.3">
      <c r="A198" t="s">
        <v>658</v>
      </c>
      <c r="B198" s="3">
        <v>77255.769999999873</v>
      </c>
      <c r="C198" s="3">
        <v>59289.819999999898</v>
      </c>
    </row>
    <row r="199" spans="1:3" x14ac:dyDescent="0.3">
      <c r="A199" t="s">
        <v>660</v>
      </c>
      <c r="B199" s="3">
        <v>84883.28000000013</v>
      </c>
      <c r="C199" s="3">
        <v>73088.500000000146</v>
      </c>
    </row>
    <row r="200" spans="1:3" x14ac:dyDescent="0.3">
      <c r="A200" t="s">
        <v>662</v>
      </c>
      <c r="B200" s="3">
        <v>85574.160000000134</v>
      </c>
      <c r="C200" s="3">
        <v>75322.620000000214</v>
      </c>
    </row>
    <row r="201" spans="1:3" x14ac:dyDescent="0.3">
      <c r="A201" t="s">
        <v>664</v>
      </c>
      <c r="B201" s="3">
        <v>46451.770000000033</v>
      </c>
      <c r="C201" s="3">
        <v>44510.82999999998</v>
      </c>
    </row>
    <row r="202" spans="1:3" x14ac:dyDescent="0.3">
      <c r="A202" t="s">
        <v>666</v>
      </c>
      <c r="B202" s="3">
        <v>48073.189999999886</v>
      </c>
      <c r="C202" s="3">
        <v>41479.629999999976</v>
      </c>
    </row>
    <row r="203" spans="1:3" x14ac:dyDescent="0.3">
      <c r="A203" t="s">
        <v>668</v>
      </c>
      <c r="B203" s="3">
        <v>41115.590000000077</v>
      </c>
      <c r="C203" s="3">
        <v>33263.749999999971</v>
      </c>
    </row>
    <row r="204" spans="1:3" x14ac:dyDescent="0.3">
      <c r="A204" t="s">
        <v>671</v>
      </c>
      <c r="B204" s="3">
        <v>35069.489999999983</v>
      </c>
      <c r="C204" s="3">
        <v>38571.959999999919</v>
      </c>
    </row>
    <row r="205" spans="1:3" x14ac:dyDescent="0.3">
      <c r="A205" s="90" t="s">
        <v>673</v>
      </c>
      <c r="B205" s="91">
        <v>0</v>
      </c>
      <c r="C205" s="91">
        <v>0</v>
      </c>
    </row>
    <row r="206" spans="1:3" x14ac:dyDescent="0.3">
      <c r="A206" t="s">
        <v>674</v>
      </c>
      <c r="B206" s="3">
        <v>47923.819999999927</v>
      </c>
      <c r="C206" s="3">
        <v>61100.219999999965</v>
      </c>
    </row>
    <row r="207" spans="1:3" x14ac:dyDescent="0.3">
      <c r="A207" t="s">
        <v>676</v>
      </c>
      <c r="B207" s="3">
        <v>63359.370000000032</v>
      </c>
      <c r="C207" s="3">
        <v>39660.320000000072</v>
      </c>
    </row>
    <row r="208" spans="1:3" x14ac:dyDescent="0.3">
      <c r="A208" t="s">
        <v>678</v>
      </c>
      <c r="B208" s="3">
        <v>35844.890000000021</v>
      </c>
      <c r="C208" s="3">
        <v>27030.109999999993</v>
      </c>
    </row>
    <row r="209" spans="1:3" x14ac:dyDescent="0.3">
      <c r="A209" t="s">
        <v>680</v>
      </c>
      <c r="B209" s="3">
        <v>58968.890000000036</v>
      </c>
      <c r="C209" s="3">
        <v>47053.240000000027</v>
      </c>
    </row>
    <row r="210" spans="1:3" x14ac:dyDescent="0.3">
      <c r="A210" t="s">
        <v>682</v>
      </c>
      <c r="B210" s="3">
        <v>64798.250000000087</v>
      </c>
      <c r="C210" s="3">
        <v>50660.750000000058</v>
      </c>
    </row>
    <row r="211" spans="1:3" x14ac:dyDescent="0.3">
      <c r="A211" t="s">
        <v>684</v>
      </c>
      <c r="B211" s="3">
        <v>68943.060000000114</v>
      </c>
      <c r="C211" s="3">
        <v>56996.309999999903</v>
      </c>
    </row>
    <row r="212" spans="1:3" x14ac:dyDescent="0.3">
      <c r="A212" t="s">
        <v>686</v>
      </c>
      <c r="B212" s="3">
        <v>57085.059999999954</v>
      </c>
      <c r="C212" s="3">
        <v>58425.449999999968</v>
      </c>
    </row>
    <row r="213" spans="1:3" x14ac:dyDescent="0.3">
      <c r="A213" t="s">
        <v>688</v>
      </c>
      <c r="B213" s="3">
        <v>55028.159999999996</v>
      </c>
      <c r="C213" s="3">
        <v>42661.590000000018</v>
      </c>
    </row>
    <row r="214" spans="1:3" x14ac:dyDescent="0.3">
      <c r="A214" t="s">
        <v>690</v>
      </c>
      <c r="B214" s="3">
        <v>51387.069999999934</v>
      </c>
      <c r="C214" s="3">
        <v>39517.989999999991</v>
      </c>
    </row>
    <row r="215" spans="1:3" x14ac:dyDescent="0.3">
      <c r="A215" t="s">
        <v>692</v>
      </c>
      <c r="B215" s="3">
        <v>55848.110000000095</v>
      </c>
      <c r="C215" s="3">
        <v>36232.579999999994</v>
      </c>
    </row>
    <row r="216" spans="1:3" x14ac:dyDescent="0.3">
      <c r="A216" t="s">
        <v>694</v>
      </c>
      <c r="B216" s="3">
        <v>40799.859999999964</v>
      </c>
      <c r="C216" s="3">
        <v>38171.829999999951</v>
      </c>
    </row>
    <row r="217" spans="1:3" x14ac:dyDescent="0.3">
      <c r="A217" t="s">
        <v>695</v>
      </c>
      <c r="B217" s="3">
        <v>167799.36999999994</v>
      </c>
      <c r="C217" s="3">
        <v>140475.39999999994</v>
      </c>
    </row>
    <row r="218" spans="1:3" x14ac:dyDescent="0.3">
      <c r="A218" t="s">
        <v>697</v>
      </c>
      <c r="B218" s="3">
        <v>56034.140000000065</v>
      </c>
      <c r="C218" s="3">
        <v>47432.780000000006</v>
      </c>
    </row>
    <row r="219" spans="1:3" x14ac:dyDescent="0.3">
      <c r="A219" t="s">
        <v>699</v>
      </c>
      <c r="B219" s="3">
        <v>51573.490000000042</v>
      </c>
      <c r="C219" s="3">
        <v>46608.070000000029</v>
      </c>
    </row>
    <row r="220" spans="1:3" x14ac:dyDescent="0.3">
      <c r="A220" t="s">
        <v>701</v>
      </c>
      <c r="B220" s="3">
        <v>48267.50000000016</v>
      </c>
      <c r="C220" s="3">
        <v>40195.790000000103</v>
      </c>
    </row>
    <row r="221" spans="1:3" x14ac:dyDescent="0.3">
      <c r="A221" t="s">
        <v>703</v>
      </c>
      <c r="B221" s="3">
        <v>40230.319999999963</v>
      </c>
      <c r="C221" s="3">
        <v>45112.150000000081</v>
      </c>
    </row>
    <row r="222" spans="1:3" x14ac:dyDescent="0.3">
      <c r="A222" t="s">
        <v>705</v>
      </c>
      <c r="B222" s="3">
        <v>66053.83000000006</v>
      </c>
      <c r="C222" s="3">
        <v>67473.360000000132</v>
      </c>
    </row>
    <row r="223" spans="1:3" x14ac:dyDescent="0.3">
      <c r="A223" t="s">
        <v>707</v>
      </c>
      <c r="B223" s="3">
        <v>49300.129999999976</v>
      </c>
      <c r="C223" s="3">
        <v>60918.049999999988</v>
      </c>
    </row>
    <row r="224" spans="1:3" x14ac:dyDescent="0.3">
      <c r="A224" t="s">
        <v>709</v>
      </c>
      <c r="B224" s="3">
        <v>57738.760000000053</v>
      </c>
      <c r="C224" s="3">
        <v>83115.090000000258</v>
      </c>
    </row>
    <row r="225" spans="1:3" x14ac:dyDescent="0.3">
      <c r="A225" t="s">
        <v>711</v>
      </c>
      <c r="B225" s="3">
        <v>54220.370000000257</v>
      </c>
      <c r="C225" s="3">
        <v>44917.190000000242</v>
      </c>
    </row>
    <row r="226" spans="1:3" x14ac:dyDescent="0.3">
      <c r="A226" t="s">
        <v>713</v>
      </c>
      <c r="B226" s="3">
        <v>55946.110000000146</v>
      </c>
      <c r="C226" s="3">
        <v>47828.130000000128</v>
      </c>
    </row>
    <row r="227" spans="1:3" x14ac:dyDescent="0.3">
      <c r="A227" s="44" t="s">
        <v>0</v>
      </c>
      <c r="B227" s="45">
        <f>SUM(B5:B226)</f>
        <v>10949398.510000005</v>
      </c>
      <c r="C227" s="45">
        <f>SUM(C5:C226)</f>
        <v>9767525.9000000078</v>
      </c>
    </row>
  </sheetData>
  <mergeCells count="2">
    <mergeCell ref="A3:C3"/>
    <mergeCell ref="F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9FD5-E458-4E16-8DF5-1AAB1D841DE0}">
  <sheetPr>
    <tabColor theme="9"/>
  </sheetPr>
  <dimension ref="A2:G213"/>
  <sheetViews>
    <sheetView topLeftCell="A61" workbookViewId="0">
      <selection activeCell="F9" activeCellId="1" sqref="B213 F9"/>
    </sheetView>
  </sheetViews>
  <sheetFormatPr baseColWidth="10" defaultRowHeight="14.4" x14ac:dyDescent="0.3"/>
  <cols>
    <col min="1" max="1" width="25" customWidth="1"/>
    <col min="2" max="2" width="10.88671875" customWidth="1"/>
    <col min="3" max="3" width="9.6640625" customWidth="1"/>
    <col min="5" max="5" width="21.33203125" customWidth="1"/>
  </cols>
  <sheetData>
    <row r="2" spans="1:7" x14ac:dyDescent="0.3">
      <c r="A2" s="125" t="s">
        <v>1019</v>
      </c>
      <c r="B2" s="125"/>
      <c r="C2" s="125"/>
      <c r="E2" s="125" t="s">
        <v>1030</v>
      </c>
      <c r="F2" s="125"/>
      <c r="G2" s="125"/>
    </row>
    <row r="3" spans="1:7" x14ac:dyDescent="0.3">
      <c r="A3" s="95" t="s">
        <v>6</v>
      </c>
      <c r="B3" s="95" t="s">
        <v>310</v>
      </c>
      <c r="C3" s="95" t="s">
        <v>718</v>
      </c>
      <c r="E3" s="95" t="s">
        <v>6</v>
      </c>
      <c r="F3" s="95" t="s">
        <v>310</v>
      </c>
      <c r="G3" s="95" t="s">
        <v>718</v>
      </c>
    </row>
    <row r="4" spans="1:7" x14ac:dyDescent="0.3">
      <c r="A4" s="94" t="s">
        <v>1020</v>
      </c>
      <c r="B4" s="96">
        <v>149.61999999999995</v>
      </c>
      <c r="C4" s="96">
        <v>488.85</v>
      </c>
      <c r="E4" s="94" t="s">
        <v>735</v>
      </c>
      <c r="F4" s="96">
        <v>78.139999999999986</v>
      </c>
      <c r="G4" s="96">
        <v>0</v>
      </c>
    </row>
    <row r="5" spans="1:7" x14ac:dyDescent="0.3">
      <c r="A5" s="94" t="s">
        <v>1021</v>
      </c>
      <c r="B5" s="96">
        <v>-29.710000000000004</v>
      </c>
      <c r="C5" s="96">
        <v>-31.829999999999995</v>
      </c>
      <c r="E5" s="94" t="s">
        <v>736</v>
      </c>
      <c r="F5" s="96">
        <v>756.85999999999979</v>
      </c>
      <c r="G5" s="96">
        <v>0</v>
      </c>
    </row>
    <row r="6" spans="1:7" x14ac:dyDescent="0.3">
      <c r="A6" s="94" t="s">
        <v>312</v>
      </c>
      <c r="B6" s="96">
        <v>588.06999999999994</v>
      </c>
      <c r="C6" s="96">
        <v>161.21000000000006</v>
      </c>
      <c r="E6" s="94" t="s">
        <v>387</v>
      </c>
      <c r="F6" s="96">
        <v>135534.27000000025</v>
      </c>
      <c r="G6" s="96">
        <v>204546.68000000049</v>
      </c>
    </row>
    <row r="7" spans="1:7" x14ac:dyDescent="0.3">
      <c r="A7" s="94" t="s">
        <v>314</v>
      </c>
      <c r="B7" s="96">
        <v>166.78</v>
      </c>
      <c r="C7" s="96">
        <v>11.849999999999996</v>
      </c>
      <c r="E7" s="94" t="s">
        <v>737</v>
      </c>
      <c r="F7" s="96">
        <v>121.43999999999998</v>
      </c>
      <c r="G7" s="96">
        <v>0</v>
      </c>
    </row>
    <row r="8" spans="1:7" x14ac:dyDescent="0.3">
      <c r="A8" s="94" t="s">
        <v>316</v>
      </c>
      <c r="B8" s="96">
        <v>781.18000000000029</v>
      </c>
      <c r="C8" s="96">
        <v>397.9</v>
      </c>
      <c r="E8" s="94" t="s">
        <v>1031</v>
      </c>
      <c r="F8" s="96">
        <v>0</v>
      </c>
      <c r="G8" s="96">
        <v>0.25</v>
      </c>
    </row>
    <row r="9" spans="1:7" x14ac:dyDescent="0.3">
      <c r="A9" s="94" t="s">
        <v>318</v>
      </c>
      <c r="B9" s="96">
        <v>0</v>
      </c>
      <c r="C9" s="96">
        <v>217.51999999999998</v>
      </c>
      <c r="E9" s="97" t="s">
        <v>720</v>
      </c>
      <c r="F9" s="98">
        <f>SUM(F4:F8)</f>
        <v>136490.71000000025</v>
      </c>
      <c r="G9" s="98">
        <f>SUM(G4:G8)</f>
        <v>204546.93000000049</v>
      </c>
    </row>
    <row r="10" spans="1:7" x14ac:dyDescent="0.3">
      <c r="A10" s="94" t="s">
        <v>733</v>
      </c>
      <c r="B10" s="96">
        <v>23.089999999999996</v>
      </c>
      <c r="C10" s="96">
        <v>8.32</v>
      </c>
    </row>
    <row r="11" spans="1:7" x14ac:dyDescent="0.3">
      <c r="A11" s="94" t="s">
        <v>320</v>
      </c>
      <c r="B11" s="96">
        <v>64.099999999999994</v>
      </c>
      <c r="C11" s="96">
        <v>65.099999999999994</v>
      </c>
    </row>
    <row r="12" spans="1:7" x14ac:dyDescent="0.3">
      <c r="A12" s="94" t="s">
        <v>322</v>
      </c>
      <c r="B12" s="96">
        <v>532.4000000000002</v>
      </c>
      <c r="C12" s="96">
        <v>-69.19</v>
      </c>
    </row>
    <row r="13" spans="1:7" x14ac:dyDescent="0.3">
      <c r="A13" s="94" t="s">
        <v>325</v>
      </c>
      <c r="B13" s="96">
        <v>-18.340000000000003</v>
      </c>
      <c r="C13" s="96">
        <v>0</v>
      </c>
    </row>
    <row r="14" spans="1:7" x14ac:dyDescent="0.3">
      <c r="A14" s="94" t="s">
        <v>326</v>
      </c>
      <c r="B14" s="96">
        <v>-29.75</v>
      </c>
      <c r="C14" s="96">
        <v>0</v>
      </c>
    </row>
    <row r="15" spans="1:7" x14ac:dyDescent="0.3">
      <c r="A15" s="94" t="s">
        <v>734</v>
      </c>
      <c r="B15" s="96">
        <v>154.72</v>
      </c>
      <c r="C15" s="96">
        <v>0</v>
      </c>
    </row>
    <row r="16" spans="1:7" x14ac:dyDescent="0.3">
      <c r="A16" s="94" t="s">
        <v>329</v>
      </c>
      <c r="B16" s="96">
        <v>126.32000000000001</v>
      </c>
      <c r="C16" s="96">
        <v>102.45000000000002</v>
      </c>
    </row>
    <row r="17" spans="1:3" x14ac:dyDescent="0.3">
      <c r="A17" s="94" t="s">
        <v>331</v>
      </c>
      <c r="B17" s="96">
        <v>0</v>
      </c>
      <c r="C17" s="96">
        <v>640.31000000000017</v>
      </c>
    </row>
    <row r="18" spans="1:3" x14ac:dyDescent="0.3">
      <c r="A18" s="94" t="s">
        <v>333</v>
      </c>
      <c r="B18" s="96">
        <v>477.81999999999994</v>
      </c>
      <c r="C18" s="96">
        <v>71.7</v>
      </c>
    </row>
    <row r="19" spans="1:3" x14ac:dyDescent="0.3">
      <c r="A19" s="94" t="s">
        <v>335</v>
      </c>
      <c r="B19" s="96">
        <v>470.33</v>
      </c>
      <c r="C19" s="96">
        <v>60.22999999999999</v>
      </c>
    </row>
    <row r="20" spans="1:3" x14ac:dyDescent="0.3">
      <c r="A20" s="94" t="s">
        <v>337</v>
      </c>
      <c r="B20" s="96">
        <v>58.93</v>
      </c>
      <c r="C20" s="96">
        <v>11.959999999999999</v>
      </c>
    </row>
    <row r="21" spans="1:3" x14ac:dyDescent="0.3">
      <c r="A21" s="94" t="s">
        <v>339</v>
      </c>
      <c r="B21" s="96">
        <v>194.94</v>
      </c>
      <c r="C21" s="96">
        <v>178.56</v>
      </c>
    </row>
    <row r="22" spans="1:3" x14ac:dyDescent="0.3">
      <c r="A22" s="94" t="s">
        <v>341</v>
      </c>
      <c r="B22" s="96">
        <v>245.50000000000006</v>
      </c>
      <c r="C22" s="96">
        <v>398.16999999999996</v>
      </c>
    </row>
    <row r="23" spans="1:3" x14ac:dyDescent="0.3">
      <c r="A23" s="94" t="s">
        <v>343</v>
      </c>
      <c r="B23" s="96">
        <v>726.99999999999977</v>
      </c>
      <c r="C23" s="96">
        <v>257.61</v>
      </c>
    </row>
    <row r="24" spans="1:3" x14ac:dyDescent="0.3">
      <c r="A24" s="94" t="s">
        <v>345</v>
      </c>
      <c r="B24" s="96">
        <v>159.14000000000004</v>
      </c>
      <c r="C24" s="96">
        <v>27.82</v>
      </c>
    </row>
    <row r="25" spans="1:3" x14ac:dyDescent="0.3">
      <c r="A25" s="94" t="s">
        <v>347</v>
      </c>
      <c r="B25" s="96">
        <v>7.0000000000000007E-2</v>
      </c>
      <c r="C25" s="96">
        <v>163.38</v>
      </c>
    </row>
    <row r="26" spans="1:3" x14ac:dyDescent="0.3">
      <c r="A26" s="94" t="s">
        <v>349</v>
      </c>
      <c r="B26" s="96">
        <v>996.32999999999993</v>
      </c>
      <c r="C26" s="96">
        <v>798.65999999999974</v>
      </c>
    </row>
    <row r="27" spans="1:3" x14ac:dyDescent="0.3">
      <c r="A27" s="94" t="s">
        <v>351</v>
      </c>
      <c r="B27" s="96">
        <v>173.13</v>
      </c>
      <c r="C27" s="96">
        <v>47.1</v>
      </c>
    </row>
    <row r="28" spans="1:3" x14ac:dyDescent="0.3">
      <c r="A28" s="94" t="s">
        <v>353</v>
      </c>
      <c r="B28" s="96">
        <v>350.41</v>
      </c>
      <c r="C28" s="96">
        <v>679.73</v>
      </c>
    </row>
    <row r="29" spans="1:3" x14ac:dyDescent="0.3">
      <c r="A29" s="94" t="s">
        <v>355</v>
      </c>
      <c r="B29" s="96">
        <v>350.95</v>
      </c>
      <c r="C29" s="96">
        <v>12.830000000000002</v>
      </c>
    </row>
    <row r="30" spans="1:3" x14ac:dyDescent="0.3">
      <c r="A30" s="94" t="s">
        <v>357</v>
      </c>
      <c r="B30" s="96">
        <v>184</v>
      </c>
      <c r="C30" s="96">
        <v>136.4</v>
      </c>
    </row>
    <row r="31" spans="1:3" x14ac:dyDescent="0.3">
      <c r="A31" s="94" t="s">
        <v>359</v>
      </c>
      <c r="B31" s="96">
        <v>910.3000000000003</v>
      </c>
      <c r="C31" s="96">
        <v>28.45</v>
      </c>
    </row>
    <row r="32" spans="1:3" x14ac:dyDescent="0.3">
      <c r="A32" s="94" t="s">
        <v>361</v>
      </c>
      <c r="B32" s="96">
        <v>832.8599999999999</v>
      </c>
      <c r="C32" s="96">
        <v>1552.72</v>
      </c>
    </row>
    <row r="33" spans="1:3" x14ac:dyDescent="0.3">
      <c r="A33" s="94" t="s">
        <v>363</v>
      </c>
      <c r="B33" s="96">
        <v>284.27999999999997</v>
      </c>
      <c r="C33" s="96">
        <v>164.10000000000002</v>
      </c>
    </row>
    <row r="34" spans="1:3" x14ac:dyDescent="0.3">
      <c r="A34" s="94" t="s">
        <v>365</v>
      </c>
      <c r="B34" s="96">
        <v>151.73000000000002</v>
      </c>
      <c r="C34" s="96">
        <v>30.95</v>
      </c>
    </row>
    <row r="35" spans="1:3" x14ac:dyDescent="0.3">
      <c r="A35" s="94" t="s">
        <v>367</v>
      </c>
      <c r="B35" s="96">
        <v>438.85</v>
      </c>
      <c r="C35" s="96">
        <v>422.38</v>
      </c>
    </row>
    <row r="36" spans="1:3" x14ac:dyDescent="0.3">
      <c r="A36" s="94" t="s">
        <v>369</v>
      </c>
      <c r="B36" s="96">
        <v>927.92000000000019</v>
      </c>
      <c r="C36" s="96">
        <v>148.70000000000002</v>
      </c>
    </row>
    <row r="37" spans="1:3" x14ac:dyDescent="0.3">
      <c r="A37" s="94" t="s">
        <v>371</v>
      </c>
      <c r="B37" s="96">
        <v>0</v>
      </c>
      <c r="C37" s="96">
        <v>13.260000000000002</v>
      </c>
    </row>
    <row r="38" spans="1:3" x14ac:dyDescent="0.3">
      <c r="A38" s="94" t="s">
        <v>1022</v>
      </c>
      <c r="B38" s="96">
        <v>0</v>
      </c>
      <c r="C38" s="96">
        <v>0</v>
      </c>
    </row>
    <row r="39" spans="1:3" x14ac:dyDescent="0.3">
      <c r="A39" s="94" t="s">
        <v>373</v>
      </c>
      <c r="B39" s="96">
        <v>279.01</v>
      </c>
      <c r="C39" s="96">
        <v>6.61</v>
      </c>
    </row>
    <row r="40" spans="1:3" x14ac:dyDescent="0.3">
      <c r="A40" s="94" t="s">
        <v>375</v>
      </c>
      <c r="B40" s="96">
        <v>93.970000000000013</v>
      </c>
      <c r="C40" s="96">
        <v>162.6</v>
      </c>
    </row>
    <row r="41" spans="1:3" x14ac:dyDescent="0.3">
      <c r="A41" s="94" t="s">
        <v>377</v>
      </c>
      <c r="B41" s="96">
        <v>69.460000000000008</v>
      </c>
      <c r="C41" s="96">
        <v>0</v>
      </c>
    </row>
    <row r="42" spans="1:3" x14ac:dyDescent="0.3">
      <c r="A42" s="94" t="s">
        <v>378</v>
      </c>
      <c r="B42" s="96">
        <v>195.13000000000002</v>
      </c>
      <c r="C42" s="96">
        <v>65.070000000000007</v>
      </c>
    </row>
    <row r="43" spans="1:3" x14ac:dyDescent="0.3">
      <c r="A43" s="94" t="s">
        <v>380</v>
      </c>
      <c r="B43" s="96">
        <v>6.2999999999999989</v>
      </c>
      <c r="C43" s="96">
        <v>8.24</v>
      </c>
    </row>
    <row r="44" spans="1:3" x14ac:dyDescent="0.3">
      <c r="A44" s="94" t="s">
        <v>382</v>
      </c>
      <c r="B44" s="96">
        <v>6.79</v>
      </c>
      <c r="C44" s="96">
        <v>6.79</v>
      </c>
    </row>
    <row r="45" spans="1:3" x14ac:dyDescent="0.3">
      <c r="A45" s="94" t="s">
        <v>383</v>
      </c>
      <c r="B45" s="96">
        <v>246.84999999999994</v>
      </c>
      <c r="C45" s="96">
        <v>307.23999999999995</v>
      </c>
    </row>
    <row r="46" spans="1:3" x14ac:dyDescent="0.3">
      <c r="A46" s="94" t="s">
        <v>385</v>
      </c>
      <c r="B46" s="96">
        <v>676.99</v>
      </c>
      <c r="C46" s="96">
        <v>1132.9199999999996</v>
      </c>
    </row>
    <row r="47" spans="1:3" x14ac:dyDescent="0.3">
      <c r="A47" s="94" t="s">
        <v>390</v>
      </c>
      <c r="B47" s="96">
        <v>213.41999999999996</v>
      </c>
      <c r="C47" s="96">
        <v>99.08</v>
      </c>
    </row>
    <row r="48" spans="1:3" x14ac:dyDescent="0.3">
      <c r="A48" s="94" t="s">
        <v>392</v>
      </c>
      <c r="B48" s="96">
        <v>134.59000000000003</v>
      </c>
      <c r="C48" s="96">
        <v>656.06</v>
      </c>
    </row>
    <row r="49" spans="1:3" x14ac:dyDescent="0.3">
      <c r="A49" s="94" t="s">
        <v>394</v>
      </c>
      <c r="B49" s="96">
        <v>120.06000000000002</v>
      </c>
      <c r="C49" s="96">
        <v>223.52000000000004</v>
      </c>
    </row>
    <row r="50" spans="1:3" x14ac:dyDescent="0.3">
      <c r="A50" s="94" t="s">
        <v>396</v>
      </c>
      <c r="B50" s="96">
        <v>-3.6400000000000006</v>
      </c>
      <c r="C50" s="96">
        <v>251.86</v>
      </c>
    </row>
    <row r="51" spans="1:3" x14ac:dyDescent="0.3">
      <c r="A51" s="94" t="s">
        <v>398</v>
      </c>
      <c r="B51" s="96">
        <v>99.660000000000011</v>
      </c>
      <c r="C51" s="96">
        <v>565.44999999999993</v>
      </c>
    </row>
    <row r="52" spans="1:3" x14ac:dyDescent="0.3">
      <c r="A52" s="94" t="s">
        <v>400</v>
      </c>
      <c r="B52" s="96">
        <v>543.03</v>
      </c>
      <c r="C52" s="96">
        <v>87.660000000000011</v>
      </c>
    </row>
    <row r="53" spans="1:3" x14ac:dyDescent="0.3">
      <c r="A53" s="94" t="s">
        <v>1023</v>
      </c>
      <c r="B53" s="96">
        <v>0</v>
      </c>
      <c r="C53" s="96">
        <v>1353.22</v>
      </c>
    </row>
    <row r="54" spans="1:3" x14ac:dyDescent="0.3">
      <c r="A54" s="94" t="s">
        <v>403</v>
      </c>
      <c r="B54" s="96">
        <v>276.33</v>
      </c>
      <c r="C54" s="96">
        <v>60.260000000000012</v>
      </c>
    </row>
    <row r="55" spans="1:3" x14ac:dyDescent="0.3">
      <c r="A55" s="94" t="s">
        <v>738</v>
      </c>
      <c r="B55" s="96">
        <v>72.48</v>
      </c>
      <c r="C55" s="96">
        <v>-1557.09</v>
      </c>
    </row>
    <row r="56" spans="1:3" x14ac:dyDescent="0.3">
      <c r="A56" s="94" t="s">
        <v>405</v>
      </c>
      <c r="B56" s="96">
        <v>8.9999999999999969E-2</v>
      </c>
      <c r="C56" s="96">
        <v>115.33999999999999</v>
      </c>
    </row>
    <row r="57" spans="1:3" x14ac:dyDescent="0.3">
      <c r="A57" s="94" t="s">
        <v>407</v>
      </c>
      <c r="B57" s="96">
        <v>1381.4999999999995</v>
      </c>
      <c r="C57" s="96">
        <v>287.40000000000003</v>
      </c>
    </row>
    <row r="58" spans="1:3" x14ac:dyDescent="0.3">
      <c r="A58" s="94" t="s">
        <v>409</v>
      </c>
      <c r="B58" s="96">
        <v>0</v>
      </c>
      <c r="C58" s="96">
        <v>0</v>
      </c>
    </row>
    <row r="59" spans="1:3" x14ac:dyDescent="0.3">
      <c r="A59" s="94" t="s">
        <v>411</v>
      </c>
      <c r="B59" s="96">
        <v>484.74999999999994</v>
      </c>
      <c r="C59" s="96">
        <v>329.61999999999978</v>
      </c>
    </row>
    <row r="60" spans="1:3" x14ac:dyDescent="0.3">
      <c r="A60" s="94" t="s">
        <v>413</v>
      </c>
      <c r="B60" s="96">
        <v>587.49999999999989</v>
      </c>
      <c r="C60" s="96">
        <v>767.3599999999999</v>
      </c>
    </row>
    <row r="61" spans="1:3" x14ac:dyDescent="0.3">
      <c r="A61" s="94" t="s">
        <v>415</v>
      </c>
      <c r="B61" s="96">
        <v>226.63</v>
      </c>
      <c r="C61" s="96">
        <v>288.19</v>
      </c>
    </row>
    <row r="62" spans="1:3" x14ac:dyDescent="0.3">
      <c r="A62" s="94" t="s">
        <v>417</v>
      </c>
      <c r="B62" s="96">
        <v>142.93</v>
      </c>
      <c r="C62" s="96">
        <v>469.04000000000013</v>
      </c>
    </row>
    <row r="63" spans="1:3" x14ac:dyDescent="0.3">
      <c r="A63" s="94" t="s">
        <v>419</v>
      </c>
      <c r="B63" s="96">
        <v>228.48000000000002</v>
      </c>
      <c r="C63" s="96">
        <v>146.22000000000003</v>
      </c>
    </row>
    <row r="64" spans="1:3" x14ac:dyDescent="0.3">
      <c r="A64" s="94" t="s">
        <v>421</v>
      </c>
      <c r="B64" s="96">
        <v>112.99</v>
      </c>
      <c r="C64" s="96">
        <v>119.49</v>
      </c>
    </row>
    <row r="65" spans="1:3" x14ac:dyDescent="0.3">
      <c r="A65" s="94" t="s">
        <v>423</v>
      </c>
      <c r="B65" s="96">
        <v>293.78000000000003</v>
      </c>
      <c r="C65" s="96">
        <v>519.91999999999985</v>
      </c>
    </row>
    <row r="66" spans="1:3" x14ac:dyDescent="0.3">
      <c r="A66" s="94" t="s">
        <v>425</v>
      </c>
      <c r="B66" s="96">
        <v>575.70999999999981</v>
      </c>
      <c r="C66" s="96">
        <v>73.269999999999982</v>
      </c>
    </row>
    <row r="67" spans="1:3" x14ac:dyDescent="0.3">
      <c r="A67" s="94" t="s">
        <v>427</v>
      </c>
      <c r="B67" s="96">
        <v>496.33999999999992</v>
      </c>
      <c r="C67" s="96">
        <v>91.92</v>
      </c>
    </row>
    <row r="68" spans="1:3" x14ac:dyDescent="0.3">
      <c r="A68" s="94" t="s">
        <v>429</v>
      </c>
      <c r="B68" s="96">
        <v>225.76000000000002</v>
      </c>
      <c r="C68" s="96">
        <v>621.29</v>
      </c>
    </row>
    <row r="69" spans="1:3" x14ac:dyDescent="0.3">
      <c r="A69" s="94" t="s">
        <v>431</v>
      </c>
      <c r="B69" s="96">
        <v>97.6</v>
      </c>
      <c r="C69" s="96">
        <v>-15.66</v>
      </c>
    </row>
    <row r="70" spans="1:3" x14ac:dyDescent="0.3">
      <c r="A70" s="94" t="s">
        <v>433</v>
      </c>
      <c r="B70" s="96">
        <v>22.130000000000003</v>
      </c>
      <c r="C70" s="96">
        <v>10.42</v>
      </c>
    </row>
    <row r="71" spans="1:3" x14ac:dyDescent="0.3">
      <c r="A71" s="94" t="s">
        <v>436</v>
      </c>
      <c r="B71" s="96">
        <v>108.80999999999999</v>
      </c>
      <c r="C71" s="96">
        <v>245.48000000000002</v>
      </c>
    </row>
    <row r="72" spans="1:3" x14ac:dyDescent="0.3">
      <c r="A72" s="94" t="s">
        <v>438</v>
      </c>
      <c r="B72" s="96">
        <v>221.26</v>
      </c>
      <c r="C72" s="96">
        <v>553.04999999999984</v>
      </c>
    </row>
    <row r="73" spans="1:3" x14ac:dyDescent="0.3">
      <c r="A73" s="94" t="s">
        <v>440</v>
      </c>
      <c r="B73" s="96">
        <v>365.86</v>
      </c>
      <c r="C73" s="96">
        <v>100.4</v>
      </c>
    </row>
    <row r="74" spans="1:3" x14ac:dyDescent="0.3">
      <c r="A74" s="94" t="s">
        <v>442</v>
      </c>
      <c r="B74" s="96">
        <v>36.79</v>
      </c>
      <c r="C74" s="96">
        <v>19.559999999999999</v>
      </c>
    </row>
    <row r="75" spans="1:3" x14ac:dyDescent="0.3">
      <c r="A75" s="94" t="s">
        <v>444</v>
      </c>
      <c r="B75" s="96">
        <v>0</v>
      </c>
      <c r="C75" s="96">
        <v>51.4</v>
      </c>
    </row>
    <row r="76" spans="1:3" x14ac:dyDescent="0.3">
      <c r="A76" s="94" t="s">
        <v>1024</v>
      </c>
      <c r="B76" s="96">
        <v>0</v>
      </c>
      <c r="C76" s="96">
        <v>53.33</v>
      </c>
    </row>
    <row r="77" spans="1:3" x14ac:dyDescent="0.3">
      <c r="A77" s="94" t="s">
        <v>447</v>
      </c>
      <c r="B77" s="96">
        <v>299.86000000000007</v>
      </c>
      <c r="C77" s="96">
        <v>218.01999999999998</v>
      </c>
    </row>
    <row r="78" spans="1:3" x14ac:dyDescent="0.3">
      <c r="A78" s="94" t="s">
        <v>449</v>
      </c>
      <c r="B78" s="96">
        <v>401.81000000000006</v>
      </c>
      <c r="C78" s="96">
        <v>403.72999999999996</v>
      </c>
    </row>
    <row r="79" spans="1:3" x14ac:dyDescent="0.3">
      <c r="A79" s="94" t="s">
        <v>450</v>
      </c>
      <c r="B79" s="96">
        <v>20.170000000000002</v>
      </c>
      <c r="C79" s="96">
        <v>20.170000000000002</v>
      </c>
    </row>
    <row r="80" spans="1:3" x14ac:dyDescent="0.3">
      <c r="A80" s="94" t="s">
        <v>453</v>
      </c>
      <c r="B80" s="96">
        <v>491.83000000000004</v>
      </c>
      <c r="C80" s="96">
        <v>-4.84</v>
      </c>
    </row>
    <row r="81" spans="1:3" x14ac:dyDescent="0.3">
      <c r="A81" s="94" t="s">
        <v>455</v>
      </c>
      <c r="B81" s="96">
        <v>153.06000000000006</v>
      </c>
      <c r="C81" s="96">
        <v>20.439999999999998</v>
      </c>
    </row>
    <row r="82" spans="1:3" x14ac:dyDescent="0.3">
      <c r="A82" s="94" t="s">
        <v>457</v>
      </c>
      <c r="B82" s="96">
        <v>76.180000000000035</v>
      </c>
      <c r="C82" s="96">
        <v>1062.5</v>
      </c>
    </row>
    <row r="83" spans="1:3" x14ac:dyDescent="0.3">
      <c r="A83" s="94" t="s">
        <v>459</v>
      </c>
      <c r="B83" s="96">
        <v>244.80999999999997</v>
      </c>
      <c r="C83" s="96">
        <v>152.21999999999997</v>
      </c>
    </row>
    <row r="84" spans="1:3" x14ac:dyDescent="0.3">
      <c r="A84" s="94" t="s">
        <v>461</v>
      </c>
      <c r="B84" s="96">
        <v>266.70999999999998</v>
      </c>
      <c r="C84" s="96">
        <v>0.31</v>
      </c>
    </row>
    <row r="85" spans="1:3" x14ac:dyDescent="0.3">
      <c r="A85" s="94" t="s">
        <v>740</v>
      </c>
      <c r="B85" s="96">
        <v>18.28</v>
      </c>
      <c r="C85" s="96">
        <v>-5.5</v>
      </c>
    </row>
    <row r="86" spans="1:3" x14ac:dyDescent="0.3">
      <c r="A86" s="94" t="s">
        <v>467</v>
      </c>
      <c r="B86" s="96">
        <v>8</v>
      </c>
      <c r="C86" s="96">
        <v>233.35</v>
      </c>
    </row>
    <row r="87" spans="1:3" x14ac:dyDescent="0.3">
      <c r="A87" s="94" t="s">
        <v>468</v>
      </c>
      <c r="B87" s="96">
        <v>93.780000000000015</v>
      </c>
      <c r="C87" s="96">
        <v>116.30000000000001</v>
      </c>
    </row>
    <row r="88" spans="1:3" x14ac:dyDescent="0.3">
      <c r="A88" s="94" t="s">
        <v>469</v>
      </c>
      <c r="B88" s="96">
        <v>217.20999999999998</v>
      </c>
      <c r="C88" s="96">
        <v>332.64</v>
      </c>
    </row>
    <row r="89" spans="1:3" x14ac:dyDescent="0.3">
      <c r="A89" s="94" t="s">
        <v>470</v>
      </c>
      <c r="B89" s="96">
        <v>5.65</v>
      </c>
      <c r="C89" s="96">
        <v>5.4399999999999995</v>
      </c>
    </row>
    <row r="90" spans="1:3" x14ac:dyDescent="0.3">
      <c r="A90" s="94" t="s">
        <v>472</v>
      </c>
      <c r="B90" s="96">
        <v>157.64000000000001</v>
      </c>
      <c r="C90" s="96">
        <v>73.620000000000019</v>
      </c>
    </row>
    <row r="91" spans="1:3" x14ac:dyDescent="0.3">
      <c r="A91" s="94" t="s">
        <v>474</v>
      </c>
      <c r="B91" s="96">
        <v>346.33999999999992</v>
      </c>
      <c r="C91" s="96">
        <v>115.38999999999999</v>
      </c>
    </row>
    <row r="92" spans="1:3" x14ac:dyDescent="0.3">
      <c r="A92" s="94" t="s">
        <v>476</v>
      </c>
      <c r="B92" s="96">
        <v>253.34000000000003</v>
      </c>
      <c r="C92" s="96">
        <v>50.18</v>
      </c>
    </row>
    <row r="93" spans="1:3" x14ac:dyDescent="0.3">
      <c r="A93" s="94" t="s">
        <v>478</v>
      </c>
      <c r="B93" s="96">
        <v>470.35</v>
      </c>
      <c r="C93" s="96">
        <v>168.10000000000002</v>
      </c>
    </row>
    <row r="94" spans="1:3" x14ac:dyDescent="0.3">
      <c r="A94" s="94" t="s">
        <v>480</v>
      </c>
      <c r="B94" s="96">
        <v>511.2600000000001</v>
      </c>
      <c r="C94" s="96">
        <v>324.81999999999988</v>
      </c>
    </row>
    <row r="95" spans="1:3" x14ac:dyDescent="0.3">
      <c r="A95" s="94" t="s">
        <v>482</v>
      </c>
      <c r="B95" s="96">
        <v>248.10999999999999</v>
      </c>
      <c r="C95" s="96">
        <v>223.48</v>
      </c>
    </row>
    <row r="96" spans="1:3" x14ac:dyDescent="0.3">
      <c r="A96" s="94" t="s">
        <v>743</v>
      </c>
      <c r="B96" s="96">
        <v>1117.3299999999997</v>
      </c>
      <c r="C96" s="96">
        <v>1132.0099999999998</v>
      </c>
    </row>
    <row r="97" spans="1:3" x14ac:dyDescent="0.3">
      <c r="A97" s="94" t="s">
        <v>485</v>
      </c>
      <c r="B97" s="96">
        <v>58.719999999999985</v>
      </c>
      <c r="C97" s="96">
        <v>606.41</v>
      </c>
    </row>
    <row r="98" spans="1:3" x14ac:dyDescent="0.3">
      <c r="A98" s="94" t="s">
        <v>1025</v>
      </c>
      <c r="B98" s="96">
        <v>0</v>
      </c>
      <c r="C98" s="96">
        <v>0</v>
      </c>
    </row>
    <row r="99" spans="1:3" x14ac:dyDescent="0.3">
      <c r="A99" s="94" t="s">
        <v>488</v>
      </c>
      <c r="B99" s="96">
        <v>-417.91000000000014</v>
      </c>
      <c r="C99" s="96">
        <v>892.36999999999989</v>
      </c>
    </row>
    <row r="100" spans="1:3" x14ac:dyDescent="0.3">
      <c r="A100" s="94" t="s">
        <v>490</v>
      </c>
      <c r="B100" s="96">
        <v>492.57000000000005</v>
      </c>
      <c r="C100" s="96">
        <v>-1.56</v>
      </c>
    </row>
    <row r="101" spans="1:3" x14ac:dyDescent="0.3">
      <c r="A101" s="94" t="s">
        <v>492</v>
      </c>
      <c r="B101" s="96">
        <v>-12.05</v>
      </c>
      <c r="C101" s="96">
        <v>249.45</v>
      </c>
    </row>
    <row r="102" spans="1:3" x14ac:dyDescent="0.3">
      <c r="A102" s="94" t="s">
        <v>494</v>
      </c>
      <c r="B102" s="96">
        <v>1013.26</v>
      </c>
      <c r="C102" s="96">
        <v>184.53000000000003</v>
      </c>
    </row>
    <row r="103" spans="1:3" x14ac:dyDescent="0.3">
      <c r="A103" s="94" t="s">
        <v>497</v>
      </c>
      <c r="B103" s="96">
        <v>228.96999999999997</v>
      </c>
      <c r="C103" s="96">
        <v>311.80000000000007</v>
      </c>
    </row>
    <row r="104" spans="1:3" x14ac:dyDescent="0.3">
      <c r="A104" s="94" t="s">
        <v>744</v>
      </c>
      <c r="B104" s="96">
        <v>643.7700000000001</v>
      </c>
      <c r="C104" s="96">
        <v>534.03</v>
      </c>
    </row>
    <row r="105" spans="1:3" x14ac:dyDescent="0.3">
      <c r="A105" s="94" t="s">
        <v>500</v>
      </c>
      <c r="B105" s="96">
        <v>203.12999999999997</v>
      </c>
      <c r="C105" s="96">
        <v>260.07999999999993</v>
      </c>
    </row>
    <row r="106" spans="1:3" x14ac:dyDescent="0.3">
      <c r="A106" s="94" t="s">
        <v>502</v>
      </c>
      <c r="B106" s="96">
        <v>97.960000000000022</v>
      </c>
      <c r="C106" s="96">
        <v>0</v>
      </c>
    </row>
    <row r="107" spans="1:3" x14ac:dyDescent="0.3">
      <c r="A107" s="94" t="s">
        <v>504</v>
      </c>
      <c r="B107" s="96">
        <v>101.71000000000001</v>
      </c>
      <c r="C107" s="96">
        <v>50.61999999999999</v>
      </c>
    </row>
    <row r="108" spans="1:3" x14ac:dyDescent="0.3">
      <c r="A108" s="94" t="s">
        <v>745</v>
      </c>
      <c r="B108" s="96">
        <v>96.530000000000015</v>
      </c>
      <c r="C108" s="96">
        <v>149.31</v>
      </c>
    </row>
    <row r="109" spans="1:3" x14ac:dyDescent="0.3">
      <c r="A109" s="94" t="s">
        <v>507</v>
      </c>
      <c r="B109" s="96">
        <v>822.39000000000033</v>
      </c>
      <c r="C109" s="96">
        <v>-47.73</v>
      </c>
    </row>
    <row r="110" spans="1:3" x14ac:dyDescent="0.3">
      <c r="A110" s="94" t="s">
        <v>509</v>
      </c>
      <c r="B110" s="96">
        <v>127.21000000000001</v>
      </c>
      <c r="C110" s="96">
        <v>61.97</v>
      </c>
    </row>
    <row r="111" spans="1:3" x14ac:dyDescent="0.3">
      <c r="A111" s="94" t="s">
        <v>511</v>
      </c>
      <c r="B111" s="96">
        <v>439.57000000000005</v>
      </c>
      <c r="C111" s="96">
        <v>31.33</v>
      </c>
    </row>
    <row r="112" spans="1:3" x14ac:dyDescent="0.3">
      <c r="A112" s="94" t="s">
        <v>513</v>
      </c>
      <c r="B112" s="96">
        <v>2391.75</v>
      </c>
      <c r="C112" s="96">
        <v>273.3399999999998</v>
      </c>
    </row>
    <row r="113" spans="1:3" x14ac:dyDescent="0.3">
      <c r="A113" s="94" t="s">
        <v>746</v>
      </c>
      <c r="B113" s="96">
        <v>665.95</v>
      </c>
      <c r="C113" s="96">
        <v>0</v>
      </c>
    </row>
    <row r="114" spans="1:3" x14ac:dyDescent="0.3">
      <c r="A114" s="94" t="s">
        <v>516</v>
      </c>
      <c r="B114" s="96">
        <v>888.26999999999964</v>
      </c>
      <c r="C114" s="96">
        <v>430.25999999999988</v>
      </c>
    </row>
    <row r="115" spans="1:3" x14ac:dyDescent="0.3">
      <c r="A115" s="94" t="s">
        <v>518</v>
      </c>
      <c r="B115" s="96">
        <v>76.859999999999971</v>
      </c>
      <c r="C115" s="96">
        <v>102.68</v>
      </c>
    </row>
    <row r="116" spans="1:3" x14ac:dyDescent="0.3">
      <c r="A116" s="94" t="s">
        <v>520</v>
      </c>
      <c r="B116" s="96">
        <v>744.46000000000026</v>
      </c>
      <c r="C116" s="96">
        <v>393.56</v>
      </c>
    </row>
    <row r="117" spans="1:3" x14ac:dyDescent="0.3">
      <c r="A117" s="94" t="s">
        <v>522</v>
      </c>
      <c r="B117" s="96">
        <v>229.71999999999994</v>
      </c>
      <c r="C117" s="96">
        <v>0</v>
      </c>
    </row>
    <row r="118" spans="1:3" x14ac:dyDescent="0.3">
      <c r="A118" s="94" t="s">
        <v>524</v>
      </c>
      <c r="B118" s="96">
        <v>257.44</v>
      </c>
      <c r="C118" s="96">
        <v>60.089999999999996</v>
      </c>
    </row>
    <row r="119" spans="1:3" x14ac:dyDescent="0.3">
      <c r="A119" s="94" t="s">
        <v>527</v>
      </c>
      <c r="B119" s="96">
        <v>45.809999999999995</v>
      </c>
      <c r="C119" s="96">
        <v>0</v>
      </c>
    </row>
    <row r="120" spans="1:3" x14ac:dyDescent="0.3">
      <c r="A120" s="94" t="s">
        <v>529</v>
      </c>
      <c r="B120" s="96">
        <v>250.52</v>
      </c>
      <c r="C120" s="96">
        <v>20.14</v>
      </c>
    </row>
    <row r="121" spans="1:3" x14ac:dyDescent="0.3">
      <c r="A121" s="94" t="s">
        <v>531</v>
      </c>
      <c r="B121" s="96">
        <v>126.38000000000002</v>
      </c>
      <c r="C121" s="96">
        <v>79.72999999999999</v>
      </c>
    </row>
    <row r="122" spans="1:3" x14ac:dyDescent="0.3">
      <c r="A122" s="94" t="s">
        <v>533</v>
      </c>
      <c r="B122" s="96">
        <v>0.33</v>
      </c>
      <c r="C122" s="96">
        <v>0</v>
      </c>
    </row>
    <row r="123" spans="1:3" x14ac:dyDescent="0.3">
      <c r="A123" s="94" t="s">
        <v>534</v>
      </c>
      <c r="B123" s="96">
        <v>860.73000000000025</v>
      </c>
      <c r="C123" s="96">
        <v>373.82999999999981</v>
      </c>
    </row>
    <row r="124" spans="1:3" x14ac:dyDescent="0.3">
      <c r="A124" s="94" t="s">
        <v>1026</v>
      </c>
      <c r="B124" s="96">
        <v>0</v>
      </c>
      <c r="C124" s="96">
        <v>0</v>
      </c>
    </row>
    <row r="125" spans="1:3" x14ac:dyDescent="0.3">
      <c r="A125" s="94" t="s">
        <v>536</v>
      </c>
      <c r="B125" s="96">
        <v>483.63</v>
      </c>
      <c r="C125" s="96">
        <v>115.29</v>
      </c>
    </row>
    <row r="126" spans="1:3" x14ac:dyDescent="0.3">
      <c r="A126" s="94" t="s">
        <v>747</v>
      </c>
      <c r="B126" s="96">
        <v>15.77</v>
      </c>
      <c r="C126" s="96">
        <v>0</v>
      </c>
    </row>
    <row r="127" spans="1:3" x14ac:dyDescent="0.3">
      <c r="A127" s="94" t="s">
        <v>1027</v>
      </c>
      <c r="B127" s="96">
        <v>0</v>
      </c>
      <c r="C127" s="96">
        <v>-0.28999999999999998</v>
      </c>
    </row>
    <row r="128" spans="1:3" x14ac:dyDescent="0.3">
      <c r="A128" s="94" t="s">
        <v>748</v>
      </c>
      <c r="B128" s="96">
        <v>9.2099999999999991</v>
      </c>
      <c r="C128" s="96">
        <v>9.2099999999999991</v>
      </c>
    </row>
    <row r="129" spans="1:3" x14ac:dyDescent="0.3">
      <c r="A129" s="94" t="s">
        <v>749</v>
      </c>
      <c r="B129" s="96">
        <v>21.41</v>
      </c>
      <c r="C129" s="96">
        <v>21.41</v>
      </c>
    </row>
    <row r="130" spans="1:3" x14ac:dyDescent="0.3">
      <c r="A130" s="94" t="s">
        <v>546</v>
      </c>
      <c r="B130" s="96">
        <v>-65.430000000000007</v>
      </c>
      <c r="C130" s="96">
        <v>36.9</v>
      </c>
    </row>
    <row r="131" spans="1:3" x14ac:dyDescent="0.3">
      <c r="A131" s="94" t="s">
        <v>549</v>
      </c>
      <c r="B131" s="96">
        <v>148.07</v>
      </c>
      <c r="C131" s="96">
        <v>269.27</v>
      </c>
    </row>
    <row r="132" spans="1:3" x14ac:dyDescent="0.3">
      <c r="A132" s="94" t="s">
        <v>551</v>
      </c>
      <c r="B132" s="96">
        <v>19.770000000000003</v>
      </c>
      <c r="C132" s="96">
        <v>80.070000000000007</v>
      </c>
    </row>
    <row r="133" spans="1:3" x14ac:dyDescent="0.3">
      <c r="A133" s="94" t="s">
        <v>553</v>
      </c>
      <c r="B133" s="96">
        <v>39.19</v>
      </c>
      <c r="C133" s="96">
        <v>24.29</v>
      </c>
    </row>
    <row r="134" spans="1:3" x14ac:dyDescent="0.3">
      <c r="A134" s="94" t="s">
        <v>555</v>
      </c>
      <c r="B134" s="96">
        <v>357.56000000000006</v>
      </c>
      <c r="C134" s="96">
        <v>134.72999999999993</v>
      </c>
    </row>
    <row r="135" spans="1:3" x14ac:dyDescent="0.3">
      <c r="A135" s="94" t="s">
        <v>557</v>
      </c>
      <c r="B135" s="96">
        <v>17.369999999999997</v>
      </c>
      <c r="C135" s="96">
        <v>32.659999999999997</v>
      </c>
    </row>
    <row r="136" spans="1:3" x14ac:dyDescent="0.3">
      <c r="A136" s="94" t="s">
        <v>559</v>
      </c>
      <c r="B136" s="96">
        <v>446.47</v>
      </c>
      <c r="C136" s="96">
        <v>214.39000000000001</v>
      </c>
    </row>
    <row r="137" spans="1:3" x14ac:dyDescent="0.3">
      <c r="A137" s="94" t="s">
        <v>1028</v>
      </c>
      <c r="B137" s="96">
        <v>0</v>
      </c>
      <c r="C137" s="96">
        <v>0</v>
      </c>
    </row>
    <row r="138" spans="1:3" x14ac:dyDescent="0.3">
      <c r="A138" s="94" t="s">
        <v>571</v>
      </c>
      <c r="B138" s="96">
        <v>99.47</v>
      </c>
      <c r="C138" s="96">
        <v>330.15</v>
      </c>
    </row>
    <row r="139" spans="1:3" x14ac:dyDescent="0.3">
      <c r="A139" s="94" t="s">
        <v>573</v>
      </c>
      <c r="B139" s="96">
        <v>929.38000000000022</v>
      </c>
      <c r="C139" s="96">
        <v>0</v>
      </c>
    </row>
    <row r="140" spans="1:3" x14ac:dyDescent="0.3">
      <c r="A140" s="94" t="s">
        <v>575</v>
      </c>
      <c r="B140" s="96">
        <v>338.52</v>
      </c>
      <c r="C140" s="96">
        <v>18</v>
      </c>
    </row>
    <row r="141" spans="1:3" x14ac:dyDescent="0.3">
      <c r="A141" s="94" t="s">
        <v>577</v>
      </c>
      <c r="B141" s="96">
        <v>0.15</v>
      </c>
      <c r="C141" s="96">
        <v>46.769999999999996</v>
      </c>
    </row>
    <row r="142" spans="1:3" x14ac:dyDescent="0.3">
      <c r="A142" s="94" t="s">
        <v>579</v>
      </c>
      <c r="B142" s="96">
        <v>256.37</v>
      </c>
      <c r="C142" s="96">
        <v>48.210000000000008</v>
      </c>
    </row>
    <row r="143" spans="1:3" x14ac:dyDescent="0.3">
      <c r="A143" s="94" t="s">
        <v>581</v>
      </c>
      <c r="B143" s="96">
        <v>165.42000000000002</v>
      </c>
      <c r="C143" s="96">
        <v>215.58</v>
      </c>
    </row>
    <row r="144" spans="1:3" x14ac:dyDescent="0.3">
      <c r="A144" s="94" t="s">
        <v>583</v>
      </c>
      <c r="B144" s="96">
        <v>93.72</v>
      </c>
      <c r="C144" s="96">
        <v>827.8399999999998</v>
      </c>
    </row>
    <row r="145" spans="1:3" x14ac:dyDescent="0.3">
      <c r="A145" s="94" t="s">
        <v>585</v>
      </c>
      <c r="B145" s="96">
        <v>3.06</v>
      </c>
      <c r="C145" s="96">
        <v>0</v>
      </c>
    </row>
    <row r="146" spans="1:3" x14ac:dyDescent="0.3">
      <c r="A146" s="94" t="s">
        <v>586</v>
      </c>
      <c r="B146" s="96">
        <v>1599.0800000000004</v>
      </c>
      <c r="C146" s="96">
        <v>270.34999999999997</v>
      </c>
    </row>
    <row r="147" spans="1:3" x14ac:dyDescent="0.3">
      <c r="A147" s="94" t="s">
        <v>750</v>
      </c>
      <c r="B147" s="96">
        <v>93.15</v>
      </c>
      <c r="C147" s="96">
        <v>196.53</v>
      </c>
    </row>
    <row r="148" spans="1:3" x14ac:dyDescent="0.3">
      <c r="A148" s="94" t="s">
        <v>589</v>
      </c>
      <c r="B148" s="96">
        <v>-156.48000000000002</v>
      </c>
      <c r="C148" s="96">
        <v>564.15</v>
      </c>
    </row>
    <row r="149" spans="1:3" x14ac:dyDescent="0.3">
      <c r="A149" s="94" t="s">
        <v>591</v>
      </c>
      <c r="B149" s="96">
        <v>171.14</v>
      </c>
      <c r="C149" s="96">
        <v>-36.69</v>
      </c>
    </row>
    <row r="150" spans="1:3" x14ac:dyDescent="0.3">
      <c r="A150" s="94" t="s">
        <v>593</v>
      </c>
      <c r="B150" s="96">
        <v>598.18000000000029</v>
      </c>
      <c r="C150" s="96">
        <v>432.53999999999996</v>
      </c>
    </row>
    <row r="151" spans="1:3" x14ac:dyDescent="0.3">
      <c r="A151" s="94" t="s">
        <v>595</v>
      </c>
      <c r="B151" s="96">
        <v>124.75</v>
      </c>
      <c r="C151" s="96">
        <v>351.18000000000006</v>
      </c>
    </row>
    <row r="152" spans="1:3" x14ac:dyDescent="0.3">
      <c r="A152" s="94" t="s">
        <v>751</v>
      </c>
      <c r="B152" s="96">
        <v>863.50000000000011</v>
      </c>
      <c r="C152" s="96">
        <v>364.91</v>
      </c>
    </row>
    <row r="153" spans="1:3" x14ac:dyDescent="0.3">
      <c r="A153" s="94" t="s">
        <v>598</v>
      </c>
      <c r="B153" s="96">
        <v>0</v>
      </c>
      <c r="C153" s="96">
        <v>300.23</v>
      </c>
    </row>
    <row r="154" spans="1:3" x14ac:dyDescent="0.3">
      <c r="A154" s="94" t="s">
        <v>606</v>
      </c>
      <c r="B154" s="96">
        <v>168.3</v>
      </c>
      <c r="C154" s="96">
        <v>369.71999999999997</v>
      </c>
    </row>
    <row r="155" spans="1:3" x14ac:dyDescent="0.3">
      <c r="A155" s="94" t="s">
        <v>607</v>
      </c>
      <c r="B155" s="96">
        <v>116.89000000000001</v>
      </c>
      <c r="C155" s="96">
        <v>216.48000000000002</v>
      </c>
    </row>
    <row r="156" spans="1:3" x14ac:dyDescent="0.3">
      <c r="A156" s="94" t="s">
        <v>752</v>
      </c>
      <c r="B156" s="96">
        <v>52.3</v>
      </c>
      <c r="C156" s="96">
        <v>0</v>
      </c>
    </row>
    <row r="157" spans="1:3" x14ac:dyDescent="0.3">
      <c r="A157" s="94" t="s">
        <v>608</v>
      </c>
      <c r="B157" s="96">
        <v>703.17000000000019</v>
      </c>
      <c r="C157" s="96">
        <v>457.45000000000005</v>
      </c>
    </row>
    <row r="158" spans="1:3" x14ac:dyDescent="0.3">
      <c r="A158" s="94" t="s">
        <v>609</v>
      </c>
      <c r="B158" s="96">
        <v>1066.3900000000001</v>
      </c>
      <c r="C158" s="96">
        <v>588.47000000000025</v>
      </c>
    </row>
    <row r="159" spans="1:3" x14ac:dyDescent="0.3">
      <c r="A159" s="94" t="s">
        <v>610</v>
      </c>
      <c r="B159" s="96">
        <v>135.26999999999998</v>
      </c>
      <c r="C159" s="96">
        <v>104.22</v>
      </c>
    </row>
    <row r="160" spans="1:3" x14ac:dyDescent="0.3">
      <c r="A160" s="94" t="s">
        <v>611</v>
      </c>
      <c r="B160" s="96">
        <v>3.24</v>
      </c>
      <c r="C160" s="96">
        <v>560.50000000000011</v>
      </c>
    </row>
    <row r="161" spans="1:3" x14ac:dyDescent="0.3">
      <c r="A161" s="94" t="s">
        <v>612</v>
      </c>
      <c r="B161" s="96">
        <v>576.03999999999985</v>
      </c>
      <c r="C161" s="96">
        <v>27.81</v>
      </c>
    </row>
    <row r="162" spans="1:3" x14ac:dyDescent="0.3">
      <c r="A162" s="94" t="s">
        <v>614</v>
      </c>
      <c r="B162" s="96">
        <v>683.26</v>
      </c>
      <c r="C162" s="96">
        <v>252.75000000000003</v>
      </c>
    </row>
    <row r="163" spans="1:3" x14ac:dyDescent="0.3">
      <c r="A163" s="94" t="s">
        <v>616</v>
      </c>
      <c r="B163" s="96">
        <v>260.74</v>
      </c>
      <c r="C163" s="96">
        <v>221.21999999999997</v>
      </c>
    </row>
    <row r="164" spans="1:3" x14ac:dyDescent="0.3">
      <c r="A164" s="94" t="s">
        <v>618</v>
      </c>
      <c r="B164" s="96">
        <v>990.18999999999994</v>
      </c>
      <c r="C164" s="96">
        <v>201.23</v>
      </c>
    </row>
    <row r="165" spans="1:3" x14ac:dyDescent="0.3">
      <c r="A165" s="94" t="s">
        <v>620</v>
      </c>
      <c r="B165" s="96">
        <v>0</v>
      </c>
      <c r="C165" s="96">
        <v>0</v>
      </c>
    </row>
    <row r="166" spans="1:3" x14ac:dyDescent="0.3">
      <c r="A166" s="94" t="s">
        <v>622</v>
      </c>
      <c r="B166" s="96">
        <v>115.78999999999998</v>
      </c>
      <c r="C166" s="96">
        <v>15.74</v>
      </c>
    </row>
    <row r="167" spans="1:3" x14ac:dyDescent="0.3">
      <c r="A167" s="94" t="s">
        <v>624</v>
      </c>
      <c r="B167" s="96">
        <v>1043.67</v>
      </c>
      <c r="C167" s="96">
        <v>0</v>
      </c>
    </row>
    <row r="168" spans="1:3" x14ac:dyDescent="0.3">
      <c r="A168" s="94" t="s">
        <v>625</v>
      </c>
      <c r="B168" s="96">
        <v>1039.4000000000001</v>
      </c>
      <c r="C168" s="96">
        <v>2250.3199999999997</v>
      </c>
    </row>
    <row r="169" spans="1:3" x14ac:dyDescent="0.3">
      <c r="A169" s="94" t="s">
        <v>627</v>
      </c>
      <c r="B169" s="96">
        <v>327.06999999999994</v>
      </c>
      <c r="C169" s="96">
        <v>493.6</v>
      </c>
    </row>
    <row r="170" spans="1:3" x14ac:dyDescent="0.3">
      <c r="A170" s="94" t="s">
        <v>629</v>
      </c>
      <c r="B170" s="96">
        <v>299.27</v>
      </c>
      <c r="C170" s="96">
        <v>344.01</v>
      </c>
    </row>
    <row r="171" spans="1:3" x14ac:dyDescent="0.3">
      <c r="A171" s="94" t="s">
        <v>631</v>
      </c>
      <c r="B171" s="96">
        <v>1603.6199999999994</v>
      </c>
      <c r="C171" s="96">
        <v>562.76999999999987</v>
      </c>
    </row>
    <row r="172" spans="1:3" x14ac:dyDescent="0.3">
      <c r="A172" s="94" t="s">
        <v>633</v>
      </c>
      <c r="B172" s="96">
        <v>291.95999999999998</v>
      </c>
      <c r="C172" s="96">
        <v>49.129999999999995</v>
      </c>
    </row>
    <row r="173" spans="1:3" x14ac:dyDescent="0.3">
      <c r="A173" s="94" t="s">
        <v>635</v>
      </c>
      <c r="B173" s="96">
        <v>128.59999999999997</v>
      </c>
      <c r="C173" s="96">
        <v>63.790000000000006</v>
      </c>
    </row>
    <row r="174" spans="1:3" x14ac:dyDescent="0.3">
      <c r="A174" s="94" t="s">
        <v>637</v>
      </c>
      <c r="B174" s="96">
        <v>63.91</v>
      </c>
      <c r="C174" s="96">
        <v>205.88</v>
      </c>
    </row>
    <row r="175" spans="1:3" x14ac:dyDescent="0.3">
      <c r="A175" s="94" t="s">
        <v>639</v>
      </c>
      <c r="B175" s="96">
        <v>31.22</v>
      </c>
      <c r="C175" s="96">
        <v>0</v>
      </c>
    </row>
    <row r="176" spans="1:3" x14ac:dyDescent="0.3">
      <c r="A176" s="94" t="s">
        <v>641</v>
      </c>
      <c r="B176" s="96">
        <v>287.67999999999995</v>
      </c>
      <c r="C176" s="96">
        <v>25.13</v>
      </c>
    </row>
    <row r="177" spans="1:3" x14ac:dyDescent="0.3">
      <c r="A177" s="94" t="s">
        <v>643</v>
      </c>
      <c r="B177" s="96">
        <v>0</v>
      </c>
      <c r="C177" s="96">
        <v>293.68999999999994</v>
      </c>
    </row>
    <row r="178" spans="1:3" x14ac:dyDescent="0.3">
      <c r="A178" s="94" t="s">
        <v>645</v>
      </c>
      <c r="B178" s="96">
        <v>131.35</v>
      </c>
      <c r="C178" s="96">
        <v>489.27000000000004</v>
      </c>
    </row>
    <row r="179" spans="1:3" x14ac:dyDescent="0.3">
      <c r="A179" s="94" t="s">
        <v>647</v>
      </c>
      <c r="B179" s="96">
        <v>0</v>
      </c>
      <c r="C179" s="96">
        <v>19.18</v>
      </c>
    </row>
    <row r="180" spans="1:3" x14ac:dyDescent="0.3">
      <c r="A180" s="94" t="s">
        <v>649</v>
      </c>
      <c r="B180" s="96">
        <v>213.98999999999995</v>
      </c>
      <c r="C180" s="96">
        <v>409</v>
      </c>
    </row>
    <row r="181" spans="1:3" x14ac:dyDescent="0.3">
      <c r="A181" s="94" t="s">
        <v>651</v>
      </c>
      <c r="B181" s="96">
        <v>5.6000000000000005</v>
      </c>
      <c r="C181" s="96">
        <v>189.41000000000003</v>
      </c>
    </row>
    <row r="182" spans="1:3" x14ac:dyDescent="0.3">
      <c r="A182" s="94" t="s">
        <v>653</v>
      </c>
      <c r="B182" s="96">
        <v>203.88000000000008</v>
      </c>
      <c r="C182" s="96">
        <v>1181.7899999999995</v>
      </c>
    </row>
    <row r="183" spans="1:3" x14ac:dyDescent="0.3">
      <c r="A183" s="94" t="s">
        <v>655</v>
      </c>
      <c r="B183" s="96">
        <v>269.44999999999993</v>
      </c>
      <c r="C183" s="96">
        <v>182.6</v>
      </c>
    </row>
    <row r="184" spans="1:3" x14ac:dyDescent="0.3">
      <c r="A184" s="94" t="s">
        <v>657</v>
      </c>
      <c r="B184" s="96">
        <v>372.28000000000009</v>
      </c>
      <c r="C184" s="96">
        <v>139.19000000000003</v>
      </c>
    </row>
    <row r="185" spans="1:3" x14ac:dyDescent="0.3">
      <c r="A185" s="94" t="s">
        <v>659</v>
      </c>
      <c r="B185" s="96">
        <v>695.74000000000012</v>
      </c>
      <c r="C185" s="96">
        <v>7.5200000000000005</v>
      </c>
    </row>
    <row r="186" spans="1:3" x14ac:dyDescent="0.3">
      <c r="A186" s="94" t="s">
        <v>661</v>
      </c>
      <c r="B186" s="96">
        <v>198.14999999999998</v>
      </c>
      <c r="C186" s="96">
        <v>697.90999999999974</v>
      </c>
    </row>
    <row r="187" spans="1:3" x14ac:dyDescent="0.3">
      <c r="A187" s="94" t="s">
        <v>663</v>
      </c>
      <c r="B187" s="96">
        <v>472.86999999999995</v>
      </c>
      <c r="C187" s="96">
        <v>235.88</v>
      </c>
    </row>
    <row r="188" spans="1:3" x14ac:dyDescent="0.3">
      <c r="A188" s="94" t="s">
        <v>665</v>
      </c>
      <c r="B188" s="96">
        <v>97.5</v>
      </c>
      <c r="C188" s="96">
        <v>297.46999999999991</v>
      </c>
    </row>
    <row r="189" spans="1:3" x14ac:dyDescent="0.3">
      <c r="A189" s="94" t="s">
        <v>667</v>
      </c>
      <c r="B189" s="96">
        <v>239.28999999999996</v>
      </c>
      <c r="C189" s="96">
        <v>772.97999999999956</v>
      </c>
    </row>
    <row r="190" spans="1:3" x14ac:dyDescent="0.3">
      <c r="A190" s="94" t="s">
        <v>669</v>
      </c>
      <c r="B190" s="96">
        <v>16.459999999999997</v>
      </c>
      <c r="C190" s="96">
        <v>191.55</v>
      </c>
    </row>
    <row r="191" spans="1:3" x14ac:dyDescent="0.3">
      <c r="A191" s="94" t="s">
        <v>672</v>
      </c>
      <c r="B191" s="96">
        <v>231.12</v>
      </c>
      <c r="C191" s="96">
        <v>0</v>
      </c>
    </row>
    <row r="192" spans="1:3" x14ac:dyDescent="0.3">
      <c r="A192" s="94" t="s">
        <v>675</v>
      </c>
      <c r="B192" s="96">
        <v>0</v>
      </c>
      <c r="C192" s="96">
        <v>17.63</v>
      </c>
    </row>
    <row r="193" spans="1:3" x14ac:dyDescent="0.3">
      <c r="A193" s="94" t="s">
        <v>677</v>
      </c>
      <c r="B193" s="96">
        <v>948.52</v>
      </c>
      <c r="C193" s="96">
        <v>376.28</v>
      </c>
    </row>
    <row r="194" spans="1:3" x14ac:dyDescent="0.3">
      <c r="A194" s="94" t="s">
        <v>679</v>
      </c>
      <c r="B194" s="96">
        <v>383.1699999999999</v>
      </c>
      <c r="C194" s="96">
        <v>99.089999999999989</v>
      </c>
    </row>
    <row r="195" spans="1:3" x14ac:dyDescent="0.3">
      <c r="A195" s="94" t="s">
        <v>681</v>
      </c>
      <c r="B195" s="96">
        <v>50.410000000000004</v>
      </c>
      <c r="C195" s="96">
        <v>392.87999999999994</v>
      </c>
    </row>
    <row r="196" spans="1:3" x14ac:dyDescent="0.3">
      <c r="A196" s="94" t="s">
        <v>683</v>
      </c>
      <c r="B196" s="96">
        <v>3</v>
      </c>
      <c r="C196" s="96">
        <v>452.21</v>
      </c>
    </row>
    <row r="197" spans="1:3" x14ac:dyDescent="0.3">
      <c r="A197" s="94" t="s">
        <v>685</v>
      </c>
      <c r="B197" s="96">
        <v>417.11999999999989</v>
      </c>
      <c r="C197" s="96">
        <v>467.37000000000012</v>
      </c>
    </row>
    <row r="198" spans="1:3" x14ac:dyDescent="0.3">
      <c r="A198" s="94" t="s">
        <v>687</v>
      </c>
      <c r="B198" s="96">
        <v>347.68999999999988</v>
      </c>
      <c r="C198" s="96">
        <v>216.76000000000002</v>
      </c>
    </row>
    <row r="199" spans="1:3" x14ac:dyDescent="0.3">
      <c r="A199" s="94" t="s">
        <v>689</v>
      </c>
      <c r="B199" s="96">
        <v>340.56000000000006</v>
      </c>
      <c r="C199" s="96">
        <v>231.32999999999998</v>
      </c>
    </row>
    <row r="200" spans="1:3" x14ac:dyDescent="0.3">
      <c r="A200" s="94" t="s">
        <v>691</v>
      </c>
      <c r="B200" s="96">
        <v>330.65999999999997</v>
      </c>
      <c r="C200" s="96">
        <v>513.89</v>
      </c>
    </row>
    <row r="201" spans="1:3" x14ac:dyDescent="0.3">
      <c r="A201" s="94" t="s">
        <v>693</v>
      </c>
      <c r="B201" s="96">
        <v>598.3199999999996</v>
      </c>
      <c r="C201" s="96">
        <v>159.60000000000005</v>
      </c>
    </row>
    <row r="202" spans="1:3" x14ac:dyDescent="0.3">
      <c r="A202" s="94" t="s">
        <v>1029</v>
      </c>
      <c r="B202" s="96">
        <v>0</v>
      </c>
      <c r="C202" s="96">
        <v>722.05000000000007</v>
      </c>
    </row>
    <row r="203" spans="1:3" x14ac:dyDescent="0.3">
      <c r="A203" s="94" t="s">
        <v>696</v>
      </c>
      <c r="B203" s="96">
        <v>97.49</v>
      </c>
      <c r="C203" s="96">
        <v>1188.1500000000003</v>
      </c>
    </row>
    <row r="204" spans="1:3" x14ac:dyDescent="0.3">
      <c r="A204" s="94" t="s">
        <v>698</v>
      </c>
      <c r="B204" s="96">
        <v>41.449999999999996</v>
      </c>
      <c r="C204" s="96">
        <v>256.62</v>
      </c>
    </row>
    <row r="205" spans="1:3" x14ac:dyDescent="0.3">
      <c r="A205" s="94" t="s">
        <v>700</v>
      </c>
      <c r="B205" s="96">
        <v>74.75</v>
      </c>
      <c r="C205" s="96">
        <v>685.67000000000007</v>
      </c>
    </row>
    <row r="206" spans="1:3" x14ac:dyDescent="0.3">
      <c r="A206" s="94" t="s">
        <v>702</v>
      </c>
      <c r="B206" s="96">
        <v>652.6500000000002</v>
      </c>
      <c r="C206" s="96">
        <v>557.32999999999993</v>
      </c>
    </row>
    <row r="207" spans="1:3" x14ac:dyDescent="0.3">
      <c r="A207" s="94" t="s">
        <v>704</v>
      </c>
      <c r="B207" s="96">
        <v>580.41999999999996</v>
      </c>
      <c r="C207" s="96">
        <v>246.84000000000003</v>
      </c>
    </row>
    <row r="208" spans="1:3" x14ac:dyDescent="0.3">
      <c r="A208" s="94" t="s">
        <v>706</v>
      </c>
      <c r="B208" s="96">
        <v>317.96000000000004</v>
      </c>
      <c r="C208" s="96">
        <v>983.06</v>
      </c>
    </row>
    <row r="209" spans="1:3" x14ac:dyDescent="0.3">
      <c r="A209" s="94" t="s">
        <v>708</v>
      </c>
      <c r="B209" s="96">
        <v>147.53</v>
      </c>
      <c r="C209" s="96">
        <v>204.85000000000005</v>
      </c>
    </row>
    <row r="210" spans="1:3" x14ac:dyDescent="0.3">
      <c r="A210" s="94" t="s">
        <v>710</v>
      </c>
      <c r="B210" s="96">
        <v>203.67000000000004</v>
      </c>
      <c r="C210" s="96">
        <v>879.8</v>
      </c>
    </row>
    <row r="211" spans="1:3" x14ac:dyDescent="0.3">
      <c r="A211" s="94" t="s">
        <v>712</v>
      </c>
      <c r="B211" s="96">
        <v>103.96000000000001</v>
      </c>
      <c r="C211" s="96">
        <v>88.52</v>
      </c>
    </row>
    <row r="212" spans="1:3" x14ac:dyDescent="0.3">
      <c r="A212" s="94" t="s">
        <v>714</v>
      </c>
      <c r="B212" s="96">
        <v>253.6</v>
      </c>
      <c r="C212" s="96">
        <v>622.68000000000006</v>
      </c>
    </row>
    <row r="213" spans="1:3" x14ac:dyDescent="0.3">
      <c r="A213" s="97" t="s">
        <v>720</v>
      </c>
      <c r="B213" s="98">
        <f>SUM(B4:B212)</f>
        <v>60619.099999999977</v>
      </c>
      <c r="C213" s="98">
        <f>SUM(C4:C212)</f>
        <v>51480.299999999981</v>
      </c>
    </row>
  </sheetData>
  <mergeCells count="2">
    <mergeCell ref="A2:C2"/>
    <mergeCell ref="E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2D60F-C5B4-4D8C-9ABA-644616EB234C}">
  <sheetPr>
    <tabColor theme="9"/>
  </sheetPr>
  <dimension ref="A1:I315"/>
  <sheetViews>
    <sheetView topLeftCell="A206" zoomScale="90" zoomScaleNormal="90" workbookViewId="0">
      <selection activeCell="B222" sqref="B222"/>
    </sheetView>
  </sheetViews>
  <sheetFormatPr baseColWidth="10" defaultRowHeight="14.4" x14ac:dyDescent="0.3"/>
  <cols>
    <col min="1" max="1" width="44.6640625" bestFit="1" customWidth="1"/>
    <col min="2" max="3" width="12.6640625" bestFit="1" customWidth="1"/>
    <col min="4" max="4" width="14.44140625" bestFit="1" customWidth="1"/>
    <col min="5" max="5" width="16.44140625" bestFit="1" customWidth="1"/>
    <col min="6" max="6" width="14.44140625" bestFit="1" customWidth="1"/>
    <col min="7" max="7" width="13.44140625" bestFit="1" customWidth="1"/>
    <col min="8" max="8" width="12.44140625" customWidth="1"/>
    <col min="9" max="9" width="12.44140625" bestFit="1" customWidth="1"/>
  </cols>
  <sheetData>
    <row r="1" spans="1:9" x14ac:dyDescent="0.3">
      <c r="A1" s="19" t="s">
        <v>273</v>
      </c>
      <c r="B1" s="19" t="s">
        <v>1</v>
      </c>
      <c r="C1" s="19" t="s">
        <v>2</v>
      </c>
      <c r="D1" s="19" t="s">
        <v>3</v>
      </c>
      <c r="E1" s="19" t="s">
        <v>4</v>
      </c>
      <c r="F1" s="18" t="s">
        <v>966</v>
      </c>
      <c r="G1" s="19" t="s">
        <v>0</v>
      </c>
      <c r="H1" s="18"/>
    </row>
    <row r="2" spans="1:9" x14ac:dyDescent="0.3">
      <c r="A2" s="2" t="s">
        <v>754</v>
      </c>
      <c r="B2" s="3">
        <v>391.17899999999997</v>
      </c>
      <c r="C2" s="3"/>
      <c r="D2" s="3"/>
      <c r="E2" s="3"/>
      <c r="F2" s="3">
        <f>SUM(D2,E2)</f>
        <v>0</v>
      </c>
      <c r="G2" s="3">
        <f>B2+C2+D2+E2</f>
        <v>391.17899999999997</v>
      </c>
      <c r="H2" s="22">
        <f>IFERROR(C2/F2,0%)</f>
        <v>0</v>
      </c>
      <c r="I2" s="3"/>
    </row>
    <row r="3" spans="1:9" x14ac:dyDescent="0.3">
      <c r="A3" s="2" t="s">
        <v>755</v>
      </c>
      <c r="B3" s="3">
        <v>9865.8790000000008</v>
      </c>
      <c r="C3" s="3">
        <v>22717.277999999998</v>
      </c>
      <c r="D3" s="3">
        <v>-42850.541000000005</v>
      </c>
      <c r="E3" s="3">
        <v>-6262.7290000000003</v>
      </c>
      <c r="F3" s="3">
        <f t="shared" ref="F3:F66" si="0">SUM(D3,E3)</f>
        <v>-49113.270000000004</v>
      </c>
      <c r="G3" s="3">
        <f t="shared" ref="G3:G78" si="1">B3+C3+D3+E3</f>
        <v>-16530.113000000005</v>
      </c>
      <c r="H3" s="22">
        <f t="shared" ref="H3:H66" si="2">IFERROR(C3/F3,0%)</f>
        <v>-0.4625486757448648</v>
      </c>
    </row>
    <row r="4" spans="1:9" x14ac:dyDescent="0.3">
      <c r="A4" s="2" t="s">
        <v>756</v>
      </c>
      <c r="B4" s="3">
        <v>4713.6880000000001</v>
      </c>
      <c r="C4" s="3">
        <v>29078.434000000001</v>
      </c>
      <c r="D4" s="3">
        <v>-49631.89</v>
      </c>
      <c r="E4" s="3">
        <v>-7309.9319999999998</v>
      </c>
      <c r="F4" s="3">
        <f t="shared" si="0"/>
        <v>-56941.822</v>
      </c>
      <c r="G4" s="3">
        <f t="shared" si="1"/>
        <v>-23149.699999999997</v>
      </c>
      <c r="H4" s="22">
        <f t="shared" si="2"/>
        <v>-0.51066918793009475</v>
      </c>
    </row>
    <row r="5" spans="1:9" x14ac:dyDescent="0.3">
      <c r="A5" s="2" t="s">
        <v>757</v>
      </c>
      <c r="B5" s="3">
        <v>7403.344000000001</v>
      </c>
      <c r="C5" s="3">
        <v>60262.727000000006</v>
      </c>
      <c r="D5" s="3">
        <v>-104454.00400000002</v>
      </c>
      <c r="E5" s="3">
        <v>-14443.038999999999</v>
      </c>
      <c r="F5" s="3">
        <f t="shared" si="0"/>
        <v>-118897.04300000002</v>
      </c>
      <c r="G5" s="3">
        <f t="shared" si="1"/>
        <v>-51230.972000000002</v>
      </c>
      <c r="H5" s="22">
        <f t="shared" si="2"/>
        <v>-0.5068479878006722</v>
      </c>
    </row>
    <row r="6" spans="1:9" x14ac:dyDescent="0.3">
      <c r="A6" s="2" t="s">
        <v>758</v>
      </c>
      <c r="B6" s="3">
        <v>5414.6519999999991</v>
      </c>
      <c r="C6" s="3">
        <v>41163.746000000006</v>
      </c>
      <c r="D6" s="3">
        <v>-73293.141000000018</v>
      </c>
      <c r="E6" s="3">
        <v>-10855.169</v>
      </c>
      <c r="F6" s="3">
        <f t="shared" si="0"/>
        <v>-84148.310000000012</v>
      </c>
      <c r="G6" s="3">
        <f t="shared" ref="G6:G17" si="3">B6+C6+D6+E6</f>
        <v>-37569.912000000011</v>
      </c>
      <c r="H6" s="22">
        <f t="shared" si="2"/>
        <v>-0.48918089977089263</v>
      </c>
    </row>
    <row r="7" spans="1:9" x14ac:dyDescent="0.3">
      <c r="A7" s="2" t="s">
        <v>1032</v>
      </c>
      <c r="B7" s="3">
        <v>-11.032999999999999</v>
      </c>
      <c r="C7" s="3"/>
      <c r="D7" s="3"/>
      <c r="E7" s="3"/>
      <c r="F7" s="3">
        <f t="shared" si="0"/>
        <v>0</v>
      </c>
      <c r="G7" s="3">
        <f t="shared" si="3"/>
        <v>-11.032999999999999</v>
      </c>
      <c r="H7" s="22">
        <f t="shared" si="2"/>
        <v>0</v>
      </c>
    </row>
    <row r="8" spans="1:9" x14ac:dyDescent="0.3">
      <c r="A8" s="2" t="s">
        <v>759</v>
      </c>
      <c r="B8" s="3">
        <v>25121.690999999999</v>
      </c>
      <c r="C8" s="3">
        <v>6022.5019999999995</v>
      </c>
      <c r="D8" s="3">
        <v>-17002.862999999998</v>
      </c>
      <c r="E8" s="3">
        <v>-2326.2280000000001</v>
      </c>
      <c r="F8" s="3">
        <f t="shared" si="0"/>
        <v>-19329.090999999997</v>
      </c>
      <c r="G8" s="3">
        <f t="shared" si="3"/>
        <v>11815.102000000003</v>
      </c>
      <c r="H8" s="22">
        <f t="shared" si="2"/>
        <v>-0.31157709382194954</v>
      </c>
    </row>
    <row r="9" spans="1:9" x14ac:dyDescent="0.3">
      <c r="A9" s="2" t="s">
        <v>760</v>
      </c>
      <c r="B9" s="3">
        <v>6722.8540000000003</v>
      </c>
      <c r="C9" s="3">
        <v>5543.3280000000004</v>
      </c>
      <c r="D9" s="3">
        <v>-10027.620999999999</v>
      </c>
      <c r="E9" s="3">
        <v>-1473.34</v>
      </c>
      <c r="F9" s="3">
        <f t="shared" si="0"/>
        <v>-11500.960999999999</v>
      </c>
      <c r="G9" s="3">
        <f t="shared" si="3"/>
        <v>765.2210000000016</v>
      </c>
      <c r="H9" s="22">
        <f t="shared" si="2"/>
        <v>-0.48198824428671661</v>
      </c>
    </row>
    <row r="10" spans="1:9" x14ac:dyDescent="0.3">
      <c r="A10" s="2" t="s">
        <v>761</v>
      </c>
      <c r="B10" s="3">
        <v>7256.2009999999991</v>
      </c>
      <c r="C10" s="3">
        <v>49343.272000000012</v>
      </c>
      <c r="D10" s="3">
        <v>-81546.615999999995</v>
      </c>
      <c r="E10" s="3">
        <v>-12020.995000000001</v>
      </c>
      <c r="F10" s="3">
        <f t="shared" si="0"/>
        <v>-93567.61099999999</v>
      </c>
      <c r="G10" s="3">
        <f t="shared" si="3"/>
        <v>-36968.137999999984</v>
      </c>
      <c r="H10" s="22">
        <f t="shared" si="2"/>
        <v>-0.52735419310855347</v>
      </c>
    </row>
    <row r="11" spans="1:9" x14ac:dyDescent="0.3">
      <c r="A11" s="2" t="s">
        <v>762</v>
      </c>
      <c r="B11" s="3">
        <v>1807.0839999999998</v>
      </c>
      <c r="C11" s="3">
        <v>-181.214</v>
      </c>
      <c r="D11" s="3"/>
      <c r="E11" s="3"/>
      <c r="F11" s="3">
        <f t="shared" si="0"/>
        <v>0</v>
      </c>
      <c r="G11" s="3">
        <f t="shared" si="3"/>
        <v>1625.87</v>
      </c>
      <c r="H11" s="22">
        <f t="shared" si="2"/>
        <v>0</v>
      </c>
    </row>
    <row r="12" spans="1:9" x14ac:dyDescent="0.3">
      <c r="A12" s="2" t="s">
        <v>763</v>
      </c>
      <c r="B12" s="3">
        <v>2174.2639999999997</v>
      </c>
      <c r="C12" s="3">
        <v>7697.8409999999994</v>
      </c>
      <c r="D12" s="3"/>
      <c r="E12" s="3"/>
      <c r="F12" s="3">
        <f t="shared" si="0"/>
        <v>0</v>
      </c>
      <c r="G12" s="3">
        <f t="shared" si="3"/>
        <v>9872.1049999999996</v>
      </c>
      <c r="H12" s="22">
        <f t="shared" si="2"/>
        <v>0</v>
      </c>
    </row>
    <row r="13" spans="1:9" x14ac:dyDescent="0.3">
      <c r="A13" s="2" t="s">
        <v>1033</v>
      </c>
      <c r="B13" s="3">
        <v>16.62</v>
      </c>
      <c r="C13" s="3">
        <v>-32.067999999999998</v>
      </c>
      <c r="D13" s="3"/>
      <c r="E13" s="3"/>
      <c r="F13" s="3">
        <f t="shared" si="0"/>
        <v>0</v>
      </c>
      <c r="G13" s="3">
        <f t="shared" si="3"/>
        <v>-15.447999999999997</v>
      </c>
      <c r="H13" s="22">
        <f t="shared" si="2"/>
        <v>0</v>
      </c>
    </row>
    <row r="14" spans="1:9" x14ac:dyDescent="0.3">
      <c r="A14" s="2" t="s">
        <v>764</v>
      </c>
      <c r="B14" s="3">
        <v>310.18799999999999</v>
      </c>
      <c r="C14" s="3">
        <v>18339.909999999996</v>
      </c>
      <c r="D14" s="3">
        <v>-35063.774999999994</v>
      </c>
      <c r="E14" s="3">
        <v>-5058.8270000000002</v>
      </c>
      <c r="F14" s="3">
        <f t="shared" si="0"/>
        <v>-40122.601999999992</v>
      </c>
      <c r="G14" s="3">
        <f t="shared" si="3"/>
        <v>-21472.504000000001</v>
      </c>
      <c r="H14" s="22">
        <f t="shared" si="2"/>
        <v>-0.45709672568095161</v>
      </c>
    </row>
    <row r="15" spans="1:9" x14ac:dyDescent="0.3">
      <c r="A15" s="2" t="s">
        <v>765</v>
      </c>
      <c r="B15" s="3">
        <v>4065.6880000000001</v>
      </c>
      <c r="C15" s="3">
        <v>24877.791000000005</v>
      </c>
      <c r="D15" s="3">
        <v>-44264.450000000004</v>
      </c>
      <c r="E15" s="3"/>
      <c r="F15" s="3">
        <f t="shared" si="0"/>
        <v>-44264.450000000004</v>
      </c>
      <c r="G15" s="3">
        <f t="shared" si="3"/>
        <v>-15320.970999999998</v>
      </c>
      <c r="H15" s="22">
        <f t="shared" si="2"/>
        <v>-0.56202643430563359</v>
      </c>
    </row>
    <row r="16" spans="1:9" x14ac:dyDescent="0.3">
      <c r="A16" s="2" t="s">
        <v>766</v>
      </c>
      <c r="B16" s="3">
        <v>5359.375</v>
      </c>
      <c r="C16" s="3">
        <v>22589.678</v>
      </c>
      <c r="D16" s="3">
        <v>-39774.959999999999</v>
      </c>
      <c r="E16" s="3">
        <v>-5408.1540000000005</v>
      </c>
      <c r="F16" s="3">
        <f t="shared" si="0"/>
        <v>-45183.114000000001</v>
      </c>
      <c r="G16" s="3">
        <f t="shared" si="3"/>
        <v>-17234.061000000002</v>
      </c>
      <c r="H16" s="22">
        <f t="shared" si="2"/>
        <v>-0.49995841366754845</v>
      </c>
    </row>
    <row r="17" spans="1:8" x14ac:dyDescent="0.3">
      <c r="A17" s="2" t="s">
        <v>767</v>
      </c>
      <c r="B17" s="3">
        <v>8264.5929999999989</v>
      </c>
      <c r="C17" s="3">
        <v>17173.338</v>
      </c>
      <c r="D17" s="3">
        <v>-28714.826000000001</v>
      </c>
      <c r="E17" s="3">
        <v>-4288.1689999999999</v>
      </c>
      <c r="F17" s="3">
        <f t="shared" si="0"/>
        <v>-33002.995000000003</v>
      </c>
      <c r="G17" s="3">
        <f t="shared" si="3"/>
        <v>-7565.0640000000039</v>
      </c>
      <c r="H17" s="22">
        <f t="shared" si="2"/>
        <v>-0.5203569554823736</v>
      </c>
    </row>
    <row r="18" spans="1:8" x14ac:dyDescent="0.3">
      <c r="A18" s="2" t="s">
        <v>768</v>
      </c>
      <c r="B18" s="3">
        <v>3561.3290000000002</v>
      </c>
      <c r="C18" s="3">
        <v>16467.36</v>
      </c>
      <c r="D18" s="3">
        <v>-28423.280999999999</v>
      </c>
      <c r="E18" s="3">
        <v>-4072.4160000000002</v>
      </c>
      <c r="F18" s="3">
        <f t="shared" si="0"/>
        <v>-32495.697</v>
      </c>
      <c r="G18" s="3">
        <f t="shared" si="1"/>
        <v>-12467.007999999998</v>
      </c>
      <c r="H18" s="22">
        <f t="shared" si="2"/>
        <v>-0.50675509437449517</v>
      </c>
    </row>
    <row r="19" spans="1:8" x14ac:dyDescent="0.3">
      <c r="A19" s="2" t="s">
        <v>769</v>
      </c>
      <c r="B19" s="3">
        <v>7330.5019999999986</v>
      </c>
      <c r="C19" s="3">
        <v>38567.289000000012</v>
      </c>
      <c r="D19" s="3">
        <v>-69454.678000000014</v>
      </c>
      <c r="E19" s="3">
        <v>-9945.5939999999991</v>
      </c>
      <c r="F19" s="3">
        <f t="shared" si="0"/>
        <v>-79400.272000000012</v>
      </c>
      <c r="G19" s="3">
        <f t="shared" si="1"/>
        <v>-33502.481</v>
      </c>
      <c r="H19" s="22">
        <f t="shared" si="2"/>
        <v>-0.48573245441778845</v>
      </c>
    </row>
    <row r="20" spans="1:8" x14ac:dyDescent="0.3">
      <c r="A20" s="2" t="s">
        <v>770</v>
      </c>
      <c r="B20" s="3">
        <v>6102.9489999999996</v>
      </c>
      <c r="C20" s="3">
        <v>23941.995999999999</v>
      </c>
      <c r="D20" s="3">
        <v>-42456.901000000005</v>
      </c>
      <c r="E20" s="3">
        <v>-5997.8320000000003</v>
      </c>
      <c r="F20" s="3">
        <f t="shared" si="0"/>
        <v>-48454.733000000007</v>
      </c>
      <c r="G20" s="3">
        <f t="shared" si="1"/>
        <v>-18409.788000000008</v>
      </c>
      <c r="H20" s="22">
        <f t="shared" si="2"/>
        <v>-0.49411057532811081</v>
      </c>
    </row>
    <row r="21" spans="1:8" x14ac:dyDescent="0.3">
      <c r="A21" s="2" t="s">
        <v>771</v>
      </c>
      <c r="B21" s="3">
        <v>6610.1810000000005</v>
      </c>
      <c r="C21" s="3">
        <v>24201.918999999998</v>
      </c>
      <c r="D21" s="3">
        <v>-42637.384000000005</v>
      </c>
      <c r="E21" s="3">
        <v>-6002.8099999999995</v>
      </c>
      <c r="F21" s="3">
        <f t="shared" si="0"/>
        <v>-48640.194000000003</v>
      </c>
      <c r="G21" s="3">
        <f t="shared" si="1"/>
        <v>-17828.094000000005</v>
      </c>
      <c r="H21" s="22">
        <f t="shared" si="2"/>
        <v>-0.49757036330899496</v>
      </c>
    </row>
    <row r="22" spans="1:8" x14ac:dyDescent="0.3">
      <c r="A22" s="2" t="s">
        <v>1034</v>
      </c>
      <c r="B22" s="3">
        <v>784.00599999999997</v>
      </c>
      <c r="C22" s="3">
        <v>815.36100000000022</v>
      </c>
      <c r="D22" s="3">
        <v>-2366.6699999999996</v>
      </c>
      <c r="E22" s="3">
        <v>-341.41</v>
      </c>
      <c r="F22" s="3">
        <f t="shared" si="0"/>
        <v>-2708.0799999999995</v>
      </c>
      <c r="G22" s="3">
        <f t="shared" si="1"/>
        <v>-1108.7129999999995</v>
      </c>
      <c r="H22" s="22">
        <f t="shared" si="2"/>
        <v>-0.30108453221470577</v>
      </c>
    </row>
    <row r="23" spans="1:8" x14ac:dyDescent="0.3">
      <c r="A23" s="2" t="s">
        <v>772</v>
      </c>
      <c r="B23" s="3">
        <v>11196.559000000001</v>
      </c>
      <c r="C23" s="3">
        <v>63765.98599999999</v>
      </c>
      <c r="D23" s="3">
        <v>-104268.81600000002</v>
      </c>
      <c r="E23" s="3">
        <v>-15267.428</v>
      </c>
      <c r="F23" s="3">
        <f t="shared" si="0"/>
        <v>-119536.24400000002</v>
      </c>
      <c r="G23" s="3">
        <f t="shared" si="1"/>
        <v>-44573.699000000037</v>
      </c>
      <c r="H23" s="22">
        <f t="shared" si="2"/>
        <v>-0.53344478516490768</v>
      </c>
    </row>
    <row r="24" spans="1:8" x14ac:dyDescent="0.3">
      <c r="A24" s="2" t="s">
        <v>773</v>
      </c>
      <c r="B24" s="3">
        <v>4028.579999999999</v>
      </c>
      <c r="C24" s="3">
        <v>19262.202999999998</v>
      </c>
      <c r="D24" s="3">
        <v>-33678.030999999995</v>
      </c>
      <c r="E24" s="3">
        <v>-4809.8710000000001</v>
      </c>
      <c r="F24" s="3">
        <f t="shared" si="0"/>
        <v>-38487.901999999995</v>
      </c>
      <c r="G24" s="3">
        <f t="shared" si="1"/>
        <v>-15197.118999999999</v>
      </c>
      <c r="H24" s="22">
        <f t="shared" si="2"/>
        <v>-0.50047422694019539</v>
      </c>
    </row>
    <row r="25" spans="1:8" x14ac:dyDescent="0.3">
      <c r="A25" s="2" t="s">
        <v>774</v>
      </c>
      <c r="B25" s="3">
        <v>11531.063</v>
      </c>
      <c r="C25" s="3">
        <v>32236.413999999997</v>
      </c>
      <c r="D25" s="3">
        <v>-60104.394000000008</v>
      </c>
      <c r="E25" s="3">
        <v>-8934.4990000000016</v>
      </c>
      <c r="F25" s="3">
        <f t="shared" si="0"/>
        <v>-69038.893000000011</v>
      </c>
      <c r="G25" s="3">
        <f t="shared" si="1"/>
        <v>-25271.416000000012</v>
      </c>
      <c r="H25" s="22">
        <f t="shared" si="2"/>
        <v>-0.46693121223713702</v>
      </c>
    </row>
    <row r="26" spans="1:8" x14ac:dyDescent="0.3">
      <c r="A26" s="2" t="s">
        <v>775</v>
      </c>
      <c r="B26" s="3">
        <v>11074.405000000001</v>
      </c>
      <c r="C26" s="3">
        <v>69758.570999999996</v>
      </c>
      <c r="D26" s="3">
        <v>-107646.38099999999</v>
      </c>
      <c r="E26" s="3">
        <v>-15914.072</v>
      </c>
      <c r="F26" s="3">
        <f t="shared" si="0"/>
        <v>-123560.45299999999</v>
      </c>
      <c r="G26" s="3">
        <f t="shared" si="1"/>
        <v>-42727.476999999999</v>
      </c>
      <c r="H26" s="22">
        <f t="shared" si="2"/>
        <v>-0.56457037269036237</v>
      </c>
    </row>
    <row r="27" spans="1:8" x14ac:dyDescent="0.3">
      <c r="A27" s="2" t="s">
        <v>776</v>
      </c>
      <c r="B27" s="3">
        <v>4805.208999999998</v>
      </c>
      <c r="C27" s="3">
        <v>28294.647999999997</v>
      </c>
      <c r="D27" s="3">
        <v>-43041.202000000005</v>
      </c>
      <c r="E27" s="3">
        <v>-5823.7079999999996</v>
      </c>
      <c r="F27" s="3">
        <f t="shared" si="0"/>
        <v>-48864.91</v>
      </c>
      <c r="G27" s="3">
        <f t="shared" si="1"/>
        <v>-15765.053000000007</v>
      </c>
      <c r="H27" s="22">
        <f t="shared" si="2"/>
        <v>-0.57903816869815161</v>
      </c>
    </row>
    <row r="28" spans="1:8" x14ac:dyDescent="0.3">
      <c r="A28" s="2" t="s">
        <v>777</v>
      </c>
      <c r="B28" s="3">
        <v>5421.8010000000004</v>
      </c>
      <c r="C28" s="3">
        <v>65230.390999999996</v>
      </c>
      <c r="D28" s="3">
        <v>-97801.734000000011</v>
      </c>
      <c r="E28" s="3">
        <v>-13752.275</v>
      </c>
      <c r="F28" s="3">
        <f t="shared" si="0"/>
        <v>-111554.00900000001</v>
      </c>
      <c r="G28" s="3">
        <f t="shared" si="1"/>
        <v>-40901.817000000017</v>
      </c>
      <c r="H28" s="22">
        <f t="shared" si="2"/>
        <v>-0.58474268728432699</v>
      </c>
    </row>
    <row r="29" spans="1:8" x14ac:dyDescent="0.3">
      <c r="A29" s="2" t="s">
        <v>778</v>
      </c>
      <c r="B29" s="3">
        <v>4141.9080000000004</v>
      </c>
      <c r="C29" s="3">
        <v>18863.316000000003</v>
      </c>
      <c r="D29" s="3">
        <v>-30700.527999999998</v>
      </c>
      <c r="E29" s="3">
        <v>-4099.0259999999998</v>
      </c>
      <c r="F29" s="3">
        <f t="shared" si="0"/>
        <v>-34799.553999999996</v>
      </c>
      <c r="G29" s="3">
        <f t="shared" si="1"/>
        <v>-11794.329999999996</v>
      </c>
      <c r="H29" s="22">
        <f t="shared" si="2"/>
        <v>-0.54205625738766661</v>
      </c>
    </row>
    <row r="30" spans="1:8" x14ac:dyDescent="0.3">
      <c r="A30" s="2" t="s">
        <v>779</v>
      </c>
      <c r="B30" s="3">
        <v>4392.3190000000004</v>
      </c>
      <c r="C30" s="3">
        <v>33010.968999999997</v>
      </c>
      <c r="D30" s="3">
        <v>-52116.930999999997</v>
      </c>
      <c r="E30" s="3">
        <v>-7167.5039999999999</v>
      </c>
      <c r="F30" s="3">
        <f t="shared" si="0"/>
        <v>-59284.434999999998</v>
      </c>
      <c r="G30" s="3">
        <f t="shared" si="1"/>
        <v>-21881.146999999997</v>
      </c>
      <c r="H30" s="22">
        <f t="shared" si="2"/>
        <v>-0.55682354061399086</v>
      </c>
    </row>
    <row r="31" spans="1:8" x14ac:dyDescent="0.3">
      <c r="A31" s="2" t="s">
        <v>780</v>
      </c>
      <c r="B31" s="3">
        <v>5875.3009999999995</v>
      </c>
      <c r="C31" s="3">
        <v>35349.548999999992</v>
      </c>
      <c r="D31" s="3">
        <v>-64164.723999999995</v>
      </c>
      <c r="E31" s="3">
        <v>-9296.3850000000002</v>
      </c>
      <c r="F31" s="3">
        <f t="shared" si="0"/>
        <v>-73461.108999999997</v>
      </c>
      <c r="G31" s="3">
        <f t="shared" si="1"/>
        <v>-32236.259000000005</v>
      </c>
      <c r="H31" s="22">
        <f t="shared" si="2"/>
        <v>-0.48120086235017218</v>
      </c>
    </row>
    <row r="32" spans="1:8" x14ac:dyDescent="0.3">
      <c r="A32" s="2" t="s">
        <v>781</v>
      </c>
      <c r="B32" s="3">
        <v>15884.699000000004</v>
      </c>
      <c r="C32" s="3">
        <v>84387.512999999992</v>
      </c>
      <c r="D32" s="3">
        <v>-147246.171</v>
      </c>
      <c r="E32" s="3">
        <v>-22235.496999999999</v>
      </c>
      <c r="F32" s="3">
        <f t="shared" si="0"/>
        <v>-169481.66800000001</v>
      </c>
      <c r="G32" s="3">
        <f t="shared" si="1"/>
        <v>-69209.456000000006</v>
      </c>
      <c r="H32" s="22">
        <f t="shared" si="2"/>
        <v>-0.49791528485546876</v>
      </c>
    </row>
    <row r="33" spans="1:8" x14ac:dyDescent="0.3">
      <c r="A33" s="2" t="s">
        <v>782</v>
      </c>
      <c r="B33" s="3">
        <v>7374.8129999999974</v>
      </c>
      <c r="C33" s="3">
        <v>43333.13</v>
      </c>
      <c r="D33" s="3">
        <v>-74464.668999999994</v>
      </c>
      <c r="E33" s="3">
        <v>-10940.144</v>
      </c>
      <c r="F33" s="3">
        <f t="shared" si="0"/>
        <v>-85404.812999999995</v>
      </c>
      <c r="G33" s="3">
        <f t="shared" si="1"/>
        <v>-34696.870000000003</v>
      </c>
      <c r="H33" s="22">
        <f t="shared" si="2"/>
        <v>-0.50738510486522581</v>
      </c>
    </row>
    <row r="34" spans="1:8" x14ac:dyDescent="0.3">
      <c r="A34" s="2" t="s">
        <v>783</v>
      </c>
      <c r="B34" s="3">
        <v>5204.9710000000005</v>
      </c>
      <c r="C34" s="3">
        <v>12712.480000000001</v>
      </c>
      <c r="D34" s="3">
        <v>-22404.080999999998</v>
      </c>
      <c r="E34" s="3">
        <v>-3340.0819999999999</v>
      </c>
      <c r="F34" s="3">
        <f t="shared" si="0"/>
        <v>-25744.162999999997</v>
      </c>
      <c r="G34" s="3">
        <f t="shared" si="1"/>
        <v>-7826.7119999999977</v>
      </c>
      <c r="H34" s="22">
        <f t="shared" si="2"/>
        <v>-0.49380047818994943</v>
      </c>
    </row>
    <row r="35" spans="1:8" x14ac:dyDescent="0.3">
      <c r="A35" s="2" t="s">
        <v>784</v>
      </c>
      <c r="B35" s="3">
        <v>5416.732</v>
      </c>
      <c r="C35" s="3">
        <v>18104.009000000002</v>
      </c>
      <c r="D35" s="3">
        <v>-36012.324000000001</v>
      </c>
      <c r="E35" s="3">
        <v>-5010.4080000000004</v>
      </c>
      <c r="F35" s="3">
        <f t="shared" si="0"/>
        <v>-41022.732000000004</v>
      </c>
      <c r="G35" s="3">
        <f t="shared" si="1"/>
        <v>-17501.990999999998</v>
      </c>
      <c r="H35" s="22">
        <f t="shared" si="2"/>
        <v>-0.44131651202557648</v>
      </c>
    </row>
    <row r="36" spans="1:8" x14ac:dyDescent="0.3">
      <c r="A36" s="2" t="s">
        <v>785</v>
      </c>
      <c r="B36" s="3">
        <v>9732.2109999999993</v>
      </c>
      <c r="C36" s="3">
        <v>36033.336999999992</v>
      </c>
      <c r="D36" s="3">
        <v>-65915.318999999989</v>
      </c>
      <c r="E36" s="3">
        <v>-9367.8880000000008</v>
      </c>
      <c r="F36" s="3">
        <f t="shared" si="0"/>
        <v>-75283.206999999995</v>
      </c>
      <c r="G36" s="3">
        <f t="shared" si="1"/>
        <v>-29517.658999999992</v>
      </c>
      <c r="H36" s="22">
        <f t="shared" si="2"/>
        <v>-0.47863711491461824</v>
      </c>
    </row>
    <row r="37" spans="1:8" x14ac:dyDescent="0.3">
      <c r="A37" s="2" t="s">
        <v>786</v>
      </c>
      <c r="B37" s="3">
        <v>7890.009</v>
      </c>
      <c r="C37" s="3">
        <v>20686.388000000003</v>
      </c>
      <c r="D37" s="3">
        <v>-41597.092999999993</v>
      </c>
      <c r="E37" s="3">
        <v>-6021.9189999999999</v>
      </c>
      <c r="F37" s="3">
        <f t="shared" si="0"/>
        <v>-47619.011999999995</v>
      </c>
      <c r="G37" s="3">
        <f t="shared" si="1"/>
        <v>-19042.614999999991</v>
      </c>
      <c r="H37" s="22">
        <f t="shared" si="2"/>
        <v>-0.43441447294202584</v>
      </c>
    </row>
    <row r="38" spans="1:8" x14ac:dyDescent="0.3">
      <c r="A38" s="2" t="s">
        <v>787</v>
      </c>
      <c r="B38" s="3">
        <v>3676.2780000000002</v>
      </c>
      <c r="C38" s="3">
        <v>25348.269</v>
      </c>
      <c r="D38" s="3">
        <v>-40119.565999999999</v>
      </c>
      <c r="E38" s="3">
        <v>-5847.8620000000001</v>
      </c>
      <c r="F38" s="3">
        <f t="shared" si="0"/>
        <v>-45967.428</v>
      </c>
      <c r="G38" s="3">
        <f t="shared" si="1"/>
        <v>-16942.881000000001</v>
      </c>
      <c r="H38" s="22">
        <f t="shared" si="2"/>
        <v>-0.55143979341197857</v>
      </c>
    </row>
    <row r="39" spans="1:8" x14ac:dyDescent="0.3">
      <c r="A39" s="2" t="s">
        <v>788</v>
      </c>
      <c r="B39" s="3">
        <v>5319.128999999999</v>
      </c>
      <c r="C39" s="3">
        <v>34707.770000000004</v>
      </c>
      <c r="D39" s="3">
        <v>-59060.347000000002</v>
      </c>
      <c r="E39" s="3">
        <v>-7295.0379999999996</v>
      </c>
      <c r="F39" s="3">
        <f t="shared" si="0"/>
        <v>-66355.384999999995</v>
      </c>
      <c r="G39" s="3">
        <f t="shared" si="1"/>
        <v>-26328.485999999997</v>
      </c>
      <c r="H39" s="22">
        <f t="shared" si="2"/>
        <v>-0.52305882936253034</v>
      </c>
    </row>
    <row r="40" spans="1:8" x14ac:dyDescent="0.3">
      <c r="A40" s="2" t="s">
        <v>789</v>
      </c>
      <c r="B40" s="3">
        <v>5206.2880000000005</v>
      </c>
      <c r="C40" s="3">
        <v>22041.84</v>
      </c>
      <c r="D40" s="3">
        <v>-39411.241999999998</v>
      </c>
      <c r="E40" s="3">
        <v>-5715.7370000000001</v>
      </c>
      <c r="F40" s="3">
        <f t="shared" si="0"/>
        <v>-45126.978999999999</v>
      </c>
      <c r="G40" s="3">
        <f t="shared" si="1"/>
        <v>-17878.850999999999</v>
      </c>
      <c r="H40" s="22">
        <f t="shared" si="2"/>
        <v>-0.48844040723399634</v>
      </c>
    </row>
    <row r="41" spans="1:8" x14ac:dyDescent="0.3">
      <c r="A41" s="2" t="s">
        <v>790</v>
      </c>
      <c r="B41" s="3">
        <v>4625.3049999999994</v>
      </c>
      <c r="C41" s="3">
        <v>13100.161000000002</v>
      </c>
      <c r="D41" s="3">
        <v>-25910.513999999999</v>
      </c>
      <c r="E41" s="3">
        <v>-3844.357</v>
      </c>
      <c r="F41" s="3">
        <f t="shared" si="0"/>
        <v>-29754.870999999999</v>
      </c>
      <c r="G41" s="3">
        <f t="shared" si="1"/>
        <v>-12029.404999999999</v>
      </c>
      <c r="H41" s="22">
        <f t="shared" si="2"/>
        <v>-0.44026946041876647</v>
      </c>
    </row>
    <row r="42" spans="1:8" x14ac:dyDescent="0.3">
      <c r="A42" s="2" t="s">
        <v>791</v>
      </c>
      <c r="B42" s="3">
        <v>9951.5659999999971</v>
      </c>
      <c r="C42" s="3">
        <v>24757.957999999999</v>
      </c>
      <c r="D42" s="3">
        <v>-46814.933999999994</v>
      </c>
      <c r="E42" s="3">
        <v>-6858.7650000000003</v>
      </c>
      <c r="F42" s="3">
        <f t="shared" si="0"/>
        <v>-53673.698999999993</v>
      </c>
      <c r="G42" s="3">
        <f t="shared" si="1"/>
        <v>-18964.174999999996</v>
      </c>
      <c r="H42" s="22">
        <f t="shared" si="2"/>
        <v>-0.46126796664414726</v>
      </c>
    </row>
    <row r="43" spans="1:8" x14ac:dyDescent="0.3">
      <c r="A43" s="2" t="s">
        <v>792</v>
      </c>
      <c r="B43" s="3">
        <v>5266.0129999999999</v>
      </c>
      <c r="C43" s="3">
        <v>28645.457999999999</v>
      </c>
      <c r="D43" s="3">
        <v>-51880.448000000004</v>
      </c>
      <c r="E43" s="3">
        <v>-7467.9189999999999</v>
      </c>
      <c r="F43" s="3">
        <f t="shared" si="0"/>
        <v>-59348.367000000006</v>
      </c>
      <c r="G43" s="3">
        <f t="shared" si="1"/>
        <v>-25436.896000000008</v>
      </c>
      <c r="H43" s="22">
        <f t="shared" si="2"/>
        <v>-0.48266632172036</v>
      </c>
    </row>
    <row r="44" spans="1:8" x14ac:dyDescent="0.3">
      <c r="A44" s="2" t="s">
        <v>793</v>
      </c>
      <c r="B44" s="3">
        <v>808.31</v>
      </c>
      <c r="C44" s="3">
        <v>2363.826</v>
      </c>
      <c r="D44" s="3">
        <v>-3726.1849999999999</v>
      </c>
      <c r="E44" s="3">
        <v>-2149.48</v>
      </c>
      <c r="F44" s="3">
        <f t="shared" si="0"/>
        <v>-5875.665</v>
      </c>
      <c r="G44" s="3">
        <f t="shared" si="1"/>
        <v>-2703.529</v>
      </c>
      <c r="H44" s="22">
        <f t="shared" si="2"/>
        <v>-0.40230782388036079</v>
      </c>
    </row>
    <row r="45" spans="1:8" x14ac:dyDescent="0.3">
      <c r="A45" s="2" t="s">
        <v>794</v>
      </c>
      <c r="B45" s="3"/>
      <c r="C45" s="3">
        <v>266.303</v>
      </c>
      <c r="D45" s="3">
        <v>-1124.1369999999999</v>
      </c>
      <c r="E45" s="3">
        <v>-177.37899999999999</v>
      </c>
      <c r="F45" s="3">
        <f t="shared" si="0"/>
        <v>-1301.5159999999998</v>
      </c>
      <c r="G45" s="3">
        <f t="shared" si="1"/>
        <v>-1035.213</v>
      </c>
      <c r="H45" s="22">
        <f t="shared" si="2"/>
        <v>-0.20460985496912834</v>
      </c>
    </row>
    <row r="46" spans="1:8" x14ac:dyDescent="0.3">
      <c r="A46" s="2" t="s">
        <v>795</v>
      </c>
      <c r="B46" s="3">
        <v>5047.8580000000011</v>
      </c>
      <c r="C46" s="3">
        <v>19736.182000000004</v>
      </c>
      <c r="D46" s="3">
        <v>-42880.256000000001</v>
      </c>
      <c r="E46" s="3">
        <v>-6232.1080000000002</v>
      </c>
      <c r="F46" s="3">
        <f t="shared" si="0"/>
        <v>-49112.364000000001</v>
      </c>
      <c r="G46" s="3">
        <f t="shared" si="1"/>
        <v>-24328.323999999997</v>
      </c>
      <c r="H46" s="22">
        <f t="shared" si="2"/>
        <v>-0.40185770735857884</v>
      </c>
    </row>
    <row r="47" spans="1:8" x14ac:dyDescent="0.3">
      <c r="A47" s="2" t="s">
        <v>796</v>
      </c>
      <c r="B47" s="3">
        <v>3995.6749999999997</v>
      </c>
      <c r="C47" s="3">
        <v>10575.546</v>
      </c>
      <c r="D47" s="3">
        <v>-18154.254999999997</v>
      </c>
      <c r="E47" s="3">
        <v>-2724.3519999999999</v>
      </c>
      <c r="F47" s="3">
        <f t="shared" si="0"/>
        <v>-20878.606999999996</v>
      </c>
      <c r="G47" s="3">
        <f t="shared" si="1"/>
        <v>-6307.3859999999977</v>
      </c>
      <c r="H47" s="22">
        <f t="shared" si="2"/>
        <v>-0.50652545928950155</v>
      </c>
    </row>
    <row r="48" spans="1:8" x14ac:dyDescent="0.3">
      <c r="A48" s="2" t="s">
        <v>797</v>
      </c>
      <c r="B48" s="3">
        <v>4390.9989999999998</v>
      </c>
      <c r="C48" s="3">
        <v>28951.562000000002</v>
      </c>
      <c r="D48" s="3">
        <v>-53224.148999999998</v>
      </c>
      <c r="E48" s="3">
        <v>-7030.76</v>
      </c>
      <c r="F48" s="3">
        <f t="shared" si="0"/>
        <v>-60254.909</v>
      </c>
      <c r="G48" s="3">
        <f t="shared" si="1"/>
        <v>-26912.347999999998</v>
      </c>
      <c r="H48" s="22">
        <f t="shared" si="2"/>
        <v>-0.48048470208460531</v>
      </c>
    </row>
    <row r="49" spans="1:8" x14ac:dyDescent="0.3">
      <c r="A49" s="2" t="s">
        <v>798</v>
      </c>
      <c r="B49" s="3">
        <v>11267.248999999998</v>
      </c>
      <c r="C49" s="3">
        <v>82692.782000000007</v>
      </c>
      <c r="D49" s="3">
        <v>-138038.52600000001</v>
      </c>
      <c r="E49" s="3">
        <v>-19170.415000000001</v>
      </c>
      <c r="F49" s="3">
        <f t="shared" si="0"/>
        <v>-157208.94100000002</v>
      </c>
      <c r="G49" s="3">
        <f t="shared" si="1"/>
        <v>-63248.910000000011</v>
      </c>
      <c r="H49" s="22">
        <f t="shared" si="2"/>
        <v>-0.52600559150131287</v>
      </c>
    </row>
    <row r="50" spans="1:8" x14ac:dyDescent="0.3">
      <c r="A50" s="2" t="s">
        <v>799</v>
      </c>
      <c r="B50" s="3">
        <v>5043.9889999999996</v>
      </c>
      <c r="C50" s="3">
        <v>27746.663000000004</v>
      </c>
      <c r="D50" s="3">
        <v>-49919.489999999991</v>
      </c>
      <c r="E50" s="3">
        <v>-6394.0190000000002</v>
      </c>
      <c r="F50" s="3">
        <f t="shared" si="0"/>
        <v>-56313.508999999991</v>
      </c>
      <c r="G50" s="3">
        <f t="shared" si="1"/>
        <v>-23522.856999999989</v>
      </c>
      <c r="H50" s="22">
        <f t="shared" si="2"/>
        <v>-0.49271770650981828</v>
      </c>
    </row>
    <row r="51" spans="1:8" x14ac:dyDescent="0.3">
      <c r="A51" s="2" t="s">
        <v>800</v>
      </c>
      <c r="B51" s="3">
        <v>7609.76</v>
      </c>
      <c r="C51" s="3">
        <v>47243.147999999994</v>
      </c>
      <c r="D51" s="3">
        <v>-87100.304999999964</v>
      </c>
      <c r="E51" s="3">
        <v>-12683.361000000001</v>
      </c>
      <c r="F51" s="3">
        <f t="shared" si="0"/>
        <v>-99783.665999999968</v>
      </c>
      <c r="G51" s="3">
        <f t="shared" si="1"/>
        <v>-44930.757999999973</v>
      </c>
      <c r="H51" s="22">
        <f t="shared" si="2"/>
        <v>-0.47345572570965683</v>
      </c>
    </row>
    <row r="52" spans="1:8" x14ac:dyDescent="0.3">
      <c r="A52" s="2" t="s">
        <v>801</v>
      </c>
      <c r="B52" s="3">
        <v>12015.377999999999</v>
      </c>
      <c r="C52" s="3">
        <v>30474.522000000001</v>
      </c>
      <c r="D52" s="3">
        <v>-47645.74</v>
      </c>
      <c r="E52" s="3">
        <v>-6837.1139999999996</v>
      </c>
      <c r="F52" s="3">
        <f t="shared" si="0"/>
        <v>-54482.853999999999</v>
      </c>
      <c r="G52" s="3">
        <f t="shared" si="1"/>
        <v>-11992.953999999996</v>
      </c>
      <c r="H52" s="22">
        <f t="shared" si="2"/>
        <v>-0.55934151320340164</v>
      </c>
    </row>
    <row r="53" spans="1:8" x14ac:dyDescent="0.3">
      <c r="A53" s="2" t="s">
        <v>802</v>
      </c>
      <c r="B53" s="3">
        <v>15583.996000000001</v>
      </c>
      <c r="C53" s="3">
        <v>71880.751999999979</v>
      </c>
      <c r="D53" s="3">
        <v>-117329.44099999999</v>
      </c>
      <c r="E53" s="3">
        <v>-17034.953999999998</v>
      </c>
      <c r="F53" s="3">
        <f t="shared" si="0"/>
        <v>-134364.39499999999</v>
      </c>
      <c r="G53" s="3">
        <f t="shared" si="1"/>
        <v>-46899.647000000012</v>
      </c>
      <c r="H53" s="22">
        <f t="shared" si="2"/>
        <v>-0.53496874674276607</v>
      </c>
    </row>
    <row r="54" spans="1:8" x14ac:dyDescent="0.3">
      <c r="A54" s="2" t="s">
        <v>803</v>
      </c>
      <c r="B54" s="3">
        <v>16727.687000000005</v>
      </c>
      <c r="C54" s="3">
        <v>25911.398999999998</v>
      </c>
      <c r="D54" s="3">
        <v>-44452.949000000001</v>
      </c>
      <c r="E54" s="3">
        <v>-6328.6819999999998</v>
      </c>
      <c r="F54" s="3">
        <f t="shared" si="0"/>
        <v>-50781.631000000001</v>
      </c>
      <c r="G54" s="3">
        <f t="shared" si="1"/>
        <v>-8142.5449999999973</v>
      </c>
      <c r="H54" s="22">
        <f t="shared" si="2"/>
        <v>-0.51025141354754822</v>
      </c>
    </row>
    <row r="55" spans="1:8" x14ac:dyDescent="0.3">
      <c r="A55" s="2" t="s">
        <v>804</v>
      </c>
      <c r="B55" s="3">
        <v>8269.6540000000023</v>
      </c>
      <c r="C55" s="3">
        <v>48175.151000000005</v>
      </c>
      <c r="D55" s="3">
        <v>-90917.191999999981</v>
      </c>
      <c r="E55" s="3">
        <v>-11156.184999999999</v>
      </c>
      <c r="F55" s="3">
        <f t="shared" si="0"/>
        <v>-102073.37699999998</v>
      </c>
      <c r="G55" s="3">
        <f t="shared" si="1"/>
        <v>-45628.571999999971</v>
      </c>
      <c r="H55" s="22">
        <f t="shared" si="2"/>
        <v>-0.47196587803693429</v>
      </c>
    </row>
    <row r="56" spans="1:8" x14ac:dyDescent="0.3">
      <c r="A56" s="2" t="s">
        <v>805</v>
      </c>
      <c r="B56" s="3">
        <v>12783.126000000002</v>
      </c>
      <c r="C56" s="3">
        <v>35442.021000000001</v>
      </c>
      <c r="D56" s="3">
        <v>-60112.355000000003</v>
      </c>
      <c r="E56" s="3">
        <v>-9033.5679999999993</v>
      </c>
      <c r="F56" s="3">
        <f t="shared" si="0"/>
        <v>-69145.92300000001</v>
      </c>
      <c r="G56" s="3">
        <f t="shared" si="1"/>
        <v>-20920.775999999998</v>
      </c>
      <c r="H56" s="22">
        <f t="shared" si="2"/>
        <v>-0.51256848505731845</v>
      </c>
    </row>
    <row r="57" spans="1:8" x14ac:dyDescent="0.3">
      <c r="A57" s="2" t="s">
        <v>806</v>
      </c>
      <c r="B57" s="3">
        <v>5085.3019999999997</v>
      </c>
      <c r="C57" s="3">
        <v>35552.532999999996</v>
      </c>
      <c r="D57" s="3">
        <v>-61465.545999999988</v>
      </c>
      <c r="E57" s="3">
        <v>-8074.348</v>
      </c>
      <c r="F57" s="3">
        <f t="shared" si="0"/>
        <v>-69539.893999999986</v>
      </c>
      <c r="G57" s="3">
        <f t="shared" si="1"/>
        <v>-28902.058999999994</v>
      </c>
      <c r="H57" s="22">
        <f t="shared" si="2"/>
        <v>-0.51125377038969899</v>
      </c>
    </row>
    <row r="58" spans="1:8" x14ac:dyDescent="0.3">
      <c r="A58" s="2" t="s">
        <v>807</v>
      </c>
      <c r="B58" s="3">
        <v>21234.737000000005</v>
      </c>
      <c r="C58" s="3">
        <v>72373.637000000017</v>
      </c>
      <c r="D58" s="3">
        <v>-138029.424</v>
      </c>
      <c r="E58" s="3">
        <v>-17328.719000000001</v>
      </c>
      <c r="F58" s="3">
        <f t="shared" si="0"/>
        <v>-155358.14300000001</v>
      </c>
      <c r="G58" s="3">
        <f t="shared" si="1"/>
        <v>-61749.768999999971</v>
      </c>
      <c r="H58" s="22">
        <f t="shared" si="2"/>
        <v>-0.4658502966271939</v>
      </c>
    </row>
    <row r="59" spans="1:8" x14ac:dyDescent="0.3">
      <c r="A59" s="2" t="s">
        <v>808</v>
      </c>
      <c r="B59" s="3">
        <v>8744.7980000000007</v>
      </c>
      <c r="C59" s="3">
        <v>66640.881999999998</v>
      </c>
      <c r="D59" s="3">
        <v>-112198.212</v>
      </c>
      <c r="E59" s="3">
        <v>-15945.859</v>
      </c>
      <c r="F59" s="3">
        <f t="shared" si="0"/>
        <v>-128144.071</v>
      </c>
      <c r="G59" s="3">
        <f t="shared" si="1"/>
        <v>-52758.391000000003</v>
      </c>
      <c r="H59" s="22">
        <f t="shared" si="2"/>
        <v>-0.52004654979316212</v>
      </c>
    </row>
    <row r="60" spans="1:8" x14ac:dyDescent="0.3">
      <c r="A60" s="2" t="s">
        <v>809</v>
      </c>
      <c r="B60" s="3">
        <v>6774.8540000000003</v>
      </c>
      <c r="C60" s="3">
        <v>92403.5</v>
      </c>
      <c r="D60" s="3">
        <v>-135755.57400000002</v>
      </c>
      <c r="E60" s="3">
        <v>-16089.04</v>
      </c>
      <c r="F60" s="3">
        <f t="shared" si="0"/>
        <v>-151844.61400000003</v>
      </c>
      <c r="G60" s="3">
        <f t="shared" si="1"/>
        <v>-52666.260000000017</v>
      </c>
      <c r="H60" s="22">
        <f t="shared" si="2"/>
        <v>-0.60853985904300811</v>
      </c>
    </row>
    <row r="61" spans="1:8" x14ac:dyDescent="0.3">
      <c r="A61" s="2" t="s">
        <v>810</v>
      </c>
      <c r="B61" s="3">
        <v>7884.3749999999991</v>
      </c>
      <c r="C61" s="3">
        <v>84520.887999999992</v>
      </c>
      <c r="D61" s="3">
        <v>-133036.47699999998</v>
      </c>
      <c r="E61" s="3">
        <v>-16853.753000000001</v>
      </c>
      <c r="F61" s="3">
        <f t="shared" si="0"/>
        <v>-149890.22999999998</v>
      </c>
      <c r="G61" s="3">
        <f t="shared" si="1"/>
        <v>-57484.96699999999</v>
      </c>
      <c r="H61" s="22">
        <f t="shared" si="2"/>
        <v>-0.56388523788375</v>
      </c>
    </row>
    <row r="62" spans="1:8" x14ac:dyDescent="0.3">
      <c r="A62" s="2" t="s">
        <v>811</v>
      </c>
      <c r="B62" s="3">
        <v>4756.5690000000013</v>
      </c>
      <c r="C62" s="3">
        <v>17531.842000000001</v>
      </c>
      <c r="D62" s="3">
        <v>-31157.851999999999</v>
      </c>
      <c r="E62" s="3">
        <v>-4372.17</v>
      </c>
      <c r="F62" s="3">
        <f t="shared" si="0"/>
        <v>-35530.021999999997</v>
      </c>
      <c r="G62" s="3">
        <f t="shared" si="1"/>
        <v>-13241.610999999999</v>
      </c>
      <c r="H62" s="22">
        <f t="shared" si="2"/>
        <v>-0.49343740907337469</v>
      </c>
    </row>
    <row r="63" spans="1:8" x14ac:dyDescent="0.3">
      <c r="A63" s="2" t="s">
        <v>812</v>
      </c>
      <c r="B63" s="3">
        <v>3972.61</v>
      </c>
      <c r="C63" s="3">
        <v>32713.817000000003</v>
      </c>
      <c r="D63" s="3">
        <v>-61382.254999999997</v>
      </c>
      <c r="E63" s="3">
        <v>-8829.1949999999997</v>
      </c>
      <c r="F63" s="3">
        <f t="shared" si="0"/>
        <v>-70211.45</v>
      </c>
      <c r="G63" s="3">
        <f t="shared" si="1"/>
        <v>-33525.022999999994</v>
      </c>
      <c r="H63" s="22">
        <f t="shared" si="2"/>
        <v>-0.46593279301310547</v>
      </c>
    </row>
    <row r="64" spans="1:8" x14ac:dyDescent="0.3">
      <c r="A64" s="2" t="s">
        <v>813</v>
      </c>
      <c r="B64" s="3">
        <v>6808.0289999999995</v>
      </c>
      <c r="C64" s="3">
        <v>57872.627999999997</v>
      </c>
      <c r="D64" s="3">
        <v>-98508.114000000001</v>
      </c>
      <c r="E64" s="3">
        <v>-13448.996000000001</v>
      </c>
      <c r="F64" s="3">
        <f t="shared" si="0"/>
        <v>-111957.11</v>
      </c>
      <c r="G64" s="3">
        <f t="shared" si="1"/>
        <v>-47276.453000000001</v>
      </c>
      <c r="H64" s="22">
        <f t="shared" si="2"/>
        <v>-0.51691784469963542</v>
      </c>
    </row>
    <row r="65" spans="1:8" x14ac:dyDescent="0.3">
      <c r="A65" s="2" t="s">
        <v>814</v>
      </c>
      <c r="B65" s="3">
        <v>4245.857</v>
      </c>
      <c r="C65" s="3">
        <v>27743.760999999999</v>
      </c>
      <c r="D65" s="3">
        <v>-50311.750000000007</v>
      </c>
      <c r="E65" s="3">
        <v>-7282.8580000000002</v>
      </c>
      <c r="F65" s="3">
        <f t="shared" si="0"/>
        <v>-57594.608000000007</v>
      </c>
      <c r="G65" s="3">
        <f t="shared" si="1"/>
        <v>-25604.990000000009</v>
      </c>
      <c r="H65" s="22">
        <f t="shared" si="2"/>
        <v>-0.48170761054576489</v>
      </c>
    </row>
    <row r="66" spans="1:8" x14ac:dyDescent="0.3">
      <c r="A66" s="2" t="s">
        <v>815</v>
      </c>
      <c r="B66" s="3">
        <v>6364.7</v>
      </c>
      <c r="C66" s="3">
        <v>20296.177999999996</v>
      </c>
      <c r="D66" s="3">
        <v>-35916.420000000006</v>
      </c>
      <c r="E66" s="3">
        <v>-4712.2129999999997</v>
      </c>
      <c r="F66" s="3">
        <f t="shared" si="0"/>
        <v>-40628.633000000002</v>
      </c>
      <c r="G66" s="3">
        <f t="shared" si="1"/>
        <v>-13967.755000000008</v>
      </c>
      <c r="H66" s="22">
        <f t="shared" si="2"/>
        <v>-0.49955355377080973</v>
      </c>
    </row>
    <row r="67" spans="1:8" x14ac:dyDescent="0.3">
      <c r="A67" s="2" t="s">
        <v>816</v>
      </c>
      <c r="B67" s="3">
        <v>4406.1710000000012</v>
      </c>
      <c r="C67" s="3">
        <v>24390.818999999996</v>
      </c>
      <c r="D67" s="3">
        <v>-44162.941000000006</v>
      </c>
      <c r="E67" s="3">
        <v>-6137.2629999999999</v>
      </c>
      <c r="F67" s="3">
        <f t="shared" ref="F67:F130" si="4">SUM(D67,E67)</f>
        <v>-50300.204000000005</v>
      </c>
      <c r="G67" s="3">
        <f t="shared" si="1"/>
        <v>-21503.214000000007</v>
      </c>
      <c r="H67" s="22">
        <f t="shared" ref="H67:H130" si="5">IFERROR(C67/F67,0%)</f>
        <v>-0.48490497175717207</v>
      </c>
    </row>
    <row r="68" spans="1:8" x14ac:dyDescent="0.3">
      <c r="A68" s="2" t="s">
        <v>817</v>
      </c>
      <c r="B68" s="3">
        <v>3506.0630000000001</v>
      </c>
      <c r="C68" s="3">
        <v>15333.599</v>
      </c>
      <c r="D68" s="3">
        <v>-24526.551999999996</v>
      </c>
      <c r="E68" s="3">
        <v>-3660.8</v>
      </c>
      <c r="F68" s="3">
        <f t="shared" si="4"/>
        <v>-28187.351999999995</v>
      </c>
      <c r="G68" s="3">
        <f t="shared" si="1"/>
        <v>-9347.6899999999951</v>
      </c>
      <c r="H68" s="22">
        <f t="shared" si="5"/>
        <v>-0.54398863007777398</v>
      </c>
    </row>
    <row r="69" spans="1:8" x14ac:dyDescent="0.3">
      <c r="A69" s="2" t="s">
        <v>818</v>
      </c>
      <c r="B69" s="3">
        <v>6071.3710000000001</v>
      </c>
      <c r="C69" s="3">
        <v>48145.638999999996</v>
      </c>
      <c r="D69" s="3">
        <v>-85888.407000000007</v>
      </c>
      <c r="E69" s="3">
        <v>-10477.816999999999</v>
      </c>
      <c r="F69" s="3">
        <f t="shared" si="4"/>
        <v>-96366.224000000002</v>
      </c>
      <c r="G69" s="3">
        <f t="shared" si="1"/>
        <v>-42149.214000000007</v>
      </c>
      <c r="H69" s="22">
        <f t="shared" si="5"/>
        <v>-0.49961113968728293</v>
      </c>
    </row>
    <row r="70" spans="1:8" x14ac:dyDescent="0.3">
      <c r="A70" s="2" t="s">
        <v>819</v>
      </c>
      <c r="B70" s="3">
        <v>6695.99</v>
      </c>
      <c r="C70" s="3">
        <v>13458.454</v>
      </c>
      <c r="D70" s="3"/>
      <c r="E70" s="3">
        <v>-6.86</v>
      </c>
      <c r="F70" s="3">
        <f t="shared" si="4"/>
        <v>-6.86</v>
      </c>
      <c r="G70" s="3">
        <f t="shared" si="1"/>
        <v>20147.583999999999</v>
      </c>
      <c r="H70" s="22">
        <f t="shared" si="5"/>
        <v>-1961.8737609329444</v>
      </c>
    </row>
    <row r="71" spans="1:8" x14ac:dyDescent="0.3">
      <c r="A71" s="2" t="s">
        <v>820</v>
      </c>
      <c r="B71" s="3">
        <v>12371.272999999999</v>
      </c>
      <c r="C71" s="3">
        <v>32697.884000000002</v>
      </c>
      <c r="D71" s="3">
        <v>-61586.48</v>
      </c>
      <c r="E71" s="3">
        <v>-8810.259</v>
      </c>
      <c r="F71" s="3">
        <f t="shared" si="4"/>
        <v>-70396.739000000001</v>
      </c>
      <c r="G71" s="3">
        <f t="shared" si="1"/>
        <v>-25327.582000000002</v>
      </c>
      <c r="H71" s="22">
        <f t="shared" si="5"/>
        <v>-0.46448009473847929</v>
      </c>
    </row>
    <row r="72" spans="1:8" x14ac:dyDescent="0.3">
      <c r="A72" s="2" t="s">
        <v>821</v>
      </c>
      <c r="B72" s="3">
        <v>5232.2029999999995</v>
      </c>
      <c r="C72" s="3">
        <v>12047.007000000001</v>
      </c>
      <c r="D72" s="3">
        <v>-29898.695999999996</v>
      </c>
      <c r="E72" s="3">
        <v>-4109.0199999999995</v>
      </c>
      <c r="F72" s="3">
        <f t="shared" si="4"/>
        <v>-34007.715999999993</v>
      </c>
      <c r="G72" s="3">
        <f t="shared" si="1"/>
        <v>-16728.505999999998</v>
      </c>
      <c r="H72" s="22">
        <f t="shared" si="5"/>
        <v>-0.3542433428931247</v>
      </c>
    </row>
    <row r="73" spans="1:8" x14ac:dyDescent="0.3">
      <c r="A73" s="2" t="s">
        <v>822</v>
      </c>
      <c r="B73" s="3">
        <v>12667.762999999999</v>
      </c>
      <c r="C73" s="3">
        <v>56386.210000000014</v>
      </c>
      <c r="D73" s="3">
        <v>-99227.5</v>
      </c>
      <c r="E73" s="3">
        <v>-14867.419</v>
      </c>
      <c r="F73" s="3">
        <f t="shared" si="4"/>
        <v>-114094.91899999999</v>
      </c>
      <c r="G73" s="3">
        <f t="shared" si="1"/>
        <v>-45040.945999999989</v>
      </c>
      <c r="H73" s="22">
        <f t="shared" si="5"/>
        <v>-0.49420439134542016</v>
      </c>
    </row>
    <row r="74" spans="1:8" x14ac:dyDescent="0.3">
      <c r="A74" s="2" t="s">
        <v>823</v>
      </c>
      <c r="B74" s="3">
        <v>4103.5909999999994</v>
      </c>
      <c r="C74" s="3">
        <v>11018.409</v>
      </c>
      <c r="D74" s="3">
        <v>-18440.446999999996</v>
      </c>
      <c r="E74" s="3">
        <v>-2786.482</v>
      </c>
      <c r="F74" s="3">
        <f t="shared" si="4"/>
        <v>-21226.928999999996</v>
      </c>
      <c r="G74" s="3">
        <f t="shared" si="1"/>
        <v>-6104.9289999999964</v>
      </c>
      <c r="H74" s="22">
        <f t="shared" si="5"/>
        <v>-0.51907692346829826</v>
      </c>
    </row>
    <row r="75" spans="1:8" x14ac:dyDescent="0.3">
      <c r="A75" s="2" t="s">
        <v>824</v>
      </c>
      <c r="B75" s="3">
        <v>9890.2520000000004</v>
      </c>
      <c r="C75" s="3">
        <v>56365.671999999991</v>
      </c>
      <c r="D75" s="3">
        <v>-100824.402</v>
      </c>
      <c r="E75" s="3">
        <v>-14104.605</v>
      </c>
      <c r="F75" s="3">
        <f t="shared" si="4"/>
        <v>-114929.007</v>
      </c>
      <c r="G75" s="3">
        <f t="shared" si="1"/>
        <v>-48673.082999999999</v>
      </c>
      <c r="H75" s="22">
        <f t="shared" si="5"/>
        <v>-0.49043904120741244</v>
      </c>
    </row>
    <row r="76" spans="1:8" x14ac:dyDescent="0.3">
      <c r="A76" s="2" t="s">
        <v>825</v>
      </c>
      <c r="B76" s="3">
        <v>19480.881999999998</v>
      </c>
      <c r="C76" s="3">
        <v>31423.222999999998</v>
      </c>
      <c r="D76" s="3">
        <v>-54052.601999999999</v>
      </c>
      <c r="E76" s="3">
        <v>-7952.4189999999999</v>
      </c>
      <c r="F76" s="3">
        <f t="shared" si="4"/>
        <v>-62005.021000000001</v>
      </c>
      <c r="G76" s="3">
        <f t="shared" si="1"/>
        <v>-11100.916000000003</v>
      </c>
      <c r="H76" s="22">
        <f t="shared" si="5"/>
        <v>-0.5067851359972928</v>
      </c>
    </row>
    <row r="77" spans="1:8" x14ac:dyDescent="0.3">
      <c r="A77" s="2" t="s">
        <v>826</v>
      </c>
      <c r="B77" s="3">
        <v>4080.2929999999997</v>
      </c>
      <c r="C77" s="3">
        <v>19191.458999999995</v>
      </c>
      <c r="D77" s="3">
        <v>-35712.326999999997</v>
      </c>
      <c r="E77" s="3">
        <v>-4883.951</v>
      </c>
      <c r="F77" s="3">
        <f t="shared" si="4"/>
        <v>-40596.277999999998</v>
      </c>
      <c r="G77" s="3">
        <f t="shared" si="1"/>
        <v>-17324.526000000005</v>
      </c>
      <c r="H77" s="22">
        <f t="shared" si="5"/>
        <v>-0.47273937280654144</v>
      </c>
    </row>
    <row r="78" spans="1:8" x14ac:dyDescent="0.3">
      <c r="A78" s="2" t="s">
        <v>827</v>
      </c>
      <c r="B78" s="3">
        <v>5310.2429999999995</v>
      </c>
      <c r="C78" s="3">
        <v>16865.696</v>
      </c>
      <c r="D78" s="3">
        <v>-36059.854000000007</v>
      </c>
      <c r="E78" s="3">
        <v>-5022.25</v>
      </c>
      <c r="F78" s="3">
        <f t="shared" si="4"/>
        <v>-41082.104000000007</v>
      </c>
      <c r="G78" s="3">
        <f t="shared" si="1"/>
        <v>-18906.165000000008</v>
      </c>
      <c r="H78" s="22">
        <f t="shared" si="5"/>
        <v>-0.41053632501392812</v>
      </c>
    </row>
    <row r="79" spans="1:8" x14ac:dyDescent="0.3">
      <c r="A79" s="2" t="s">
        <v>828</v>
      </c>
      <c r="B79" s="3">
        <v>3148.116</v>
      </c>
      <c r="C79" s="3">
        <v>90107.962</v>
      </c>
      <c r="D79" s="3">
        <v>-139682.65199999997</v>
      </c>
      <c r="E79" s="3">
        <v>-22020.409</v>
      </c>
      <c r="F79" s="3">
        <f t="shared" si="4"/>
        <v>-161703.06099999999</v>
      </c>
      <c r="G79" s="3">
        <f t="shared" ref="G79:G142" si="6">B79+C79+D79+E79</f>
        <v>-68446.982999999978</v>
      </c>
      <c r="H79" s="22">
        <f t="shared" si="5"/>
        <v>-0.55724339071107631</v>
      </c>
    </row>
    <row r="80" spans="1:8" x14ac:dyDescent="0.3">
      <c r="A80" s="2" t="s">
        <v>829</v>
      </c>
      <c r="B80" s="3">
        <v>4017.0630000000006</v>
      </c>
      <c r="C80" s="3">
        <v>18903.991000000002</v>
      </c>
      <c r="D80" s="3">
        <v>-35193.64</v>
      </c>
      <c r="E80" s="3">
        <v>-4686.2380000000003</v>
      </c>
      <c r="F80" s="3">
        <f t="shared" si="4"/>
        <v>-39879.877999999997</v>
      </c>
      <c r="G80" s="3">
        <f t="shared" si="6"/>
        <v>-16958.823999999997</v>
      </c>
      <c r="H80" s="22">
        <f t="shared" si="5"/>
        <v>-0.47402329064296544</v>
      </c>
    </row>
    <row r="81" spans="1:8" x14ac:dyDescent="0.3">
      <c r="A81" s="2" t="s">
        <v>830</v>
      </c>
      <c r="B81" s="3">
        <v>4548.7029999999995</v>
      </c>
      <c r="C81" s="3">
        <v>15509.833000000001</v>
      </c>
      <c r="D81" s="3">
        <v>-26868.104999999996</v>
      </c>
      <c r="E81" s="3">
        <v>-4062.0749999999998</v>
      </c>
      <c r="F81" s="3">
        <f t="shared" si="4"/>
        <v>-30930.179999999997</v>
      </c>
      <c r="G81" s="3">
        <f t="shared" si="6"/>
        <v>-10871.643999999997</v>
      </c>
      <c r="H81" s="22">
        <f t="shared" si="5"/>
        <v>-0.50144658065358827</v>
      </c>
    </row>
    <row r="82" spans="1:8" x14ac:dyDescent="0.3">
      <c r="A82" s="2" t="s">
        <v>831</v>
      </c>
      <c r="B82" s="3">
        <v>7739.2639999999992</v>
      </c>
      <c r="C82" s="3">
        <v>14731.397999999999</v>
      </c>
      <c r="D82" s="3">
        <v>-22851.345999999998</v>
      </c>
      <c r="E82" s="3">
        <v>-3241.4989999999998</v>
      </c>
      <c r="F82" s="3">
        <f t="shared" si="4"/>
        <v>-26092.844999999998</v>
      </c>
      <c r="G82" s="3">
        <f t="shared" si="6"/>
        <v>-3622.1830000000009</v>
      </c>
      <c r="H82" s="22">
        <f t="shared" si="5"/>
        <v>-0.56457615104830461</v>
      </c>
    </row>
    <row r="83" spans="1:8" x14ac:dyDescent="0.3">
      <c r="A83" s="2" t="s">
        <v>832</v>
      </c>
      <c r="B83" s="3">
        <v>5107.6680000000006</v>
      </c>
      <c r="C83" s="3">
        <v>21656.617000000002</v>
      </c>
      <c r="D83" s="3">
        <v>-39482.781999999999</v>
      </c>
      <c r="E83" s="3">
        <v>-6099.1210000000001</v>
      </c>
      <c r="F83" s="3">
        <f t="shared" si="4"/>
        <v>-45581.902999999998</v>
      </c>
      <c r="G83" s="3">
        <f t="shared" si="6"/>
        <v>-18817.617999999995</v>
      </c>
      <c r="H83" s="22">
        <f t="shared" si="5"/>
        <v>-0.47511436720840733</v>
      </c>
    </row>
    <row r="84" spans="1:8" x14ac:dyDescent="0.3">
      <c r="A84" s="2" t="s">
        <v>833</v>
      </c>
      <c r="B84" s="3">
        <v>6268.2380000000003</v>
      </c>
      <c r="C84" s="3">
        <v>31638.087</v>
      </c>
      <c r="D84" s="3">
        <v>-47588.814999999995</v>
      </c>
      <c r="E84" s="3">
        <v>-6939.1890000000003</v>
      </c>
      <c r="F84" s="3">
        <f t="shared" si="4"/>
        <v>-54528.003999999994</v>
      </c>
      <c r="G84" s="3">
        <f t="shared" si="6"/>
        <v>-16621.678999999996</v>
      </c>
      <c r="H84" s="22">
        <f t="shared" si="5"/>
        <v>-0.58021722196176484</v>
      </c>
    </row>
    <row r="85" spans="1:8" x14ac:dyDescent="0.3">
      <c r="A85" s="2" t="s">
        <v>834</v>
      </c>
      <c r="B85" s="3">
        <v>1930.8910000000001</v>
      </c>
      <c r="C85" s="3">
        <v>11012.561</v>
      </c>
      <c r="D85" s="3">
        <v>-20570.965</v>
      </c>
      <c r="E85" s="3">
        <v>-3008.6010000000001</v>
      </c>
      <c r="F85" s="3">
        <f t="shared" si="4"/>
        <v>-23579.565999999999</v>
      </c>
      <c r="G85" s="3">
        <f t="shared" si="6"/>
        <v>-10636.114000000001</v>
      </c>
      <c r="H85" s="22">
        <f t="shared" si="5"/>
        <v>-0.46703832462395617</v>
      </c>
    </row>
    <row r="86" spans="1:8" x14ac:dyDescent="0.3">
      <c r="A86" s="2" t="s">
        <v>835</v>
      </c>
      <c r="B86" s="3">
        <v>3115.5330000000004</v>
      </c>
      <c r="C86" s="3">
        <v>19652.865000000002</v>
      </c>
      <c r="D86" s="3">
        <v>-35936.385000000009</v>
      </c>
      <c r="E86" s="3">
        <v>-5068.076</v>
      </c>
      <c r="F86" s="3">
        <f t="shared" si="4"/>
        <v>-41004.46100000001</v>
      </c>
      <c r="G86" s="3">
        <f t="shared" si="6"/>
        <v>-18236.063000000009</v>
      </c>
      <c r="H86" s="22">
        <f t="shared" si="5"/>
        <v>-0.47928602207452492</v>
      </c>
    </row>
    <row r="87" spans="1:8" x14ac:dyDescent="0.3">
      <c r="A87" s="2" t="s">
        <v>836</v>
      </c>
      <c r="B87" s="3">
        <v>3480.0660000000003</v>
      </c>
      <c r="C87" s="3">
        <v>13109.82</v>
      </c>
      <c r="D87" s="3">
        <v>-26083.148999999998</v>
      </c>
      <c r="E87" s="3">
        <v>-3957.1329999999998</v>
      </c>
      <c r="F87" s="3">
        <f t="shared" si="4"/>
        <v>-30040.281999999999</v>
      </c>
      <c r="G87" s="3">
        <f t="shared" si="6"/>
        <v>-13450.395999999999</v>
      </c>
      <c r="H87" s="22">
        <f t="shared" si="5"/>
        <v>-0.43640802040406945</v>
      </c>
    </row>
    <row r="88" spans="1:8" x14ac:dyDescent="0.3">
      <c r="A88" s="2" t="s">
        <v>837</v>
      </c>
      <c r="B88" s="3">
        <v>2037.0410000000002</v>
      </c>
      <c r="C88" s="3">
        <v>9208.0939999999991</v>
      </c>
      <c r="D88" s="3">
        <v>-16729.882000000001</v>
      </c>
      <c r="E88" s="3">
        <v>-2492.71</v>
      </c>
      <c r="F88" s="3">
        <f t="shared" si="4"/>
        <v>-19222.592000000001</v>
      </c>
      <c r="G88" s="3">
        <f t="shared" si="6"/>
        <v>-7977.4570000000031</v>
      </c>
      <c r="H88" s="22">
        <f t="shared" si="5"/>
        <v>-0.47902457691449724</v>
      </c>
    </row>
    <row r="89" spans="1:8" x14ac:dyDescent="0.3">
      <c r="A89" s="2" t="s">
        <v>838</v>
      </c>
      <c r="B89" s="3">
        <v>2459.3080000000004</v>
      </c>
      <c r="C89" s="3">
        <v>4388.0879999999997</v>
      </c>
      <c r="D89" s="3">
        <v>-8347.3280000000013</v>
      </c>
      <c r="E89" s="3">
        <v>-1204.1889999999999</v>
      </c>
      <c r="F89" s="3">
        <f t="shared" si="4"/>
        <v>-9551.5170000000016</v>
      </c>
      <c r="G89" s="3">
        <f t="shared" si="6"/>
        <v>-2704.1210000000005</v>
      </c>
      <c r="H89" s="22">
        <f t="shared" si="5"/>
        <v>-0.45941267758828247</v>
      </c>
    </row>
    <row r="90" spans="1:8" x14ac:dyDescent="0.3">
      <c r="A90" s="2" t="s">
        <v>839</v>
      </c>
      <c r="B90" s="3">
        <v>5349.195999999999</v>
      </c>
      <c r="C90" s="3">
        <v>38585.935999999994</v>
      </c>
      <c r="D90" s="3">
        <v>-66825.558999999994</v>
      </c>
      <c r="E90" s="3">
        <v>-9835.6810000000005</v>
      </c>
      <c r="F90" s="3">
        <f t="shared" si="4"/>
        <v>-76661.239999999991</v>
      </c>
      <c r="G90" s="3">
        <f t="shared" si="6"/>
        <v>-32726.108000000004</v>
      </c>
      <c r="H90" s="22">
        <f t="shared" si="5"/>
        <v>-0.5033304444331973</v>
      </c>
    </row>
    <row r="91" spans="1:8" x14ac:dyDescent="0.3">
      <c r="A91" s="2" t="s">
        <v>840</v>
      </c>
      <c r="B91" s="3">
        <v>10092.692999999999</v>
      </c>
      <c r="C91" s="3">
        <v>75540.245999999999</v>
      </c>
      <c r="D91" s="3">
        <v>-124744.212</v>
      </c>
      <c r="E91" s="3">
        <v>-17826.075000000001</v>
      </c>
      <c r="F91" s="3">
        <f t="shared" si="4"/>
        <v>-142570.28700000001</v>
      </c>
      <c r="G91" s="3">
        <f t="shared" si="6"/>
        <v>-56937.347999999998</v>
      </c>
      <c r="H91" s="22">
        <f t="shared" si="5"/>
        <v>-0.5298456472911498</v>
      </c>
    </row>
    <row r="92" spans="1:8" x14ac:dyDescent="0.3">
      <c r="A92" s="2" t="s">
        <v>841</v>
      </c>
      <c r="B92" s="3">
        <v>3015.6419999999994</v>
      </c>
      <c r="C92" s="3">
        <v>19191.915999999997</v>
      </c>
      <c r="D92" s="3">
        <v>-34689.675000000003</v>
      </c>
      <c r="E92" s="3">
        <v>-4549.9390000000003</v>
      </c>
      <c r="F92" s="3">
        <f t="shared" si="4"/>
        <v>-39239.614000000001</v>
      </c>
      <c r="G92" s="3">
        <f t="shared" si="6"/>
        <v>-17032.056000000004</v>
      </c>
      <c r="H92" s="22">
        <f t="shared" si="5"/>
        <v>-0.48909543299788821</v>
      </c>
    </row>
    <row r="93" spans="1:8" x14ac:dyDescent="0.3">
      <c r="A93" s="2" t="s">
        <v>842</v>
      </c>
      <c r="B93" s="3">
        <v>4547.3390000000009</v>
      </c>
      <c r="C93" s="3">
        <v>16390.728000000003</v>
      </c>
      <c r="D93" s="3">
        <v>-26779.65</v>
      </c>
      <c r="E93" s="3">
        <v>-3892.3130000000001</v>
      </c>
      <c r="F93" s="3">
        <f t="shared" si="4"/>
        <v>-30671.963000000003</v>
      </c>
      <c r="G93" s="3">
        <f t="shared" si="6"/>
        <v>-9733.8959999999988</v>
      </c>
      <c r="H93" s="22">
        <f t="shared" si="5"/>
        <v>-0.53438796858225213</v>
      </c>
    </row>
    <row r="94" spans="1:8" x14ac:dyDescent="0.3">
      <c r="A94" s="2" t="s">
        <v>843</v>
      </c>
      <c r="B94" s="3">
        <v>10226.648000000001</v>
      </c>
      <c r="C94" s="3">
        <v>47792.077999999994</v>
      </c>
      <c r="D94" s="3">
        <v>-79755.775999999998</v>
      </c>
      <c r="E94" s="3">
        <v>-11594.407999999999</v>
      </c>
      <c r="F94" s="3">
        <f t="shared" si="4"/>
        <v>-91350.183999999994</v>
      </c>
      <c r="G94" s="3">
        <f t="shared" si="6"/>
        <v>-33331.457999999999</v>
      </c>
      <c r="H94" s="22">
        <f t="shared" si="5"/>
        <v>-0.5231744032392972</v>
      </c>
    </row>
    <row r="95" spans="1:8" x14ac:dyDescent="0.3">
      <c r="A95" s="2" t="s">
        <v>844</v>
      </c>
      <c r="B95" s="3">
        <v>3117.6190000000001</v>
      </c>
      <c r="C95" s="3">
        <v>13106.495999999999</v>
      </c>
      <c r="D95" s="3">
        <v>-26230.502000000004</v>
      </c>
      <c r="E95" s="3">
        <v>-3422.223</v>
      </c>
      <c r="F95" s="3">
        <f t="shared" si="4"/>
        <v>-29652.725000000006</v>
      </c>
      <c r="G95" s="3">
        <f t="shared" si="6"/>
        <v>-13428.610000000004</v>
      </c>
      <c r="H95" s="22">
        <f t="shared" si="5"/>
        <v>-0.44199971503462149</v>
      </c>
    </row>
    <row r="96" spans="1:8" x14ac:dyDescent="0.3">
      <c r="A96" s="2" t="s">
        <v>845</v>
      </c>
      <c r="B96" s="3">
        <v>5297.9610000000002</v>
      </c>
      <c r="C96" s="3">
        <v>24547.796999999999</v>
      </c>
      <c r="D96" s="3">
        <v>-40440.562000000005</v>
      </c>
      <c r="E96" s="3">
        <v>-5759.317</v>
      </c>
      <c r="F96" s="3">
        <f t="shared" si="4"/>
        <v>-46199.879000000008</v>
      </c>
      <c r="G96" s="3">
        <f t="shared" si="6"/>
        <v>-16354.121000000006</v>
      </c>
      <c r="H96" s="22">
        <f t="shared" si="5"/>
        <v>-0.53133898900471133</v>
      </c>
    </row>
    <row r="97" spans="1:8" x14ac:dyDescent="0.3">
      <c r="A97" s="2" t="s">
        <v>846</v>
      </c>
      <c r="B97" s="3">
        <v>31234.589000000004</v>
      </c>
      <c r="C97" s="3">
        <v>69897.668000000005</v>
      </c>
      <c r="D97" s="3">
        <v>-124965.86400000003</v>
      </c>
      <c r="E97" s="3">
        <v>-18348.838</v>
      </c>
      <c r="F97" s="3">
        <f t="shared" si="4"/>
        <v>-143314.70200000002</v>
      </c>
      <c r="G97" s="3">
        <f t="shared" si="6"/>
        <v>-42182.445000000022</v>
      </c>
      <c r="H97" s="22">
        <f t="shared" si="5"/>
        <v>-0.48772154583275062</v>
      </c>
    </row>
    <row r="98" spans="1:8" x14ac:dyDescent="0.3">
      <c r="A98" s="2" t="s">
        <v>847</v>
      </c>
      <c r="B98" s="3">
        <v>7221.8070000000007</v>
      </c>
      <c r="C98" s="3">
        <v>52479.521000000001</v>
      </c>
      <c r="D98" s="3">
        <v>-91658.194000000003</v>
      </c>
      <c r="E98" s="3">
        <v>-13542.281999999999</v>
      </c>
      <c r="F98" s="3">
        <f t="shared" si="4"/>
        <v>-105200.476</v>
      </c>
      <c r="G98" s="3">
        <f t="shared" si="6"/>
        <v>-45499.148000000001</v>
      </c>
      <c r="H98" s="22">
        <f t="shared" si="5"/>
        <v>-0.49885250519208679</v>
      </c>
    </row>
    <row r="99" spans="1:8" x14ac:dyDescent="0.3">
      <c r="A99" s="2" t="s">
        <v>848</v>
      </c>
      <c r="B99" s="3">
        <v>7894.424</v>
      </c>
      <c r="C99" s="3">
        <v>25816.780999999999</v>
      </c>
      <c r="D99" s="3">
        <v>-53756.559000000001</v>
      </c>
      <c r="E99" s="3">
        <v>-7545.1819999999998</v>
      </c>
      <c r="F99" s="3">
        <f t="shared" si="4"/>
        <v>-61301.741000000002</v>
      </c>
      <c r="G99" s="3">
        <f t="shared" si="6"/>
        <v>-27590.536</v>
      </c>
      <c r="H99" s="22">
        <f t="shared" si="5"/>
        <v>-0.42114270457669378</v>
      </c>
    </row>
    <row r="100" spans="1:8" x14ac:dyDescent="0.3">
      <c r="A100" s="2" t="s">
        <v>849</v>
      </c>
      <c r="B100" s="3">
        <v>7243.8009999999995</v>
      </c>
      <c r="C100" s="3">
        <v>63244.212999999996</v>
      </c>
      <c r="D100" s="3">
        <v>-102091.48999999999</v>
      </c>
      <c r="E100" s="3">
        <v>-15293.081999999999</v>
      </c>
      <c r="F100" s="3">
        <f t="shared" si="4"/>
        <v>-117384.57199999999</v>
      </c>
      <c r="G100" s="3">
        <f t="shared" si="6"/>
        <v>-46896.55799999999</v>
      </c>
      <c r="H100" s="22">
        <f t="shared" si="5"/>
        <v>-0.53877789834255219</v>
      </c>
    </row>
    <row r="101" spans="1:8" x14ac:dyDescent="0.3">
      <c r="A101" s="2" t="s">
        <v>850</v>
      </c>
      <c r="B101" s="3">
        <v>6906.552999999999</v>
      </c>
      <c r="C101" s="3">
        <v>20221.863000000001</v>
      </c>
      <c r="D101" s="3">
        <v>-40505.54</v>
      </c>
      <c r="E101" s="3">
        <v>-131</v>
      </c>
      <c r="F101" s="3">
        <f t="shared" si="4"/>
        <v>-40636.54</v>
      </c>
      <c r="G101" s="3">
        <f t="shared" si="6"/>
        <v>-13508.124</v>
      </c>
      <c r="H101" s="22">
        <f t="shared" si="5"/>
        <v>-0.49762757852907752</v>
      </c>
    </row>
    <row r="102" spans="1:8" x14ac:dyDescent="0.3">
      <c r="A102" s="2" t="s">
        <v>851</v>
      </c>
      <c r="B102" s="3">
        <v>4617.6709999999994</v>
      </c>
      <c r="C102" s="3">
        <v>13236.725</v>
      </c>
      <c r="D102" s="3">
        <v>-25957.407999999999</v>
      </c>
      <c r="E102" s="3">
        <v>-3808.5450000000001</v>
      </c>
      <c r="F102" s="3">
        <f t="shared" si="4"/>
        <v>-29765.953000000001</v>
      </c>
      <c r="G102" s="3">
        <f t="shared" si="6"/>
        <v>-11911.556999999999</v>
      </c>
      <c r="H102" s="22">
        <f t="shared" si="5"/>
        <v>-0.44469347243812418</v>
      </c>
    </row>
    <row r="103" spans="1:8" x14ac:dyDescent="0.3">
      <c r="A103" s="2" t="s">
        <v>852</v>
      </c>
      <c r="B103" s="3">
        <v>7795.6289999999999</v>
      </c>
      <c r="C103" s="3">
        <v>15647.03</v>
      </c>
      <c r="D103" s="3">
        <v>-35515.533999999992</v>
      </c>
      <c r="E103" s="3">
        <v>-4776.8329999999996</v>
      </c>
      <c r="F103" s="3">
        <f t="shared" si="4"/>
        <v>-40292.366999999991</v>
      </c>
      <c r="G103" s="3">
        <f t="shared" si="6"/>
        <v>-16849.707999999991</v>
      </c>
      <c r="H103" s="22">
        <f t="shared" si="5"/>
        <v>-0.38833732453593517</v>
      </c>
    </row>
    <row r="104" spans="1:8" x14ac:dyDescent="0.3">
      <c r="A104" s="2" t="s">
        <v>853</v>
      </c>
      <c r="B104" s="3">
        <v>5487.2550000000001</v>
      </c>
      <c r="C104" s="3">
        <v>11652.525</v>
      </c>
      <c r="D104" s="3">
        <v>-28150.888000000003</v>
      </c>
      <c r="E104" s="3">
        <v>-3646.625</v>
      </c>
      <c r="F104" s="3">
        <f t="shared" si="4"/>
        <v>-31797.513000000003</v>
      </c>
      <c r="G104" s="3">
        <f t="shared" si="6"/>
        <v>-14657.733000000004</v>
      </c>
      <c r="H104" s="22">
        <f t="shared" si="5"/>
        <v>-0.36646026373194657</v>
      </c>
    </row>
    <row r="105" spans="1:8" x14ac:dyDescent="0.3">
      <c r="A105" s="2" t="s">
        <v>854</v>
      </c>
      <c r="B105" s="3">
        <v>7347.764000000001</v>
      </c>
      <c r="C105" s="3">
        <v>13463.954000000002</v>
      </c>
      <c r="D105" s="3">
        <v>-50003.302000000011</v>
      </c>
      <c r="E105" s="3">
        <v>-7203.1319999999996</v>
      </c>
      <c r="F105" s="3">
        <f t="shared" si="4"/>
        <v>-57206.434000000008</v>
      </c>
      <c r="G105" s="3">
        <f t="shared" si="6"/>
        <v>-36394.716000000008</v>
      </c>
      <c r="H105" s="22">
        <f t="shared" si="5"/>
        <v>-0.23535733760296962</v>
      </c>
    </row>
    <row r="106" spans="1:8" x14ac:dyDescent="0.3">
      <c r="A106" s="2" t="s">
        <v>855</v>
      </c>
      <c r="B106" s="3">
        <v>4146.6619999999994</v>
      </c>
      <c r="C106" s="3">
        <v>11932.495999999999</v>
      </c>
      <c r="D106" s="3">
        <v>-21991.748</v>
      </c>
      <c r="E106" s="3">
        <v>-3106.8270000000002</v>
      </c>
      <c r="F106" s="3">
        <f t="shared" si="4"/>
        <v>-25098.575000000001</v>
      </c>
      <c r="G106" s="3">
        <f t="shared" si="6"/>
        <v>-9019.4170000000013</v>
      </c>
      <c r="H106" s="22">
        <f t="shared" si="5"/>
        <v>-0.47542523828544048</v>
      </c>
    </row>
    <row r="107" spans="1:8" x14ac:dyDescent="0.3">
      <c r="A107" s="2" t="s">
        <v>856</v>
      </c>
      <c r="B107" s="3">
        <v>6283.2460000000001</v>
      </c>
      <c r="C107" s="3">
        <v>13400.297</v>
      </c>
      <c r="D107" s="3">
        <v>-20161.513999999999</v>
      </c>
      <c r="E107" s="3">
        <v>-2884.6990000000001</v>
      </c>
      <c r="F107" s="3">
        <f t="shared" si="4"/>
        <v>-23046.213</v>
      </c>
      <c r="G107" s="3">
        <f t="shared" si="6"/>
        <v>-3362.6699999999978</v>
      </c>
      <c r="H107" s="22">
        <f t="shared" si="5"/>
        <v>-0.58145331729772698</v>
      </c>
    </row>
    <row r="108" spans="1:8" x14ac:dyDescent="0.3">
      <c r="A108" s="2" t="s">
        <v>857</v>
      </c>
      <c r="B108" s="3">
        <v>10516.311</v>
      </c>
      <c r="C108" s="3">
        <v>35314.786</v>
      </c>
      <c r="D108" s="3">
        <v>-68731.619000000006</v>
      </c>
      <c r="E108" s="3">
        <v>-9637.241</v>
      </c>
      <c r="F108" s="3">
        <f t="shared" si="4"/>
        <v>-78368.86</v>
      </c>
      <c r="G108" s="3">
        <f t="shared" si="6"/>
        <v>-32537.763000000006</v>
      </c>
      <c r="H108" s="22">
        <f t="shared" si="5"/>
        <v>-0.45062268355058371</v>
      </c>
    </row>
    <row r="109" spans="1:8" x14ac:dyDescent="0.3">
      <c r="A109" s="2" t="s">
        <v>858</v>
      </c>
      <c r="B109" s="3">
        <v>6883.232</v>
      </c>
      <c r="C109" s="3">
        <v>15926.401</v>
      </c>
      <c r="D109" s="3">
        <v>-32561.026000000002</v>
      </c>
      <c r="E109" s="3">
        <v>-4988.5640000000003</v>
      </c>
      <c r="F109" s="3">
        <f t="shared" si="4"/>
        <v>-37549.590000000004</v>
      </c>
      <c r="G109" s="3">
        <f t="shared" si="6"/>
        <v>-14739.957</v>
      </c>
      <c r="H109" s="22">
        <f t="shared" si="5"/>
        <v>-0.42414313977862339</v>
      </c>
    </row>
    <row r="110" spans="1:8" x14ac:dyDescent="0.3">
      <c r="A110" s="2" t="s">
        <v>859</v>
      </c>
      <c r="B110" s="3">
        <v>3113.4809999999998</v>
      </c>
      <c r="C110" s="3">
        <v>16405.623</v>
      </c>
      <c r="D110" s="3">
        <v>-27918.101999999999</v>
      </c>
      <c r="E110" s="3">
        <v>-3903.0450000000001</v>
      </c>
      <c r="F110" s="3">
        <f t="shared" si="4"/>
        <v>-31821.146999999997</v>
      </c>
      <c r="G110" s="3">
        <f t="shared" si="6"/>
        <v>-12302.043</v>
      </c>
      <c r="H110" s="22">
        <f t="shared" si="5"/>
        <v>-0.51555724876919118</v>
      </c>
    </row>
    <row r="111" spans="1:8" x14ac:dyDescent="0.3">
      <c r="A111" s="2" t="s">
        <v>860</v>
      </c>
      <c r="B111" s="3">
        <v>9662.9889999999996</v>
      </c>
      <c r="C111" s="3">
        <v>29007.708000000002</v>
      </c>
      <c r="D111" s="3">
        <v>-59522.33</v>
      </c>
      <c r="E111" s="3">
        <v>-10.99</v>
      </c>
      <c r="F111" s="3">
        <f t="shared" si="4"/>
        <v>-59533.32</v>
      </c>
      <c r="G111" s="3">
        <f t="shared" si="6"/>
        <v>-20862.623000000003</v>
      </c>
      <c r="H111" s="22">
        <f t="shared" si="5"/>
        <v>-0.4872516432814431</v>
      </c>
    </row>
    <row r="112" spans="1:8" x14ac:dyDescent="0.3">
      <c r="A112" s="2" t="s">
        <v>861</v>
      </c>
      <c r="B112" s="3">
        <v>4111.7039999999997</v>
      </c>
      <c r="C112" s="3">
        <v>21910.65</v>
      </c>
      <c r="D112" s="3">
        <v>-36794.833999999988</v>
      </c>
      <c r="E112" s="3">
        <v>-5795.73</v>
      </c>
      <c r="F112" s="3">
        <f t="shared" si="4"/>
        <v>-42590.563999999984</v>
      </c>
      <c r="G112" s="3">
        <f t="shared" si="6"/>
        <v>-16568.209999999988</v>
      </c>
      <c r="H112" s="22">
        <f t="shared" si="5"/>
        <v>-0.51444845858345545</v>
      </c>
    </row>
    <row r="113" spans="1:8" x14ac:dyDescent="0.3">
      <c r="A113" s="2" t="s">
        <v>862</v>
      </c>
      <c r="B113" s="3">
        <v>9318.5720000000001</v>
      </c>
      <c r="C113" s="3">
        <v>37700.548000000003</v>
      </c>
      <c r="D113" s="3">
        <v>-68257.936999999991</v>
      </c>
      <c r="E113" s="3">
        <v>-9890.2309999999998</v>
      </c>
      <c r="F113" s="3">
        <f t="shared" si="4"/>
        <v>-78148.167999999991</v>
      </c>
      <c r="G113" s="3">
        <f t="shared" si="6"/>
        <v>-31129.047999999988</v>
      </c>
      <c r="H113" s="22">
        <f t="shared" si="5"/>
        <v>-0.48242395138424748</v>
      </c>
    </row>
    <row r="114" spans="1:8" x14ac:dyDescent="0.3">
      <c r="A114" s="2" t="s">
        <v>863</v>
      </c>
      <c r="B114" s="3">
        <v>7453.6260000000002</v>
      </c>
      <c r="C114" s="3">
        <v>22756.239000000001</v>
      </c>
      <c r="D114" s="3">
        <v>-38584.902000000002</v>
      </c>
      <c r="E114" s="3">
        <v>-4993.6570000000002</v>
      </c>
      <c r="F114" s="3">
        <f t="shared" si="4"/>
        <v>-43578.559000000001</v>
      </c>
      <c r="G114" s="3">
        <f t="shared" si="6"/>
        <v>-13368.694</v>
      </c>
      <c r="H114" s="22">
        <f t="shared" si="5"/>
        <v>-0.52218888192241508</v>
      </c>
    </row>
    <row r="115" spans="1:8" x14ac:dyDescent="0.3">
      <c r="A115" s="2" t="s">
        <v>864</v>
      </c>
      <c r="B115" s="3">
        <v>12278.268000000002</v>
      </c>
      <c r="C115" s="3">
        <v>49632.912000000004</v>
      </c>
      <c r="D115" s="3">
        <v>-87945.262000000032</v>
      </c>
      <c r="E115" s="3">
        <v>-12744.989</v>
      </c>
      <c r="F115" s="3">
        <f t="shared" si="4"/>
        <v>-100690.25100000003</v>
      </c>
      <c r="G115" s="3">
        <f t="shared" si="6"/>
        <v>-38779.071000000025</v>
      </c>
      <c r="H115" s="22">
        <f t="shared" si="5"/>
        <v>-0.49292668860265315</v>
      </c>
    </row>
    <row r="116" spans="1:8" x14ac:dyDescent="0.3">
      <c r="A116" s="2" t="s">
        <v>865</v>
      </c>
      <c r="B116" s="3">
        <v>3364.3010000000004</v>
      </c>
      <c r="C116" s="3">
        <v>14395.514000000001</v>
      </c>
      <c r="D116" s="3">
        <v>-26499.174999999996</v>
      </c>
      <c r="E116" s="3">
        <v>-3852.835</v>
      </c>
      <c r="F116" s="3">
        <f t="shared" si="4"/>
        <v>-30352.009999999995</v>
      </c>
      <c r="G116" s="3">
        <f t="shared" si="6"/>
        <v>-12592.194999999992</v>
      </c>
      <c r="H116" s="22">
        <f t="shared" si="5"/>
        <v>-0.47428536034351609</v>
      </c>
    </row>
    <row r="117" spans="1:8" x14ac:dyDescent="0.3">
      <c r="A117" s="2" t="s">
        <v>866</v>
      </c>
      <c r="B117" s="3">
        <v>2818.4319999999998</v>
      </c>
      <c r="C117" s="3">
        <v>20249.29</v>
      </c>
      <c r="D117" s="3">
        <v>-37150.006000000001</v>
      </c>
      <c r="E117" s="3">
        <v>-4786.2079999999996</v>
      </c>
      <c r="F117" s="3">
        <f t="shared" si="4"/>
        <v>-41936.214</v>
      </c>
      <c r="G117" s="3">
        <f t="shared" si="6"/>
        <v>-18868.491999999998</v>
      </c>
      <c r="H117" s="22">
        <f t="shared" si="5"/>
        <v>-0.48285927766393028</v>
      </c>
    </row>
    <row r="118" spans="1:8" x14ac:dyDescent="0.3">
      <c r="A118" s="2" t="s">
        <v>867</v>
      </c>
      <c r="B118" s="3">
        <v>73.849999999999994</v>
      </c>
      <c r="C118" s="3"/>
      <c r="D118" s="3"/>
      <c r="E118" s="3"/>
      <c r="F118" s="3">
        <f t="shared" si="4"/>
        <v>0</v>
      </c>
      <c r="G118" s="3">
        <f t="shared" si="6"/>
        <v>73.849999999999994</v>
      </c>
      <c r="H118" s="22">
        <f t="shared" si="5"/>
        <v>0</v>
      </c>
    </row>
    <row r="119" spans="1:8" x14ac:dyDescent="0.3">
      <c r="A119" s="2" t="s">
        <v>868</v>
      </c>
      <c r="B119" s="3">
        <v>14291.882000000003</v>
      </c>
      <c r="C119" s="3">
        <v>35849.849000000009</v>
      </c>
      <c r="D119" s="3">
        <v>-56930.516000000003</v>
      </c>
      <c r="E119" s="3">
        <v>-8426.0920000000006</v>
      </c>
      <c r="F119" s="3">
        <f t="shared" si="4"/>
        <v>-65356.608000000007</v>
      </c>
      <c r="G119" s="3">
        <f t="shared" si="6"/>
        <v>-15214.876999999989</v>
      </c>
      <c r="H119" s="22">
        <f t="shared" si="5"/>
        <v>-0.54852676870868211</v>
      </c>
    </row>
    <row r="120" spans="1:8" x14ac:dyDescent="0.3">
      <c r="A120" s="2" t="s">
        <v>869</v>
      </c>
      <c r="B120" s="3">
        <v>4788.6959999999999</v>
      </c>
      <c r="C120" s="3">
        <v>35267.780000000006</v>
      </c>
      <c r="D120" s="3">
        <v>-58628.650999999998</v>
      </c>
      <c r="E120" s="3">
        <v>-8499.6229999999996</v>
      </c>
      <c r="F120" s="3">
        <f t="shared" si="4"/>
        <v>-67128.274000000005</v>
      </c>
      <c r="G120" s="3">
        <f t="shared" si="6"/>
        <v>-27071.797999999988</v>
      </c>
      <c r="H120" s="22">
        <f t="shared" si="5"/>
        <v>-0.52537891857609809</v>
      </c>
    </row>
    <row r="121" spans="1:8" x14ac:dyDescent="0.3">
      <c r="A121" s="2" t="s">
        <v>870</v>
      </c>
      <c r="B121" s="3">
        <v>9717.43</v>
      </c>
      <c r="C121" s="3">
        <v>20534.973000000002</v>
      </c>
      <c r="D121" s="3">
        <v>-32773.269</v>
      </c>
      <c r="E121" s="3">
        <v>-4748.0370000000003</v>
      </c>
      <c r="F121" s="3">
        <f t="shared" si="4"/>
        <v>-37521.305999999997</v>
      </c>
      <c r="G121" s="3">
        <f t="shared" si="6"/>
        <v>-7268.9029999999984</v>
      </c>
      <c r="H121" s="22">
        <f t="shared" si="5"/>
        <v>-0.54728833266091548</v>
      </c>
    </row>
    <row r="122" spans="1:8" x14ac:dyDescent="0.3">
      <c r="A122" s="2" t="s">
        <v>871</v>
      </c>
      <c r="B122" s="3">
        <v>5898.692</v>
      </c>
      <c r="C122" s="3">
        <v>28387.058999999997</v>
      </c>
      <c r="D122" s="3">
        <v>-55327.262999999992</v>
      </c>
      <c r="E122" s="3">
        <v>-6758.5749999999998</v>
      </c>
      <c r="F122" s="3">
        <f t="shared" si="4"/>
        <v>-62085.837999999989</v>
      </c>
      <c r="G122" s="3">
        <f t="shared" si="6"/>
        <v>-27800.086999999996</v>
      </c>
      <c r="H122" s="22">
        <f t="shared" si="5"/>
        <v>-0.45722277276824391</v>
      </c>
    </row>
    <row r="123" spans="1:8" x14ac:dyDescent="0.3">
      <c r="A123" s="2" t="s">
        <v>872</v>
      </c>
      <c r="B123" s="3">
        <v>10327.111000000003</v>
      </c>
      <c r="C123" s="3">
        <v>59392.158000000003</v>
      </c>
      <c r="D123" s="3">
        <v>-113243.07800000002</v>
      </c>
      <c r="E123" s="3">
        <v>-16130.412</v>
      </c>
      <c r="F123" s="3">
        <f t="shared" si="4"/>
        <v>-129373.49000000002</v>
      </c>
      <c r="G123" s="3">
        <f t="shared" si="6"/>
        <v>-59654.22100000002</v>
      </c>
      <c r="H123" s="22">
        <f t="shared" si="5"/>
        <v>-0.45907517838469064</v>
      </c>
    </row>
    <row r="124" spans="1:8" x14ac:dyDescent="0.3">
      <c r="A124" s="2" t="s">
        <v>873</v>
      </c>
      <c r="B124" s="3">
        <v>646.37400000000002</v>
      </c>
      <c r="C124" s="3">
        <v>1886.1869999999999</v>
      </c>
      <c r="D124" s="3">
        <v>-2670.8789999999999</v>
      </c>
      <c r="E124" s="3">
        <v>-329.13099999999997</v>
      </c>
      <c r="F124" s="3">
        <f t="shared" si="4"/>
        <v>-3000.0099999999998</v>
      </c>
      <c r="G124" s="3">
        <f t="shared" si="6"/>
        <v>-467.44900000000018</v>
      </c>
      <c r="H124" s="22">
        <f t="shared" si="5"/>
        <v>-0.62872690424365252</v>
      </c>
    </row>
    <row r="125" spans="1:8" x14ac:dyDescent="0.3">
      <c r="A125" s="2" t="s">
        <v>874</v>
      </c>
      <c r="B125" s="3">
        <v>1089.902</v>
      </c>
      <c r="C125" s="3">
        <v>6852.3779999999997</v>
      </c>
      <c r="D125" s="3">
        <v>-9370.8880000000008</v>
      </c>
      <c r="E125" s="3">
        <v>-1226.3820000000001</v>
      </c>
      <c r="F125" s="3">
        <f t="shared" si="4"/>
        <v>-10597.27</v>
      </c>
      <c r="G125" s="3">
        <f t="shared" si="6"/>
        <v>-2654.9900000000011</v>
      </c>
      <c r="H125" s="22">
        <f t="shared" si="5"/>
        <v>-0.6466172891697578</v>
      </c>
    </row>
    <row r="126" spans="1:8" x14ac:dyDescent="0.3">
      <c r="A126" s="2" t="s">
        <v>875</v>
      </c>
      <c r="B126" s="3">
        <v>601.95000000000005</v>
      </c>
      <c r="C126" s="3">
        <v>2019.3230000000001</v>
      </c>
      <c r="D126" s="3">
        <v>-3115.5600000000004</v>
      </c>
      <c r="E126" s="3">
        <v>-256.97500000000002</v>
      </c>
      <c r="F126" s="3">
        <f t="shared" si="4"/>
        <v>-3372.5350000000003</v>
      </c>
      <c r="G126" s="3">
        <f t="shared" si="6"/>
        <v>-751.26200000000028</v>
      </c>
      <c r="H126" s="22">
        <f t="shared" si="5"/>
        <v>-0.59875523901160399</v>
      </c>
    </row>
    <row r="127" spans="1:8" x14ac:dyDescent="0.3">
      <c r="A127" s="2" t="s">
        <v>876</v>
      </c>
      <c r="B127" s="3">
        <v>467.57399999999996</v>
      </c>
      <c r="C127" s="3">
        <v>2459.6480000000001</v>
      </c>
      <c r="D127" s="3">
        <v>-3966.5840000000003</v>
      </c>
      <c r="E127" s="3">
        <v>-588.86599999999999</v>
      </c>
      <c r="F127" s="3">
        <f t="shared" si="4"/>
        <v>-4555.4500000000007</v>
      </c>
      <c r="G127" s="3">
        <f t="shared" si="6"/>
        <v>-1628.2280000000001</v>
      </c>
      <c r="H127" s="22">
        <f t="shared" si="5"/>
        <v>-0.539935242401958</v>
      </c>
    </row>
    <row r="128" spans="1:8" x14ac:dyDescent="0.3">
      <c r="A128" s="2" t="s">
        <v>877</v>
      </c>
      <c r="B128" s="3">
        <v>771.75799999999992</v>
      </c>
      <c r="C128" s="3">
        <v>1775.6740000000002</v>
      </c>
      <c r="D128" s="3">
        <v>-2389.6549999999997</v>
      </c>
      <c r="E128" s="3">
        <v>-328.41399999999999</v>
      </c>
      <c r="F128" s="3">
        <f t="shared" si="4"/>
        <v>-2718.0689999999995</v>
      </c>
      <c r="G128" s="3">
        <f t="shared" si="6"/>
        <v>-170.63699999999949</v>
      </c>
      <c r="H128" s="22">
        <f t="shared" si="5"/>
        <v>-0.65328510792036576</v>
      </c>
    </row>
    <row r="129" spans="1:8" x14ac:dyDescent="0.3">
      <c r="A129" s="2" t="s">
        <v>878</v>
      </c>
      <c r="B129" s="3">
        <v>872.45499999999993</v>
      </c>
      <c r="C129" s="3">
        <v>50.454999999999998</v>
      </c>
      <c r="D129" s="3"/>
      <c r="E129" s="3"/>
      <c r="F129" s="3">
        <f t="shared" si="4"/>
        <v>0</v>
      </c>
      <c r="G129" s="3">
        <f t="shared" si="6"/>
        <v>922.91</v>
      </c>
      <c r="H129" s="22">
        <f t="shared" si="5"/>
        <v>0</v>
      </c>
    </row>
    <row r="130" spans="1:8" x14ac:dyDescent="0.3">
      <c r="A130" s="2" t="s">
        <v>879</v>
      </c>
      <c r="B130" s="3">
        <v>874.74599999999998</v>
      </c>
      <c r="C130" s="3">
        <v>498.01300000000003</v>
      </c>
      <c r="D130" s="3">
        <v>-1075.0500000000002</v>
      </c>
      <c r="E130" s="3">
        <v>-169.255</v>
      </c>
      <c r="F130" s="3">
        <f t="shared" si="4"/>
        <v>-1244.3050000000003</v>
      </c>
      <c r="G130" s="3">
        <f t="shared" si="6"/>
        <v>128.45399999999984</v>
      </c>
      <c r="H130" s="22">
        <f t="shared" si="5"/>
        <v>-0.40023386549117773</v>
      </c>
    </row>
    <row r="131" spans="1:8" x14ac:dyDescent="0.3">
      <c r="A131" s="2" t="s">
        <v>880</v>
      </c>
      <c r="B131" s="3">
        <v>336.59000000000003</v>
      </c>
      <c r="C131" s="3">
        <v>1227.4000000000001</v>
      </c>
      <c r="D131" s="3">
        <v>-1815.5850000000003</v>
      </c>
      <c r="E131" s="3">
        <v>-289.28300000000002</v>
      </c>
      <c r="F131" s="3">
        <f t="shared" ref="F131:F194" si="7">SUM(D131,E131)</f>
        <v>-2104.8680000000004</v>
      </c>
      <c r="G131" s="3">
        <f t="shared" si="6"/>
        <v>-540.87800000000004</v>
      </c>
      <c r="H131" s="22">
        <f t="shared" ref="H131:H194" si="8">IFERROR(C131/F131,0%)</f>
        <v>-0.58312445245972666</v>
      </c>
    </row>
    <row r="132" spans="1:8" x14ac:dyDescent="0.3">
      <c r="A132" s="2" t="s">
        <v>881</v>
      </c>
      <c r="B132" s="3">
        <v>2685.3939999999993</v>
      </c>
      <c r="C132" s="3">
        <v>23651.610000000004</v>
      </c>
      <c r="D132" s="3">
        <v>-44351.743999999992</v>
      </c>
      <c r="E132" s="3">
        <v>-6361.0320000000002</v>
      </c>
      <c r="F132" s="3">
        <f t="shared" si="7"/>
        <v>-50712.775999999991</v>
      </c>
      <c r="G132" s="3">
        <f t="shared" si="6"/>
        <v>-24375.771999999986</v>
      </c>
      <c r="H132" s="22">
        <f t="shared" si="8"/>
        <v>-0.46638365842958407</v>
      </c>
    </row>
    <row r="133" spans="1:8" x14ac:dyDescent="0.3">
      <c r="A133" s="2" t="s">
        <v>882</v>
      </c>
      <c r="B133" s="3">
        <v>4863.2499999999991</v>
      </c>
      <c r="C133" s="3">
        <v>18326.455000000002</v>
      </c>
      <c r="D133" s="3">
        <v>-30863.508000000002</v>
      </c>
      <c r="E133" s="3">
        <v>-4521.75</v>
      </c>
      <c r="F133" s="3">
        <f t="shared" si="7"/>
        <v>-35385.258000000002</v>
      </c>
      <c r="G133" s="3">
        <f t="shared" si="6"/>
        <v>-12195.553</v>
      </c>
      <c r="H133" s="22">
        <f t="shared" si="8"/>
        <v>-0.51791214861284895</v>
      </c>
    </row>
    <row r="134" spans="1:8" x14ac:dyDescent="0.3">
      <c r="A134" s="2" t="s">
        <v>883</v>
      </c>
      <c r="B134" s="3">
        <v>17585.641999999996</v>
      </c>
      <c r="C134" s="3">
        <v>83107.282999999981</v>
      </c>
      <c r="D134" s="3">
        <v>-138174.90400000001</v>
      </c>
      <c r="E134" s="3">
        <v>-17017.457999999999</v>
      </c>
      <c r="F134" s="3">
        <f t="shared" si="7"/>
        <v>-155192.36200000002</v>
      </c>
      <c r="G134" s="3">
        <f t="shared" si="6"/>
        <v>-54499.437000000034</v>
      </c>
      <c r="H134" s="22">
        <f t="shared" si="8"/>
        <v>-0.53551142549141673</v>
      </c>
    </row>
    <row r="135" spans="1:8" x14ac:dyDescent="0.3">
      <c r="A135" s="2" t="s">
        <v>884</v>
      </c>
      <c r="B135" s="3">
        <v>7948.1029999999992</v>
      </c>
      <c r="C135" s="3">
        <v>52878.370999999999</v>
      </c>
      <c r="D135" s="3">
        <v>-90898.308999999994</v>
      </c>
      <c r="E135" s="3">
        <v>-12556.456</v>
      </c>
      <c r="F135" s="3">
        <f t="shared" si="7"/>
        <v>-103454.765</v>
      </c>
      <c r="G135" s="3">
        <f t="shared" si="6"/>
        <v>-42628.29099999999</v>
      </c>
      <c r="H135" s="22">
        <f t="shared" si="8"/>
        <v>-0.51112552428107105</v>
      </c>
    </row>
    <row r="136" spans="1:8" x14ac:dyDescent="0.3">
      <c r="A136" s="2" t="s">
        <v>885</v>
      </c>
      <c r="B136" s="3">
        <v>6348.2379999999985</v>
      </c>
      <c r="C136" s="3">
        <v>21217.678</v>
      </c>
      <c r="D136" s="3">
        <v>-35316.122999999992</v>
      </c>
      <c r="E136" s="3">
        <v>-4976.576</v>
      </c>
      <c r="F136" s="3">
        <f t="shared" si="7"/>
        <v>-40292.698999999993</v>
      </c>
      <c r="G136" s="3">
        <f t="shared" si="6"/>
        <v>-12726.782999999996</v>
      </c>
      <c r="H136" s="22">
        <f t="shared" si="8"/>
        <v>-0.52658865071312311</v>
      </c>
    </row>
    <row r="137" spans="1:8" x14ac:dyDescent="0.3">
      <c r="A137" s="2" t="s">
        <v>886</v>
      </c>
      <c r="B137" s="3">
        <v>6088.6459999999997</v>
      </c>
      <c r="C137" s="3">
        <v>27039.458000000006</v>
      </c>
      <c r="D137" s="3">
        <v>-54368.21</v>
      </c>
      <c r="E137" s="3">
        <v>-7712.982</v>
      </c>
      <c r="F137" s="3">
        <f t="shared" si="7"/>
        <v>-62081.191999999995</v>
      </c>
      <c r="G137" s="3">
        <f t="shared" si="6"/>
        <v>-28953.087999999992</v>
      </c>
      <c r="H137" s="22">
        <f t="shared" si="8"/>
        <v>-0.43554991663175552</v>
      </c>
    </row>
    <row r="138" spans="1:8" x14ac:dyDescent="0.3">
      <c r="A138" s="2" t="s">
        <v>887</v>
      </c>
      <c r="B138" s="3">
        <v>4762.469000000001</v>
      </c>
      <c r="C138" s="3">
        <v>13146.991999999998</v>
      </c>
      <c r="D138" s="3">
        <v>-21987.076000000001</v>
      </c>
      <c r="E138" s="3">
        <v>-3270.712</v>
      </c>
      <c r="F138" s="3">
        <f t="shared" si="7"/>
        <v>-25257.788</v>
      </c>
      <c r="G138" s="3">
        <f t="shared" si="6"/>
        <v>-7348.3270000000011</v>
      </c>
      <c r="H138" s="22">
        <f t="shared" si="8"/>
        <v>-0.52051240591614745</v>
      </c>
    </row>
    <row r="139" spans="1:8" x14ac:dyDescent="0.3">
      <c r="A139" s="2" t="s">
        <v>888</v>
      </c>
      <c r="B139" s="3">
        <v>5872.6419999999998</v>
      </c>
      <c r="C139" s="3">
        <v>46064.281000000003</v>
      </c>
      <c r="D139" s="3">
        <v>-88462.964000000007</v>
      </c>
      <c r="E139" s="3">
        <v>-12684.887999999999</v>
      </c>
      <c r="F139" s="3">
        <f t="shared" si="7"/>
        <v>-101147.85200000001</v>
      </c>
      <c r="G139" s="3">
        <f t="shared" si="6"/>
        <v>-49210.929000000004</v>
      </c>
      <c r="H139" s="22">
        <f t="shared" si="8"/>
        <v>-0.45541531618486564</v>
      </c>
    </row>
    <row r="140" spans="1:8" x14ac:dyDescent="0.3">
      <c r="A140" s="2" t="s">
        <v>1035</v>
      </c>
      <c r="B140" s="3"/>
      <c r="C140" s="3">
        <v>183.98099999999999</v>
      </c>
      <c r="D140" s="3"/>
      <c r="E140" s="3"/>
      <c r="F140" s="3">
        <f t="shared" si="7"/>
        <v>0</v>
      </c>
      <c r="G140" s="3">
        <f t="shared" si="6"/>
        <v>183.98099999999999</v>
      </c>
      <c r="H140" s="22">
        <f t="shared" si="8"/>
        <v>0</v>
      </c>
    </row>
    <row r="141" spans="1:8" x14ac:dyDescent="0.3">
      <c r="A141" s="2" t="s">
        <v>1036</v>
      </c>
      <c r="B141" s="3"/>
      <c r="C141" s="3">
        <v>-14.718999999999999</v>
      </c>
      <c r="D141" s="3"/>
      <c r="E141" s="3"/>
      <c r="F141" s="3">
        <f t="shared" si="7"/>
        <v>0</v>
      </c>
      <c r="G141" s="3">
        <f t="shared" si="6"/>
        <v>-14.718999999999999</v>
      </c>
      <c r="H141" s="22">
        <f t="shared" si="8"/>
        <v>0</v>
      </c>
    </row>
    <row r="142" spans="1:8" x14ac:dyDescent="0.3">
      <c r="A142" s="2" t="s">
        <v>1037</v>
      </c>
      <c r="B142" s="3"/>
      <c r="C142" s="3">
        <v>-5.0540000000000003</v>
      </c>
      <c r="D142" s="3"/>
      <c r="E142" s="3"/>
      <c r="F142" s="3">
        <f t="shared" si="7"/>
        <v>0</v>
      </c>
      <c r="G142" s="3">
        <f t="shared" si="6"/>
        <v>-5.0540000000000003</v>
      </c>
      <c r="H142" s="22">
        <f t="shared" si="8"/>
        <v>0</v>
      </c>
    </row>
    <row r="143" spans="1:8" x14ac:dyDescent="0.3">
      <c r="A143" s="2" t="s">
        <v>1038</v>
      </c>
      <c r="B143" s="3">
        <v>117.86</v>
      </c>
      <c r="C143" s="3">
        <v>-53.36699999999999</v>
      </c>
      <c r="D143" s="3"/>
      <c r="E143" s="3"/>
      <c r="F143" s="3">
        <f t="shared" si="7"/>
        <v>0</v>
      </c>
      <c r="G143" s="3">
        <f t="shared" ref="G143:G206" si="9">B143+C143+D143+E143</f>
        <v>64.493000000000009</v>
      </c>
      <c r="H143" s="22">
        <f t="shared" si="8"/>
        <v>0</v>
      </c>
    </row>
    <row r="144" spans="1:8" x14ac:dyDescent="0.3">
      <c r="A144" s="2" t="s">
        <v>891</v>
      </c>
      <c r="B144" s="3"/>
      <c r="C144" s="3">
        <v>-9.718</v>
      </c>
      <c r="D144" s="3"/>
      <c r="E144" s="3"/>
      <c r="F144" s="3">
        <f t="shared" si="7"/>
        <v>0</v>
      </c>
      <c r="G144" s="3">
        <f t="shared" si="9"/>
        <v>-9.718</v>
      </c>
      <c r="H144" s="22">
        <f t="shared" si="8"/>
        <v>0</v>
      </c>
    </row>
    <row r="145" spans="1:8" x14ac:dyDescent="0.3">
      <c r="A145" s="2" t="s">
        <v>892</v>
      </c>
      <c r="B145" s="3">
        <v>1.367</v>
      </c>
      <c r="C145" s="3">
        <v>50.291000000000004</v>
      </c>
      <c r="D145" s="3"/>
      <c r="E145" s="3"/>
      <c r="F145" s="3">
        <f t="shared" si="7"/>
        <v>0</v>
      </c>
      <c r="G145" s="3">
        <f t="shared" si="9"/>
        <v>51.658000000000001</v>
      </c>
      <c r="H145" s="22">
        <f t="shared" si="8"/>
        <v>0</v>
      </c>
    </row>
    <row r="146" spans="1:8" x14ac:dyDescent="0.3">
      <c r="A146" s="2" t="s">
        <v>893</v>
      </c>
      <c r="B146" s="3">
        <v>8033.46</v>
      </c>
      <c r="C146" s="3">
        <v>47496.539000000004</v>
      </c>
      <c r="D146" s="3">
        <v>-82985</v>
      </c>
      <c r="E146" s="3">
        <v>-0.01</v>
      </c>
      <c r="F146" s="3">
        <f t="shared" si="7"/>
        <v>-82985.009999999995</v>
      </c>
      <c r="G146" s="3">
        <f t="shared" si="9"/>
        <v>-27455.010999999995</v>
      </c>
      <c r="H146" s="22">
        <f t="shared" si="8"/>
        <v>-0.57235082576961804</v>
      </c>
    </row>
    <row r="147" spans="1:8" x14ac:dyDescent="0.3">
      <c r="A147" s="2" t="s">
        <v>894</v>
      </c>
      <c r="B147" s="3">
        <v>7653.4960000000001</v>
      </c>
      <c r="C147" s="3">
        <v>22307.844999999998</v>
      </c>
      <c r="D147" s="3">
        <v>-42764.673999999999</v>
      </c>
      <c r="E147" s="3">
        <v>-6243.2069999999994</v>
      </c>
      <c r="F147" s="3">
        <f t="shared" si="7"/>
        <v>-49007.881000000001</v>
      </c>
      <c r="G147" s="3">
        <f t="shared" si="9"/>
        <v>-19046.54</v>
      </c>
      <c r="H147" s="22">
        <f t="shared" si="8"/>
        <v>-0.45518893175569042</v>
      </c>
    </row>
    <row r="148" spans="1:8" x14ac:dyDescent="0.3">
      <c r="A148" s="2" t="s">
        <v>895</v>
      </c>
      <c r="B148" s="3">
        <v>11613.352000000001</v>
      </c>
      <c r="C148" s="3">
        <v>43266.657999999996</v>
      </c>
      <c r="D148" s="3">
        <v>-82245.286000000007</v>
      </c>
      <c r="E148" s="3">
        <v>-10612</v>
      </c>
      <c r="F148" s="3">
        <f t="shared" si="7"/>
        <v>-92857.286000000007</v>
      </c>
      <c r="G148" s="3">
        <f t="shared" si="9"/>
        <v>-37977.276000000013</v>
      </c>
      <c r="H148" s="22">
        <f t="shared" si="8"/>
        <v>-0.46594790633876582</v>
      </c>
    </row>
    <row r="149" spans="1:8" x14ac:dyDescent="0.3">
      <c r="A149" s="2" t="s">
        <v>896</v>
      </c>
      <c r="B149" s="3">
        <v>3551.3829999999994</v>
      </c>
      <c r="C149" s="3">
        <v>15009.564</v>
      </c>
      <c r="D149" s="3">
        <v>-32742.743000000006</v>
      </c>
      <c r="E149" s="3">
        <v>-4367.2250000000004</v>
      </c>
      <c r="F149" s="3">
        <f t="shared" si="7"/>
        <v>-37109.968000000008</v>
      </c>
      <c r="G149" s="3">
        <f t="shared" si="9"/>
        <v>-18549.021000000008</v>
      </c>
      <c r="H149" s="22">
        <f t="shared" si="8"/>
        <v>-0.40446178773315022</v>
      </c>
    </row>
    <row r="150" spans="1:8" x14ac:dyDescent="0.3">
      <c r="A150" s="2" t="s">
        <v>897</v>
      </c>
      <c r="B150" s="3">
        <v>7815.8009999999995</v>
      </c>
      <c r="C150" s="3">
        <v>25118.36</v>
      </c>
      <c r="D150" s="3">
        <v>-47335.763000000006</v>
      </c>
      <c r="E150" s="3">
        <v>-7158.5749999999998</v>
      </c>
      <c r="F150" s="3">
        <f t="shared" si="7"/>
        <v>-54494.338000000003</v>
      </c>
      <c r="G150" s="3">
        <f t="shared" si="9"/>
        <v>-21560.177000000007</v>
      </c>
      <c r="H150" s="22">
        <f t="shared" si="8"/>
        <v>-0.46093522596787945</v>
      </c>
    </row>
    <row r="151" spans="1:8" x14ac:dyDescent="0.3">
      <c r="A151" s="2" t="s">
        <v>898</v>
      </c>
      <c r="B151" s="3">
        <v>5709.4800000000005</v>
      </c>
      <c r="C151" s="3">
        <v>26872.552999999996</v>
      </c>
      <c r="D151" s="3">
        <v>-51791.161000000007</v>
      </c>
      <c r="E151" s="3">
        <v>-7339.3639999999996</v>
      </c>
      <c r="F151" s="3">
        <f t="shared" si="7"/>
        <v>-59130.525000000009</v>
      </c>
      <c r="G151" s="3">
        <f t="shared" si="9"/>
        <v>-26548.492000000013</v>
      </c>
      <c r="H151" s="22">
        <f t="shared" si="8"/>
        <v>-0.4544615999942499</v>
      </c>
    </row>
    <row r="152" spans="1:8" x14ac:dyDescent="0.3">
      <c r="A152" s="2" t="s">
        <v>899</v>
      </c>
      <c r="B152" s="3">
        <v>5439.0690000000004</v>
      </c>
      <c r="C152" s="3">
        <v>32499.891</v>
      </c>
      <c r="D152" s="3">
        <v>-58310.270000000004</v>
      </c>
      <c r="E152" s="3">
        <v>-7932.3230000000003</v>
      </c>
      <c r="F152" s="3">
        <f t="shared" si="7"/>
        <v>-66242.593000000008</v>
      </c>
      <c r="G152" s="3">
        <f t="shared" si="9"/>
        <v>-28303.633000000005</v>
      </c>
      <c r="H152" s="22">
        <f t="shared" si="8"/>
        <v>-0.49061924553587444</v>
      </c>
    </row>
    <row r="153" spans="1:8" x14ac:dyDescent="0.3">
      <c r="A153" s="2" t="s">
        <v>900</v>
      </c>
      <c r="B153" s="3">
        <v>16220.757</v>
      </c>
      <c r="C153" s="3">
        <v>56094.024999999994</v>
      </c>
      <c r="D153" s="3">
        <v>-98945.328999999998</v>
      </c>
      <c r="E153" s="3">
        <v>-13857.919</v>
      </c>
      <c r="F153" s="3">
        <f t="shared" si="7"/>
        <v>-112803.24799999999</v>
      </c>
      <c r="G153" s="3">
        <f t="shared" si="9"/>
        <v>-40488.466000000008</v>
      </c>
      <c r="H153" s="22">
        <f t="shared" si="8"/>
        <v>-0.49727313702882031</v>
      </c>
    </row>
    <row r="154" spans="1:8" x14ac:dyDescent="0.3">
      <c r="A154" s="2" t="s">
        <v>901</v>
      </c>
      <c r="B154" s="3">
        <v>10647.372000000001</v>
      </c>
      <c r="C154" s="3">
        <v>29966.565999999999</v>
      </c>
      <c r="D154" s="3">
        <v>-47496.041000000005</v>
      </c>
      <c r="E154" s="3">
        <v>-7123.3119999999999</v>
      </c>
      <c r="F154" s="3">
        <f t="shared" si="7"/>
        <v>-54619.353000000003</v>
      </c>
      <c r="G154" s="3">
        <f t="shared" si="9"/>
        <v>-14005.415000000003</v>
      </c>
      <c r="H154" s="22">
        <f t="shared" si="8"/>
        <v>-0.54864373805379929</v>
      </c>
    </row>
    <row r="155" spans="1:8" x14ac:dyDescent="0.3">
      <c r="A155" s="2" t="s">
        <v>902</v>
      </c>
      <c r="B155" s="3">
        <v>11155.528</v>
      </c>
      <c r="C155" s="3">
        <v>67358.516000000003</v>
      </c>
      <c r="D155" s="3">
        <v>-112026.09</v>
      </c>
      <c r="E155" s="3">
        <v>-16810.175999999999</v>
      </c>
      <c r="F155" s="3">
        <f t="shared" si="7"/>
        <v>-128836.266</v>
      </c>
      <c r="G155" s="3">
        <f t="shared" si="9"/>
        <v>-50322.221999999987</v>
      </c>
      <c r="H155" s="22">
        <f t="shared" si="8"/>
        <v>-0.52282263442810428</v>
      </c>
    </row>
    <row r="156" spans="1:8" x14ac:dyDescent="0.3">
      <c r="A156" s="2" t="s">
        <v>903</v>
      </c>
      <c r="B156" s="3">
        <v>14047.84</v>
      </c>
      <c r="C156" s="3">
        <v>65579.53</v>
      </c>
      <c r="D156" s="3">
        <v>-114279.83399999999</v>
      </c>
      <c r="E156" s="3">
        <v>-17056.651000000002</v>
      </c>
      <c r="F156" s="3">
        <f t="shared" si="7"/>
        <v>-131336.48499999999</v>
      </c>
      <c r="G156" s="3">
        <f t="shared" si="9"/>
        <v>-51709.114999999991</v>
      </c>
      <c r="H156" s="22">
        <f t="shared" si="8"/>
        <v>-0.4993245403209931</v>
      </c>
    </row>
    <row r="157" spans="1:8" x14ac:dyDescent="0.3">
      <c r="A157" s="2" t="s">
        <v>904</v>
      </c>
      <c r="B157" s="3">
        <v>10405.618000000002</v>
      </c>
      <c r="C157" s="3">
        <v>65753.803</v>
      </c>
      <c r="D157" s="3">
        <v>-111386.16300000002</v>
      </c>
      <c r="E157" s="3">
        <v>-16774.365000000002</v>
      </c>
      <c r="F157" s="3">
        <f t="shared" si="7"/>
        <v>-128160.52800000002</v>
      </c>
      <c r="G157" s="3">
        <f t="shared" si="9"/>
        <v>-52001.107000000018</v>
      </c>
      <c r="H157" s="22">
        <f t="shared" si="8"/>
        <v>-0.51305814688903273</v>
      </c>
    </row>
    <row r="158" spans="1:8" x14ac:dyDescent="0.3">
      <c r="A158" s="2" t="s">
        <v>905</v>
      </c>
      <c r="B158" s="3">
        <v>4299.9949999999999</v>
      </c>
      <c r="C158" s="3">
        <v>37024.881000000001</v>
      </c>
      <c r="D158" s="3">
        <v>-28094.173000000006</v>
      </c>
      <c r="E158" s="3">
        <v>-3025.373</v>
      </c>
      <c r="F158" s="3">
        <f t="shared" si="7"/>
        <v>-31119.546000000006</v>
      </c>
      <c r="G158" s="3">
        <f t="shared" si="9"/>
        <v>10205.329999999998</v>
      </c>
      <c r="H158" s="22">
        <f t="shared" si="8"/>
        <v>-1.1897628904997519</v>
      </c>
    </row>
    <row r="159" spans="1:8" x14ac:dyDescent="0.3">
      <c r="A159" s="2" t="s">
        <v>906</v>
      </c>
      <c r="B159" s="3">
        <v>4214.1330000000007</v>
      </c>
      <c r="C159" s="3">
        <v>13153.955</v>
      </c>
      <c r="D159" s="3">
        <v>-26016.425999999999</v>
      </c>
      <c r="E159" s="3">
        <v>-3175.614</v>
      </c>
      <c r="F159" s="3">
        <f t="shared" si="7"/>
        <v>-29192.04</v>
      </c>
      <c r="G159" s="3">
        <f t="shared" si="9"/>
        <v>-11823.951999999999</v>
      </c>
      <c r="H159" s="22">
        <f t="shared" si="8"/>
        <v>-0.45060074595677452</v>
      </c>
    </row>
    <row r="160" spans="1:8" x14ac:dyDescent="0.3">
      <c r="A160" s="2" t="s">
        <v>907</v>
      </c>
      <c r="B160" s="3">
        <v>7897.0460000000003</v>
      </c>
      <c r="C160" s="3">
        <v>56959.794999999998</v>
      </c>
      <c r="D160" s="3">
        <v>-95518.772000000012</v>
      </c>
      <c r="E160" s="3">
        <v>-14903.727000000001</v>
      </c>
      <c r="F160" s="3">
        <f t="shared" si="7"/>
        <v>-110422.49900000001</v>
      </c>
      <c r="G160" s="3">
        <f t="shared" si="9"/>
        <v>-45565.65800000001</v>
      </c>
      <c r="H160" s="22">
        <f t="shared" si="8"/>
        <v>-0.51583504734845742</v>
      </c>
    </row>
    <row r="161" spans="1:8" x14ac:dyDescent="0.3">
      <c r="A161" s="2" t="s">
        <v>908</v>
      </c>
      <c r="B161" s="3">
        <v>8260.51</v>
      </c>
      <c r="C161" s="3">
        <v>41939.822</v>
      </c>
      <c r="D161" s="3">
        <v>-88782.444000000003</v>
      </c>
      <c r="E161" s="3">
        <v>-12626.387999999999</v>
      </c>
      <c r="F161" s="3">
        <f t="shared" si="7"/>
        <v>-101408.83199999999</v>
      </c>
      <c r="G161" s="3">
        <f t="shared" si="9"/>
        <v>-51208.5</v>
      </c>
      <c r="H161" s="22">
        <f t="shared" si="8"/>
        <v>-0.413571689692669</v>
      </c>
    </row>
    <row r="162" spans="1:8" x14ac:dyDescent="0.3">
      <c r="A162" s="2" t="s">
        <v>909</v>
      </c>
      <c r="B162" s="3">
        <v>10072.91</v>
      </c>
      <c r="C162" s="3">
        <v>27928.405999999999</v>
      </c>
      <c r="D162" s="3">
        <v>-60377.943999999989</v>
      </c>
      <c r="E162" s="3">
        <v>-8838.768</v>
      </c>
      <c r="F162" s="3">
        <f t="shared" si="7"/>
        <v>-69216.711999999985</v>
      </c>
      <c r="G162" s="3">
        <f t="shared" si="9"/>
        <v>-31215.39599999999</v>
      </c>
      <c r="H162" s="22">
        <f t="shared" si="8"/>
        <v>-0.40349223753939661</v>
      </c>
    </row>
    <row r="163" spans="1:8" x14ac:dyDescent="0.3">
      <c r="A163" s="2" t="s">
        <v>910</v>
      </c>
      <c r="B163" s="3">
        <v>8244.9510000000009</v>
      </c>
      <c r="C163" s="3">
        <v>34403.311999999998</v>
      </c>
      <c r="D163" s="3">
        <v>-73056.932000000015</v>
      </c>
      <c r="E163" s="3">
        <v>-9862.6170000000002</v>
      </c>
      <c r="F163" s="3">
        <f t="shared" si="7"/>
        <v>-82919.549000000014</v>
      </c>
      <c r="G163" s="3">
        <f t="shared" si="9"/>
        <v>-40271.286000000015</v>
      </c>
      <c r="H163" s="22">
        <f t="shared" si="8"/>
        <v>-0.41489989290703921</v>
      </c>
    </row>
    <row r="164" spans="1:8" x14ac:dyDescent="0.3">
      <c r="A164" s="2" t="s">
        <v>911</v>
      </c>
      <c r="B164" s="3">
        <v>5275.4529999999995</v>
      </c>
      <c r="C164" s="3">
        <v>17832.716</v>
      </c>
      <c r="D164" s="3">
        <v>-38981.989000000001</v>
      </c>
      <c r="E164" s="3"/>
      <c r="F164" s="3">
        <f t="shared" si="7"/>
        <v>-38981.989000000001</v>
      </c>
      <c r="G164" s="3">
        <f t="shared" si="9"/>
        <v>-15873.82</v>
      </c>
      <c r="H164" s="22">
        <f t="shared" si="8"/>
        <v>-0.4574603927983254</v>
      </c>
    </row>
    <row r="165" spans="1:8" x14ac:dyDescent="0.3">
      <c r="A165" s="2" t="s">
        <v>912</v>
      </c>
      <c r="B165" s="3">
        <v>4035.6390000000001</v>
      </c>
      <c r="C165" s="3">
        <v>24777.492999999995</v>
      </c>
      <c r="D165" s="3">
        <v>-47557.72</v>
      </c>
      <c r="E165" s="3">
        <v>-0.02</v>
      </c>
      <c r="F165" s="3">
        <f t="shared" si="7"/>
        <v>-47557.74</v>
      </c>
      <c r="G165" s="3">
        <f t="shared" si="9"/>
        <v>-18744.608000000007</v>
      </c>
      <c r="H165" s="22">
        <f t="shared" si="8"/>
        <v>-0.52099811723601663</v>
      </c>
    </row>
    <row r="166" spans="1:8" x14ac:dyDescent="0.3">
      <c r="A166" s="2" t="s">
        <v>913</v>
      </c>
      <c r="B166" s="3">
        <v>4939.1290000000008</v>
      </c>
      <c r="C166" s="3">
        <v>16655.7</v>
      </c>
      <c r="D166" s="3">
        <v>-30851.016999999996</v>
      </c>
      <c r="E166" s="3">
        <v>-4397.0119999999997</v>
      </c>
      <c r="F166" s="3">
        <f t="shared" si="7"/>
        <v>-35248.028999999995</v>
      </c>
      <c r="G166" s="3">
        <f t="shared" si="9"/>
        <v>-13653.199999999993</v>
      </c>
      <c r="H166" s="22">
        <f t="shared" si="8"/>
        <v>-0.4725285490431253</v>
      </c>
    </row>
    <row r="167" spans="1:8" x14ac:dyDescent="0.3">
      <c r="A167" s="2" t="s">
        <v>914</v>
      </c>
      <c r="B167" s="3">
        <v>5555.7709999999988</v>
      </c>
      <c r="C167" s="3">
        <v>17863.361000000001</v>
      </c>
      <c r="D167" s="3">
        <v>-33702.663999999997</v>
      </c>
      <c r="E167" s="3">
        <v>-4628.7700000000004</v>
      </c>
      <c r="F167" s="3">
        <f t="shared" si="7"/>
        <v>-38331.433999999994</v>
      </c>
      <c r="G167" s="3">
        <f t="shared" si="9"/>
        <v>-14912.302</v>
      </c>
      <c r="H167" s="22">
        <f t="shared" si="8"/>
        <v>-0.46602381220593009</v>
      </c>
    </row>
    <row r="168" spans="1:8" x14ac:dyDescent="0.3">
      <c r="A168" s="2" t="s">
        <v>915</v>
      </c>
      <c r="B168" s="3">
        <v>3190.9029999999998</v>
      </c>
      <c r="C168" s="3">
        <v>15004.637000000001</v>
      </c>
      <c r="D168" s="3">
        <v>-23969.562000000002</v>
      </c>
      <c r="E168" s="3">
        <v>-3462.7640000000001</v>
      </c>
      <c r="F168" s="3">
        <f t="shared" si="7"/>
        <v>-27432.326000000001</v>
      </c>
      <c r="G168" s="3">
        <f t="shared" si="9"/>
        <v>-9236.7860000000001</v>
      </c>
      <c r="H168" s="22">
        <f t="shared" si="8"/>
        <v>-0.54696918518684856</v>
      </c>
    </row>
    <row r="169" spans="1:8" x14ac:dyDescent="0.3">
      <c r="A169" s="2" t="s">
        <v>916</v>
      </c>
      <c r="B169" s="3">
        <v>13581.793</v>
      </c>
      <c r="C169" s="3">
        <v>55777.715000000004</v>
      </c>
      <c r="D169" s="3">
        <v>-101564.51400000002</v>
      </c>
      <c r="E169" s="3">
        <v>-14853.908000000001</v>
      </c>
      <c r="F169" s="3">
        <f t="shared" si="7"/>
        <v>-116418.42200000002</v>
      </c>
      <c r="G169" s="3">
        <f t="shared" si="9"/>
        <v>-47058.914000000026</v>
      </c>
      <c r="H169" s="22">
        <f t="shared" si="8"/>
        <v>-0.47911416459501566</v>
      </c>
    </row>
    <row r="170" spans="1:8" x14ac:dyDescent="0.3">
      <c r="A170" s="2" t="s">
        <v>917</v>
      </c>
      <c r="B170" s="3">
        <v>5370.9679999999989</v>
      </c>
      <c r="C170" s="3">
        <v>42070.286</v>
      </c>
      <c r="D170" s="3">
        <v>-72164.689999999988</v>
      </c>
      <c r="E170" s="3">
        <v>-10177.744000000001</v>
      </c>
      <c r="F170" s="3">
        <f t="shared" si="7"/>
        <v>-82342.433999999994</v>
      </c>
      <c r="G170" s="3">
        <f t="shared" si="9"/>
        <v>-34901.179999999986</v>
      </c>
      <c r="H170" s="22">
        <f t="shared" si="8"/>
        <v>-0.51091865950914206</v>
      </c>
    </row>
    <row r="171" spans="1:8" x14ac:dyDescent="0.3">
      <c r="A171" s="2" t="s">
        <v>1039</v>
      </c>
      <c r="B171" s="3">
        <v>315.95</v>
      </c>
      <c r="C171" s="3"/>
      <c r="D171" s="3"/>
      <c r="E171" s="3"/>
      <c r="F171" s="3">
        <f t="shared" si="7"/>
        <v>0</v>
      </c>
      <c r="G171" s="3">
        <f t="shared" si="9"/>
        <v>315.95</v>
      </c>
      <c r="H171" s="22">
        <f t="shared" si="8"/>
        <v>0</v>
      </c>
    </row>
    <row r="172" spans="1:8" x14ac:dyDescent="0.3">
      <c r="A172" s="2" t="s">
        <v>918</v>
      </c>
      <c r="B172" s="3">
        <v>5152.9820000000009</v>
      </c>
      <c r="C172" s="3">
        <v>19762.802999999996</v>
      </c>
      <c r="D172" s="3">
        <v>-34466.664000000004</v>
      </c>
      <c r="E172" s="3">
        <v>-4817.5659999999998</v>
      </c>
      <c r="F172" s="3">
        <f t="shared" si="7"/>
        <v>-39284.230000000003</v>
      </c>
      <c r="G172" s="3">
        <f t="shared" si="9"/>
        <v>-14368.445000000007</v>
      </c>
      <c r="H172" s="22">
        <f t="shared" si="8"/>
        <v>-0.50307217425414719</v>
      </c>
    </row>
    <row r="173" spans="1:8" x14ac:dyDescent="0.3">
      <c r="A173" s="2" t="s">
        <v>919</v>
      </c>
      <c r="B173" s="3">
        <v>4271.6380000000008</v>
      </c>
      <c r="C173" s="3">
        <v>11268.906000000001</v>
      </c>
      <c r="D173" s="3">
        <v>-17773.128000000001</v>
      </c>
      <c r="E173" s="3">
        <v>-2642.5990000000002</v>
      </c>
      <c r="F173" s="3">
        <f t="shared" si="7"/>
        <v>-20415.726999999999</v>
      </c>
      <c r="G173" s="3">
        <f t="shared" si="9"/>
        <v>-4875.1829999999991</v>
      </c>
      <c r="H173" s="22">
        <f t="shared" si="8"/>
        <v>-0.55197182054795313</v>
      </c>
    </row>
    <row r="174" spans="1:8" x14ac:dyDescent="0.3">
      <c r="A174" s="2" t="s">
        <v>920</v>
      </c>
      <c r="B174" s="3">
        <v>4427.3240000000005</v>
      </c>
      <c r="C174" s="3">
        <v>32173.156999999996</v>
      </c>
      <c r="D174" s="3">
        <v>-60935.637000000002</v>
      </c>
      <c r="E174" s="3"/>
      <c r="F174" s="3">
        <f t="shared" si="7"/>
        <v>-60935.637000000002</v>
      </c>
      <c r="G174" s="3">
        <f t="shared" si="9"/>
        <v>-24335.156000000003</v>
      </c>
      <c r="H174" s="22">
        <f t="shared" si="8"/>
        <v>-0.52798589764475579</v>
      </c>
    </row>
    <row r="175" spans="1:8" x14ac:dyDescent="0.3">
      <c r="A175" s="2" t="s">
        <v>921</v>
      </c>
      <c r="B175" s="3">
        <v>7764.4539999999997</v>
      </c>
      <c r="C175" s="3">
        <v>41009.258999999998</v>
      </c>
      <c r="D175" s="3">
        <v>-73688.032999999996</v>
      </c>
      <c r="E175" s="3">
        <v>-10711.517</v>
      </c>
      <c r="F175" s="3">
        <f t="shared" si="7"/>
        <v>-84399.549999999988</v>
      </c>
      <c r="G175" s="3">
        <f t="shared" si="9"/>
        <v>-35625.837</v>
      </c>
      <c r="H175" s="22">
        <f t="shared" si="8"/>
        <v>-0.48589428498137732</v>
      </c>
    </row>
    <row r="176" spans="1:8" x14ac:dyDescent="0.3">
      <c r="A176" s="2" t="s">
        <v>922</v>
      </c>
      <c r="B176" s="3">
        <v>8847.6959999999999</v>
      </c>
      <c r="C176" s="3">
        <v>27366.421999999999</v>
      </c>
      <c r="D176" s="3">
        <v>-50325.62</v>
      </c>
      <c r="E176" s="3">
        <v>-7559.5240000000003</v>
      </c>
      <c r="F176" s="3">
        <f t="shared" si="7"/>
        <v>-57885.144</v>
      </c>
      <c r="G176" s="3">
        <f t="shared" si="9"/>
        <v>-21671.026000000002</v>
      </c>
      <c r="H176" s="22">
        <f t="shared" si="8"/>
        <v>-0.47277107922543993</v>
      </c>
    </row>
    <row r="177" spans="1:8" x14ac:dyDescent="0.3">
      <c r="A177" s="2" t="s">
        <v>923</v>
      </c>
      <c r="B177" s="3">
        <v>8392.358000000002</v>
      </c>
      <c r="C177" s="3">
        <v>50267.971000000005</v>
      </c>
      <c r="D177" s="3">
        <v>-91598.403000000006</v>
      </c>
      <c r="E177" s="3">
        <v>-12965.052</v>
      </c>
      <c r="F177" s="3">
        <f t="shared" si="7"/>
        <v>-104563.455</v>
      </c>
      <c r="G177" s="3">
        <f t="shared" si="9"/>
        <v>-45903.126000000004</v>
      </c>
      <c r="H177" s="22">
        <f t="shared" si="8"/>
        <v>-0.48074129723429665</v>
      </c>
    </row>
    <row r="178" spans="1:8" x14ac:dyDescent="0.3">
      <c r="A178" s="2" t="s">
        <v>924</v>
      </c>
      <c r="B178" s="3">
        <v>5010.7839999999987</v>
      </c>
      <c r="C178" s="3">
        <v>20726.248000000003</v>
      </c>
      <c r="D178" s="3">
        <v>-36297.420999999988</v>
      </c>
      <c r="E178" s="3">
        <v>-4928.4160000000002</v>
      </c>
      <c r="F178" s="3">
        <f t="shared" si="7"/>
        <v>-41225.836999999985</v>
      </c>
      <c r="G178" s="3">
        <f t="shared" si="9"/>
        <v>-15488.804999999986</v>
      </c>
      <c r="H178" s="22">
        <f t="shared" si="8"/>
        <v>-0.50274899209444823</v>
      </c>
    </row>
    <row r="179" spans="1:8" x14ac:dyDescent="0.3">
      <c r="A179" s="2" t="s">
        <v>925</v>
      </c>
      <c r="B179" s="3">
        <v>4185.777</v>
      </c>
      <c r="C179" s="3">
        <v>16181.528</v>
      </c>
      <c r="D179" s="3">
        <v>-28974.634999999998</v>
      </c>
      <c r="E179" s="3">
        <v>-4035.69</v>
      </c>
      <c r="F179" s="3">
        <f t="shared" si="7"/>
        <v>-33010.324999999997</v>
      </c>
      <c r="G179" s="3">
        <f t="shared" si="9"/>
        <v>-12643.019999999999</v>
      </c>
      <c r="H179" s="22">
        <f t="shared" si="8"/>
        <v>-0.49019596141510274</v>
      </c>
    </row>
    <row r="180" spans="1:8" x14ac:dyDescent="0.3">
      <c r="A180" s="2" t="s">
        <v>926</v>
      </c>
      <c r="B180" s="3">
        <v>3993.56</v>
      </c>
      <c r="C180" s="3">
        <v>12278.176000000001</v>
      </c>
      <c r="D180" s="3">
        <v>-23957.23</v>
      </c>
      <c r="E180" s="3">
        <v>-3285.6309999999999</v>
      </c>
      <c r="F180" s="3">
        <f t="shared" si="7"/>
        <v>-27242.861000000001</v>
      </c>
      <c r="G180" s="3">
        <f t="shared" si="9"/>
        <v>-10971.124999999998</v>
      </c>
      <c r="H180" s="22">
        <f t="shared" si="8"/>
        <v>-0.45069333944037671</v>
      </c>
    </row>
    <row r="181" spans="1:8" x14ac:dyDescent="0.3">
      <c r="A181" s="2" t="s">
        <v>927</v>
      </c>
      <c r="B181" s="3">
        <v>4197.6630000000005</v>
      </c>
      <c r="C181" s="3">
        <v>29358.592000000004</v>
      </c>
      <c r="D181" s="3">
        <v>-36174.173999999999</v>
      </c>
      <c r="E181" s="3">
        <v>-5214.3990000000003</v>
      </c>
      <c r="F181" s="3">
        <f t="shared" si="7"/>
        <v>-41388.572999999997</v>
      </c>
      <c r="G181" s="3">
        <f t="shared" si="9"/>
        <v>-7832.3179999999948</v>
      </c>
      <c r="H181" s="22">
        <f t="shared" si="8"/>
        <v>-0.70934052256404212</v>
      </c>
    </row>
    <row r="182" spans="1:8" x14ac:dyDescent="0.3">
      <c r="A182" s="2" t="s">
        <v>928</v>
      </c>
      <c r="B182" s="3">
        <v>4828.1850000000004</v>
      </c>
      <c r="C182" s="3">
        <v>21095.880999999998</v>
      </c>
      <c r="D182" s="3">
        <v>-35281.038999999997</v>
      </c>
      <c r="E182" s="3">
        <v>-4220.2449999999999</v>
      </c>
      <c r="F182" s="3">
        <f t="shared" si="7"/>
        <v>-39501.284</v>
      </c>
      <c r="G182" s="3">
        <f t="shared" si="9"/>
        <v>-13577.217999999997</v>
      </c>
      <c r="H182" s="22">
        <f t="shared" si="8"/>
        <v>-0.53405557652252511</v>
      </c>
    </row>
    <row r="183" spans="1:8" x14ac:dyDescent="0.3">
      <c r="A183" s="2" t="s">
        <v>929</v>
      </c>
      <c r="B183" s="3">
        <v>4002.7149999999997</v>
      </c>
      <c r="C183" s="3">
        <v>27731.592000000001</v>
      </c>
      <c r="D183" s="3">
        <v>-48279.996000000006</v>
      </c>
      <c r="E183" s="3">
        <v>-5923.23</v>
      </c>
      <c r="F183" s="3">
        <f t="shared" si="7"/>
        <v>-54203.22600000001</v>
      </c>
      <c r="G183" s="3">
        <f t="shared" si="9"/>
        <v>-22468.919000000005</v>
      </c>
      <c r="H183" s="22">
        <f t="shared" si="8"/>
        <v>-0.51162253700545413</v>
      </c>
    </row>
    <row r="184" spans="1:8" x14ac:dyDescent="0.3">
      <c r="A184" s="2" t="s">
        <v>930</v>
      </c>
      <c r="B184" s="3">
        <v>5636.2979999999989</v>
      </c>
      <c r="C184" s="3">
        <v>28740.658000000003</v>
      </c>
      <c r="D184" s="3">
        <v>-57584.521000000001</v>
      </c>
      <c r="E184" s="3">
        <v>-8294.2829999999994</v>
      </c>
      <c r="F184" s="3">
        <f t="shared" si="7"/>
        <v>-65878.804000000004</v>
      </c>
      <c r="G184" s="3">
        <f t="shared" si="9"/>
        <v>-31501.847999999994</v>
      </c>
      <c r="H184" s="22">
        <f t="shared" si="8"/>
        <v>-0.43626563105183269</v>
      </c>
    </row>
    <row r="185" spans="1:8" x14ac:dyDescent="0.3">
      <c r="A185" s="2" t="s">
        <v>931</v>
      </c>
      <c r="B185" s="3">
        <v>8151.6309999999994</v>
      </c>
      <c r="C185" s="3">
        <v>72739.899000000005</v>
      </c>
      <c r="D185" s="3">
        <v>-117682.06500000002</v>
      </c>
      <c r="E185" s="3">
        <v>-16595.921999999999</v>
      </c>
      <c r="F185" s="3">
        <f t="shared" si="7"/>
        <v>-134277.98700000002</v>
      </c>
      <c r="G185" s="3">
        <f t="shared" si="9"/>
        <v>-53386.457000000017</v>
      </c>
      <c r="H185" s="22">
        <f t="shared" si="8"/>
        <v>-0.54171127096208249</v>
      </c>
    </row>
    <row r="186" spans="1:8" x14ac:dyDescent="0.3">
      <c r="A186" s="2" t="s">
        <v>932</v>
      </c>
      <c r="B186" s="3">
        <v>4356.9269999999988</v>
      </c>
      <c r="C186" s="3">
        <v>33923.412999999993</v>
      </c>
      <c r="D186" s="3">
        <v>-60266.38700000001</v>
      </c>
      <c r="E186" s="3">
        <v>-8763.1710000000003</v>
      </c>
      <c r="F186" s="3">
        <f t="shared" si="7"/>
        <v>-69029.558000000005</v>
      </c>
      <c r="G186" s="3">
        <f t="shared" si="9"/>
        <v>-30749.218000000023</v>
      </c>
      <c r="H186" s="22">
        <f t="shared" si="8"/>
        <v>-0.49143314810157107</v>
      </c>
    </row>
    <row r="187" spans="1:8" x14ac:dyDescent="0.3">
      <c r="A187" s="2" t="s">
        <v>933</v>
      </c>
      <c r="B187" s="3">
        <v>5406.6040000000003</v>
      </c>
      <c r="C187" s="3">
        <v>16191.048000000001</v>
      </c>
      <c r="D187" s="3">
        <v>-29215.327000000001</v>
      </c>
      <c r="E187" s="3">
        <v>-4210.0469999999996</v>
      </c>
      <c r="F187" s="3">
        <f t="shared" si="7"/>
        <v>-33425.374000000003</v>
      </c>
      <c r="G187" s="3">
        <f t="shared" si="9"/>
        <v>-11827.721999999998</v>
      </c>
      <c r="H187" s="22">
        <f t="shared" si="8"/>
        <v>-0.48439392181520541</v>
      </c>
    </row>
    <row r="188" spans="1:8" x14ac:dyDescent="0.3">
      <c r="A188" s="2" t="s">
        <v>934</v>
      </c>
      <c r="B188" s="3">
        <v>3469.4740000000006</v>
      </c>
      <c r="C188" s="3">
        <v>19610.861999999997</v>
      </c>
      <c r="D188" s="3">
        <v>-38488.953000000009</v>
      </c>
      <c r="E188" s="3">
        <v>-5271.4920000000002</v>
      </c>
      <c r="F188" s="3">
        <f t="shared" si="7"/>
        <v>-43760.445000000007</v>
      </c>
      <c r="G188" s="3">
        <f t="shared" si="9"/>
        <v>-20680.109000000011</v>
      </c>
      <c r="H188" s="22">
        <f t="shared" si="8"/>
        <v>-0.44814128375522677</v>
      </c>
    </row>
    <row r="189" spans="1:8" x14ac:dyDescent="0.3">
      <c r="A189" s="2" t="s">
        <v>935</v>
      </c>
      <c r="B189" s="3">
        <v>3303.5080000000007</v>
      </c>
      <c r="C189" s="3">
        <v>24404.089000000004</v>
      </c>
      <c r="D189" s="3">
        <v>-44309.565000000002</v>
      </c>
      <c r="E189" s="3">
        <v>-6130.0020000000004</v>
      </c>
      <c r="F189" s="3">
        <f t="shared" si="7"/>
        <v>-50439.567000000003</v>
      </c>
      <c r="G189" s="3">
        <f t="shared" si="9"/>
        <v>-22731.969999999998</v>
      </c>
      <c r="H189" s="22">
        <f t="shared" si="8"/>
        <v>-0.48382828107941533</v>
      </c>
    </row>
    <row r="190" spans="1:8" x14ac:dyDescent="0.3">
      <c r="A190" s="2" t="s">
        <v>936</v>
      </c>
      <c r="B190" s="3">
        <v>6157.9110000000001</v>
      </c>
      <c r="C190" s="3">
        <v>64615.783999999992</v>
      </c>
      <c r="D190" s="3">
        <v>-111096.96600000001</v>
      </c>
      <c r="E190" s="3">
        <v>-15982.200999999999</v>
      </c>
      <c r="F190" s="3">
        <f t="shared" si="7"/>
        <v>-127079.16700000002</v>
      </c>
      <c r="G190" s="3">
        <f t="shared" si="9"/>
        <v>-56305.472000000023</v>
      </c>
      <c r="H190" s="22">
        <f t="shared" si="8"/>
        <v>-0.50846874059223246</v>
      </c>
    </row>
    <row r="191" spans="1:8" x14ac:dyDescent="0.3">
      <c r="A191" s="2" t="s">
        <v>937</v>
      </c>
      <c r="B191" s="3">
        <v>17802.287</v>
      </c>
      <c r="C191" s="3">
        <v>32764.287999999997</v>
      </c>
      <c r="D191" s="3">
        <v>-57013.627000000008</v>
      </c>
      <c r="E191" s="3">
        <v>-8197.3559999999998</v>
      </c>
      <c r="F191" s="3">
        <f t="shared" si="7"/>
        <v>-65210.983000000007</v>
      </c>
      <c r="G191" s="3">
        <f t="shared" si="9"/>
        <v>-14644.40800000001</v>
      </c>
      <c r="H191" s="22">
        <f t="shared" si="8"/>
        <v>-0.50243511894307735</v>
      </c>
    </row>
    <row r="192" spans="1:8" x14ac:dyDescent="0.3">
      <c r="A192" s="2" t="s">
        <v>938</v>
      </c>
      <c r="B192" s="3">
        <v>11795.869000000001</v>
      </c>
      <c r="C192" s="3">
        <v>114400.234</v>
      </c>
      <c r="D192" s="3">
        <v>-193120.39300000001</v>
      </c>
      <c r="E192" s="3">
        <v>-29731.710999999999</v>
      </c>
      <c r="F192" s="3">
        <f t="shared" si="7"/>
        <v>-222852.10400000002</v>
      </c>
      <c r="G192" s="3">
        <f t="shared" si="9"/>
        <v>-96656.001000000004</v>
      </c>
      <c r="H192" s="22">
        <f t="shared" si="8"/>
        <v>-0.51334599021779925</v>
      </c>
    </row>
    <row r="193" spans="1:8" x14ac:dyDescent="0.3">
      <c r="A193" s="2" t="s">
        <v>939</v>
      </c>
      <c r="B193" s="3">
        <v>10887.706999999999</v>
      </c>
      <c r="C193" s="3">
        <v>55930.32</v>
      </c>
      <c r="D193" s="3">
        <v>-88675.494000000006</v>
      </c>
      <c r="E193" s="3">
        <v>-13163.502</v>
      </c>
      <c r="F193" s="3">
        <f t="shared" si="7"/>
        <v>-101838.99600000001</v>
      </c>
      <c r="G193" s="3">
        <f t="shared" si="9"/>
        <v>-35020.969000000005</v>
      </c>
      <c r="H193" s="22">
        <f t="shared" si="8"/>
        <v>-0.54920337195783031</v>
      </c>
    </row>
    <row r="194" spans="1:8" x14ac:dyDescent="0.3">
      <c r="A194" s="2" t="s">
        <v>940</v>
      </c>
      <c r="B194" s="3">
        <v>4602.47</v>
      </c>
      <c r="C194" s="3">
        <v>38160.711999999992</v>
      </c>
      <c r="D194" s="3">
        <v>-68119.449000000008</v>
      </c>
      <c r="E194" s="3">
        <v>-9936.098</v>
      </c>
      <c r="F194" s="3">
        <f t="shared" si="7"/>
        <v>-78055.547000000006</v>
      </c>
      <c r="G194" s="3">
        <f t="shared" si="9"/>
        <v>-35292.365000000013</v>
      </c>
      <c r="H194" s="22">
        <f t="shared" si="8"/>
        <v>-0.488891737572475</v>
      </c>
    </row>
    <row r="195" spans="1:8" x14ac:dyDescent="0.3">
      <c r="A195" s="2" t="s">
        <v>941</v>
      </c>
      <c r="B195" s="3">
        <v>11045.518999999998</v>
      </c>
      <c r="C195" s="3">
        <v>34319.898000000001</v>
      </c>
      <c r="D195" s="3">
        <v>-67732.89</v>
      </c>
      <c r="E195" s="3">
        <v>-9448.4410000000007</v>
      </c>
      <c r="F195" s="3">
        <f t="shared" ref="F195:F258" si="10">SUM(D195,E195)</f>
        <v>-77181.331000000006</v>
      </c>
      <c r="G195" s="3">
        <f t="shared" si="9"/>
        <v>-31815.913999999997</v>
      </c>
      <c r="H195" s="22">
        <f t="shared" ref="H195:H258" si="11">IFERROR(C195/F195,0%)</f>
        <v>-0.44466579618845908</v>
      </c>
    </row>
    <row r="196" spans="1:8" x14ac:dyDescent="0.3">
      <c r="A196" s="2" t="s">
        <v>942</v>
      </c>
      <c r="B196" s="3">
        <v>8807.6220000000012</v>
      </c>
      <c r="C196" s="3">
        <v>17461.64</v>
      </c>
      <c r="D196" s="3">
        <v>-30387.409</v>
      </c>
      <c r="E196" s="3">
        <v>-4550.4030000000002</v>
      </c>
      <c r="F196" s="3">
        <f t="shared" si="10"/>
        <v>-34937.811999999998</v>
      </c>
      <c r="G196" s="3">
        <f t="shared" si="9"/>
        <v>-8668.5499999999975</v>
      </c>
      <c r="H196" s="22">
        <f t="shared" si="11"/>
        <v>-0.49979203047975646</v>
      </c>
    </row>
    <row r="197" spans="1:8" x14ac:dyDescent="0.3">
      <c r="A197" s="2" t="s">
        <v>943</v>
      </c>
      <c r="B197" s="3">
        <v>5059.4060000000009</v>
      </c>
      <c r="C197" s="3">
        <v>14612.873000000001</v>
      </c>
      <c r="D197" s="3">
        <v>-26442.727999999999</v>
      </c>
      <c r="E197" s="3">
        <v>-3458.125</v>
      </c>
      <c r="F197" s="3">
        <f t="shared" si="10"/>
        <v>-29900.852999999999</v>
      </c>
      <c r="G197" s="3">
        <f t="shared" si="9"/>
        <v>-10228.573999999997</v>
      </c>
      <c r="H197" s="22">
        <f t="shared" si="11"/>
        <v>-0.48871090734434908</v>
      </c>
    </row>
    <row r="198" spans="1:8" x14ac:dyDescent="0.3">
      <c r="A198" s="2" t="s">
        <v>944</v>
      </c>
      <c r="B198" s="3">
        <v>866.73299999999995</v>
      </c>
      <c r="C198" s="3"/>
      <c r="D198" s="3"/>
      <c r="E198" s="3"/>
      <c r="F198" s="3">
        <f t="shared" si="10"/>
        <v>0</v>
      </c>
      <c r="G198" s="3">
        <f t="shared" si="9"/>
        <v>866.73299999999995</v>
      </c>
      <c r="H198" s="22">
        <f t="shared" si="11"/>
        <v>0</v>
      </c>
    </row>
    <row r="199" spans="1:8" x14ac:dyDescent="0.3">
      <c r="A199" s="2" t="s">
        <v>945</v>
      </c>
      <c r="B199" s="3">
        <v>8208.7149999999983</v>
      </c>
      <c r="C199" s="3">
        <v>46511.872999999992</v>
      </c>
      <c r="D199" s="3">
        <v>-82909.506999999983</v>
      </c>
      <c r="E199" s="3">
        <v>-12131.635</v>
      </c>
      <c r="F199" s="3">
        <f t="shared" si="10"/>
        <v>-95041.141999999978</v>
      </c>
      <c r="G199" s="3">
        <f t="shared" si="9"/>
        <v>-40320.553999999996</v>
      </c>
      <c r="H199" s="22">
        <f t="shared" si="11"/>
        <v>-0.48938672264691435</v>
      </c>
    </row>
    <row r="200" spans="1:8" x14ac:dyDescent="0.3">
      <c r="A200" s="2" t="s">
        <v>946</v>
      </c>
      <c r="B200" s="3">
        <v>7659.6030000000001</v>
      </c>
      <c r="C200" s="3">
        <v>23110.182000000001</v>
      </c>
      <c r="D200" s="3">
        <v>-36593.195999999996</v>
      </c>
      <c r="E200" s="3">
        <v>-5375.5910000000003</v>
      </c>
      <c r="F200" s="3">
        <f t="shared" si="10"/>
        <v>-41968.786999999997</v>
      </c>
      <c r="G200" s="3">
        <f t="shared" si="9"/>
        <v>-11199.001999999997</v>
      </c>
      <c r="H200" s="22">
        <f t="shared" si="11"/>
        <v>-0.55065165452601716</v>
      </c>
    </row>
    <row r="201" spans="1:8" x14ac:dyDescent="0.3">
      <c r="A201" s="2" t="s">
        <v>947</v>
      </c>
      <c r="B201" s="3">
        <v>4338.5410000000002</v>
      </c>
      <c r="C201" s="3">
        <v>14235.841</v>
      </c>
      <c r="D201" s="3">
        <v>-29120.683999999997</v>
      </c>
      <c r="E201" s="3">
        <v>-4220.0599999999995</v>
      </c>
      <c r="F201" s="3">
        <f t="shared" si="10"/>
        <v>-33340.743999999999</v>
      </c>
      <c r="G201" s="3">
        <f t="shared" si="9"/>
        <v>-14766.361999999996</v>
      </c>
      <c r="H201" s="22">
        <f t="shared" si="11"/>
        <v>-0.4269803037388728</v>
      </c>
    </row>
    <row r="202" spans="1:8" x14ac:dyDescent="0.3">
      <c r="A202" s="2" t="s">
        <v>948</v>
      </c>
      <c r="B202" s="3">
        <v>5153.6919999999991</v>
      </c>
      <c r="C202" s="3">
        <v>38294.762000000002</v>
      </c>
      <c r="D202" s="3">
        <v>-67683.644000000015</v>
      </c>
      <c r="E202" s="3">
        <v>-9885.2029999999995</v>
      </c>
      <c r="F202" s="3">
        <f t="shared" si="10"/>
        <v>-77568.847000000009</v>
      </c>
      <c r="G202" s="3">
        <f t="shared" si="9"/>
        <v>-34120.393000000018</v>
      </c>
      <c r="H202" s="22">
        <f t="shared" si="11"/>
        <v>-0.4936873948893426</v>
      </c>
    </row>
    <row r="203" spans="1:8" x14ac:dyDescent="0.3">
      <c r="A203" s="2" t="s">
        <v>949</v>
      </c>
      <c r="B203" s="3">
        <v>9576.0819999999985</v>
      </c>
      <c r="C203" s="3">
        <v>70236.793000000005</v>
      </c>
      <c r="D203" s="3">
        <v>-121396.36</v>
      </c>
      <c r="E203" s="3">
        <v>-18745.188999999998</v>
      </c>
      <c r="F203" s="3">
        <f t="shared" si="10"/>
        <v>-140141.549</v>
      </c>
      <c r="G203" s="3">
        <f t="shared" si="9"/>
        <v>-60328.673999999999</v>
      </c>
      <c r="H203" s="22">
        <f t="shared" si="11"/>
        <v>-0.50118464867260748</v>
      </c>
    </row>
    <row r="204" spans="1:8" x14ac:dyDescent="0.3">
      <c r="A204" s="2" t="s">
        <v>950</v>
      </c>
      <c r="B204" s="3">
        <v>7578.9160000000011</v>
      </c>
      <c r="C204" s="3">
        <v>35403.601999999992</v>
      </c>
      <c r="D204" s="3">
        <v>-62680.393000000011</v>
      </c>
      <c r="E204" s="3">
        <v>-8784.8870000000006</v>
      </c>
      <c r="F204" s="3">
        <f t="shared" si="10"/>
        <v>-71465.280000000013</v>
      </c>
      <c r="G204" s="3">
        <f t="shared" si="9"/>
        <v>-28482.762000000017</v>
      </c>
      <c r="H204" s="22">
        <f t="shared" si="11"/>
        <v>-0.49539583417290167</v>
      </c>
    </row>
    <row r="205" spans="1:8" x14ac:dyDescent="0.3">
      <c r="A205" s="2" t="s">
        <v>951</v>
      </c>
      <c r="B205" s="3">
        <v>7496.2069999999985</v>
      </c>
      <c r="C205" s="3">
        <v>31458.660000000003</v>
      </c>
      <c r="D205" s="3">
        <v>-58517.778000000006</v>
      </c>
      <c r="E205" s="3">
        <v>-8191.2470000000003</v>
      </c>
      <c r="F205" s="3">
        <f t="shared" si="10"/>
        <v>-66709.025000000009</v>
      </c>
      <c r="G205" s="3">
        <f t="shared" si="9"/>
        <v>-27754.158000000007</v>
      </c>
      <c r="H205" s="22">
        <f t="shared" si="11"/>
        <v>-0.47158026968614813</v>
      </c>
    </row>
    <row r="206" spans="1:8" x14ac:dyDescent="0.3">
      <c r="A206" s="2" t="s">
        <v>1040</v>
      </c>
      <c r="B206" s="3">
        <v>168.98</v>
      </c>
      <c r="C206" s="3"/>
      <c r="D206" s="3"/>
      <c r="E206" s="3"/>
      <c r="F206" s="3">
        <f t="shared" si="10"/>
        <v>0</v>
      </c>
      <c r="G206" s="3">
        <f t="shared" si="9"/>
        <v>168.98</v>
      </c>
      <c r="H206" s="22">
        <f t="shared" si="11"/>
        <v>0</v>
      </c>
    </row>
    <row r="207" spans="1:8" x14ac:dyDescent="0.3">
      <c r="A207" s="2" t="s">
        <v>952</v>
      </c>
      <c r="B207" s="3">
        <v>4040.7029999999991</v>
      </c>
      <c r="C207" s="3">
        <v>23254.953000000001</v>
      </c>
      <c r="D207" s="3">
        <v>-42806.013999999996</v>
      </c>
      <c r="E207" s="3">
        <v>-6137.3070000000007</v>
      </c>
      <c r="F207" s="3">
        <f t="shared" si="10"/>
        <v>-48943.320999999996</v>
      </c>
      <c r="G207" s="3">
        <f t="shared" ref="G207:G284" si="12">B207+C207+D207+E207</f>
        <v>-21647.664999999997</v>
      </c>
      <c r="H207" s="22">
        <f t="shared" si="11"/>
        <v>-0.47514047933118397</v>
      </c>
    </row>
    <row r="208" spans="1:8" x14ac:dyDescent="0.3">
      <c r="A208" s="2" t="s">
        <v>953</v>
      </c>
      <c r="B208" s="3">
        <v>5598.6689999999999</v>
      </c>
      <c r="C208" s="3">
        <v>36214.627</v>
      </c>
      <c r="D208" s="3">
        <v>-68211.579000000012</v>
      </c>
      <c r="E208" s="3">
        <v>-9836.3950000000004</v>
      </c>
      <c r="F208" s="3">
        <f t="shared" si="10"/>
        <v>-78047.974000000017</v>
      </c>
      <c r="G208" s="3">
        <f t="shared" si="12"/>
        <v>-36234.678000000014</v>
      </c>
      <c r="H208" s="22">
        <f t="shared" si="11"/>
        <v>-0.4640047030560972</v>
      </c>
    </row>
    <row r="209" spans="1:9" x14ac:dyDescent="0.3">
      <c r="A209" s="2" t="s">
        <v>954</v>
      </c>
      <c r="B209" s="3">
        <v>6700.5420000000022</v>
      </c>
      <c r="C209" s="3">
        <v>23043.811000000002</v>
      </c>
      <c r="D209" s="3">
        <v>-47500.016999999993</v>
      </c>
      <c r="E209" s="3">
        <v>-6735.8310000000001</v>
      </c>
      <c r="F209" s="3">
        <f t="shared" si="10"/>
        <v>-54235.847999999991</v>
      </c>
      <c r="G209" s="3">
        <f t="shared" si="12"/>
        <v>-24491.494999999988</v>
      </c>
      <c r="H209" s="22">
        <f t="shared" si="11"/>
        <v>-0.42488154697977626</v>
      </c>
    </row>
    <row r="210" spans="1:9" x14ac:dyDescent="0.3">
      <c r="A210" s="2" t="s">
        <v>955</v>
      </c>
      <c r="B210" s="3">
        <v>13404.269999999997</v>
      </c>
      <c r="C210" s="3">
        <v>20089.487999999998</v>
      </c>
      <c r="D210" s="3">
        <v>-32516.173000000003</v>
      </c>
      <c r="E210" s="3">
        <v>-4628.9139999999998</v>
      </c>
      <c r="F210" s="3">
        <f t="shared" si="10"/>
        <v>-37145.087</v>
      </c>
      <c r="G210" s="3">
        <f t="shared" si="12"/>
        <v>-3651.3290000000079</v>
      </c>
      <c r="H210" s="22">
        <f t="shared" si="11"/>
        <v>-0.54083836174619804</v>
      </c>
    </row>
    <row r="211" spans="1:9" x14ac:dyDescent="0.3">
      <c r="A211" s="2" t="s">
        <v>956</v>
      </c>
      <c r="B211" s="3">
        <v>12176.026999999998</v>
      </c>
      <c r="C211" s="3">
        <v>157609.179</v>
      </c>
      <c r="D211" s="3">
        <v>-256657.58899999998</v>
      </c>
      <c r="E211" s="3">
        <v>-35774.894999999997</v>
      </c>
      <c r="F211" s="3">
        <f t="shared" si="10"/>
        <v>-292432.484</v>
      </c>
      <c r="G211" s="3">
        <f t="shared" si="12"/>
        <v>-122647.27799999996</v>
      </c>
      <c r="H211" s="22">
        <f t="shared" si="11"/>
        <v>-0.53895920468260972</v>
      </c>
    </row>
    <row r="212" spans="1:9" x14ac:dyDescent="0.3">
      <c r="A212" s="2" t="s">
        <v>957</v>
      </c>
      <c r="B212" s="3">
        <v>4864.4279999999999</v>
      </c>
      <c r="C212" s="3">
        <v>19767.578000000005</v>
      </c>
      <c r="D212" s="3">
        <v>-38069.936000000002</v>
      </c>
      <c r="E212" s="3">
        <v>-5497.8879999999999</v>
      </c>
      <c r="F212" s="3">
        <f t="shared" si="10"/>
        <v>-43567.824000000001</v>
      </c>
      <c r="G212" s="3">
        <f t="shared" si="12"/>
        <v>-18935.817999999996</v>
      </c>
      <c r="H212" s="22">
        <f t="shared" si="11"/>
        <v>-0.45371965329276037</v>
      </c>
    </row>
    <row r="213" spans="1:9" x14ac:dyDescent="0.3">
      <c r="A213" s="2" t="s">
        <v>958</v>
      </c>
      <c r="B213" s="3">
        <v>7232.5460000000012</v>
      </c>
      <c r="C213" s="3">
        <v>42169.816000000013</v>
      </c>
      <c r="D213" s="3">
        <v>-71729.081000000006</v>
      </c>
      <c r="E213" s="3">
        <v>-9349.2049999999999</v>
      </c>
      <c r="F213" s="3">
        <f t="shared" si="10"/>
        <v>-81078.286000000007</v>
      </c>
      <c r="G213" s="3">
        <f t="shared" si="12"/>
        <v>-31675.923999999992</v>
      </c>
      <c r="H213" s="22">
        <f t="shared" si="11"/>
        <v>-0.5201123269922111</v>
      </c>
    </row>
    <row r="214" spans="1:9" x14ac:dyDescent="0.3">
      <c r="A214" s="2" t="s">
        <v>959</v>
      </c>
      <c r="B214" s="3">
        <v>7328.2819999999992</v>
      </c>
      <c r="C214" s="3">
        <v>21218.465000000004</v>
      </c>
      <c r="D214" s="3">
        <v>-44407.351999999999</v>
      </c>
      <c r="E214" s="3">
        <v>-6215.5559999999996</v>
      </c>
      <c r="F214" s="3">
        <f t="shared" si="10"/>
        <v>-50622.907999999996</v>
      </c>
      <c r="G214" s="3">
        <f t="shared" si="12"/>
        <v>-22076.160999999996</v>
      </c>
      <c r="H214" s="22">
        <f t="shared" si="11"/>
        <v>-0.41914749346284108</v>
      </c>
    </row>
    <row r="215" spans="1:9" x14ac:dyDescent="0.3">
      <c r="A215" s="2" t="s">
        <v>960</v>
      </c>
      <c r="B215" s="3">
        <v>4774.7290000000021</v>
      </c>
      <c r="C215" s="3">
        <v>20254.492999999999</v>
      </c>
      <c r="D215" s="3">
        <v>-37155.092999999993</v>
      </c>
      <c r="E215" s="3">
        <v>-5238.6869999999999</v>
      </c>
      <c r="F215" s="3">
        <f t="shared" si="10"/>
        <v>-42393.779999999992</v>
      </c>
      <c r="G215" s="3">
        <f t="shared" si="12"/>
        <v>-17364.55799999999</v>
      </c>
      <c r="H215" s="22">
        <f t="shared" si="11"/>
        <v>-0.47777039461921073</v>
      </c>
    </row>
    <row r="216" spans="1:9" x14ac:dyDescent="0.3">
      <c r="A216" s="2" t="s">
        <v>961</v>
      </c>
      <c r="B216" s="3">
        <v>9088.6939999999995</v>
      </c>
      <c r="C216" s="3">
        <v>49794.681999999993</v>
      </c>
      <c r="D216" s="3">
        <v>-85436.00499999999</v>
      </c>
      <c r="E216" s="3">
        <v>-12312.098</v>
      </c>
      <c r="F216" s="3">
        <f t="shared" si="10"/>
        <v>-97748.102999999988</v>
      </c>
      <c r="G216" s="3">
        <f t="shared" si="12"/>
        <v>-38864.726999999999</v>
      </c>
      <c r="H216" s="22">
        <f t="shared" si="11"/>
        <v>-0.50941839761330199</v>
      </c>
    </row>
    <row r="217" spans="1:9" x14ac:dyDescent="0.3">
      <c r="A217" s="2" t="s">
        <v>1041</v>
      </c>
      <c r="B217" s="3"/>
      <c r="C217" s="3">
        <v>135.72</v>
      </c>
      <c r="D217" s="3">
        <v>-16.378999999999998</v>
      </c>
      <c r="E217" s="3"/>
      <c r="F217" s="3">
        <f t="shared" si="10"/>
        <v>-16.378999999999998</v>
      </c>
      <c r="G217" s="3">
        <f t="shared" si="12"/>
        <v>119.34100000000001</v>
      </c>
      <c r="H217" s="22">
        <f t="shared" si="11"/>
        <v>-8.2862201599609264</v>
      </c>
      <c r="I217" s="3"/>
    </row>
    <row r="218" spans="1:9" x14ac:dyDescent="0.3">
      <c r="A218" s="2" t="s">
        <v>962</v>
      </c>
      <c r="B218" s="3">
        <v>8470.1710000000021</v>
      </c>
      <c r="C218" s="3">
        <v>43425.085000000006</v>
      </c>
      <c r="D218" s="3">
        <v>-76140.964999999982</v>
      </c>
      <c r="E218" s="3">
        <v>-10947.079</v>
      </c>
      <c r="F218" s="3">
        <f t="shared" si="10"/>
        <v>-87088.04399999998</v>
      </c>
      <c r="G218" s="3">
        <f t="shared" si="12"/>
        <v>-35192.787999999971</v>
      </c>
      <c r="H218" s="22">
        <f t="shared" si="11"/>
        <v>-0.49863429014435112</v>
      </c>
    </row>
    <row r="219" spans="1:9" x14ac:dyDescent="0.3">
      <c r="A219" s="2" t="s">
        <v>963</v>
      </c>
      <c r="B219" s="3">
        <v>7048.558</v>
      </c>
      <c r="C219" s="3">
        <v>69260.038</v>
      </c>
      <c r="D219" s="3">
        <v>-118283.727</v>
      </c>
      <c r="E219" s="3">
        <v>-16771.634000000002</v>
      </c>
      <c r="F219" s="3">
        <f t="shared" si="10"/>
        <v>-135055.361</v>
      </c>
      <c r="G219" s="3">
        <f t="shared" si="12"/>
        <v>-58746.764999999999</v>
      </c>
      <c r="H219" s="22">
        <f t="shared" si="11"/>
        <v>-0.51282701765537464</v>
      </c>
    </row>
    <row r="220" spans="1:9" x14ac:dyDescent="0.3">
      <c r="A220" s="2" t="s">
        <v>964</v>
      </c>
      <c r="B220" s="3">
        <v>5247.5490000000009</v>
      </c>
      <c r="C220" s="3">
        <v>21909.735000000001</v>
      </c>
      <c r="D220" s="3">
        <v>-41521.279999999999</v>
      </c>
      <c r="E220" s="3">
        <v>-5680.4690000000001</v>
      </c>
      <c r="F220" s="3">
        <f t="shared" si="10"/>
        <v>-47201.748999999996</v>
      </c>
      <c r="G220" s="3">
        <f t="shared" si="12"/>
        <v>-20044.465</v>
      </c>
      <c r="H220" s="22">
        <f t="shared" si="11"/>
        <v>-0.46417210091092181</v>
      </c>
    </row>
    <row r="221" spans="1:9" x14ac:dyDescent="0.3">
      <c r="A221" s="2" t="s">
        <v>965</v>
      </c>
      <c r="B221" s="3">
        <v>5389.2180000000008</v>
      </c>
      <c r="C221" s="3">
        <v>41189.403999999995</v>
      </c>
      <c r="D221" s="3">
        <v>-69311.22</v>
      </c>
      <c r="E221" s="3">
        <v>-9559.7849999999999</v>
      </c>
      <c r="F221" s="3">
        <f t="shared" si="10"/>
        <v>-78871.005000000005</v>
      </c>
      <c r="G221" s="3">
        <f t="shared" si="12"/>
        <v>-32292.383000000005</v>
      </c>
      <c r="H221" s="22">
        <f t="shared" si="11"/>
        <v>-0.52223759542559389</v>
      </c>
    </row>
    <row r="222" spans="1:9" x14ac:dyDescent="0.3">
      <c r="A222" s="2" t="s">
        <v>1074</v>
      </c>
      <c r="B222" s="3">
        <v>18.38</v>
      </c>
      <c r="C222" s="3"/>
      <c r="D222" s="3"/>
      <c r="E222" s="3"/>
      <c r="F222" s="3">
        <f t="shared" si="10"/>
        <v>0</v>
      </c>
      <c r="G222" s="3">
        <f t="shared" si="12"/>
        <v>18.38</v>
      </c>
      <c r="H222" s="22">
        <f t="shared" si="11"/>
        <v>0</v>
      </c>
    </row>
    <row r="223" spans="1:9" x14ac:dyDescent="0.3">
      <c r="A223" s="2" t="s">
        <v>1075</v>
      </c>
      <c r="B223" s="3">
        <v>4064.59</v>
      </c>
      <c r="C223" s="3"/>
      <c r="D223" s="3"/>
      <c r="E223" s="3"/>
      <c r="F223" s="3">
        <f t="shared" si="10"/>
        <v>0</v>
      </c>
      <c r="G223" s="3">
        <f t="shared" si="12"/>
        <v>4064.59</v>
      </c>
      <c r="H223" s="22">
        <f t="shared" si="11"/>
        <v>0</v>
      </c>
    </row>
    <row r="224" spans="1:9" x14ac:dyDescent="0.3">
      <c r="A224" s="2" t="s">
        <v>1076</v>
      </c>
      <c r="B224" s="3">
        <v>18.5</v>
      </c>
      <c r="C224" s="3"/>
      <c r="D224" s="3"/>
      <c r="E224" s="3"/>
      <c r="F224" s="3">
        <f t="shared" si="10"/>
        <v>0</v>
      </c>
      <c r="G224" s="3">
        <f t="shared" si="12"/>
        <v>18.5</v>
      </c>
      <c r="H224" s="22">
        <f t="shared" si="11"/>
        <v>0</v>
      </c>
    </row>
    <row r="225" spans="1:9" x14ac:dyDescent="0.3">
      <c r="A225" s="2" t="s">
        <v>1077</v>
      </c>
      <c r="B225" s="3">
        <v>18.5</v>
      </c>
      <c r="C225" s="3"/>
      <c r="D225" s="3"/>
      <c r="E225" s="3"/>
      <c r="F225" s="3">
        <f t="shared" si="10"/>
        <v>0</v>
      </c>
      <c r="G225" s="3">
        <f t="shared" si="12"/>
        <v>18.5</v>
      </c>
      <c r="H225" s="22">
        <f t="shared" si="11"/>
        <v>0</v>
      </c>
    </row>
    <row r="226" spans="1:9" x14ac:dyDescent="0.3">
      <c r="A226" s="2" t="s">
        <v>1078</v>
      </c>
      <c r="B226" s="3">
        <v>18.54</v>
      </c>
      <c r="C226" s="3"/>
      <c r="D226" s="3"/>
      <c r="E226" s="3"/>
      <c r="F226" s="3">
        <f t="shared" si="10"/>
        <v>0</v>
      </c>
      <c r="G226" s="3">
        <f t="shared" si="12"/>
        <v>18.54</v>
      </c>
      <c r="H226" s="22">
        <f t="shared" si="11"/>
        <v>0</v>
      </c>
    </row>
    <row r="227" spans="1:9" x14ac:dyDescent="0.3">
      <c r="A227" s="2" t="s">
        <v>1079</v>
      </c>
      <c r="B227" s="3">
        <v>18.379999999999995</v>
      </c>
      <c r="C227" s="3"/>
      <c r="D227" s="3"/>
      <c r="E227" s="3"/>
      <c r="F227" s="3">
        <f t="shared" si="10"/>
        <v>0</v>
      </c>
      <c r="G227" s="3">
        <f t="shared" si="12"/>
        <v>18.379999999999995</v>
      </c>
      <c r="H227" s="22">
        <f t="shared" si="11"/>
        <v>0</v>
      </c>
    </row>
    <row r="228" spans="1:9" x14ac:dyDescent="0.3">
      <c r="A228" s="2" t="s">
        <v>1080</v>
      </c>
      <c r="B228" s="3">
        <v>11569.26</v>
      </c>
      <c r="C228" s="3"/>
      <c r="D228" s="3"/>
      <c r="E228" s="3"/>
      <c r="F228" s="3">
        <f t="shared" si="10"/>
        <v>0</v>
      </c>
      <c r="G228" s="3">
        <f t="shared" si="12"/>
        <v>11569.26</v>
      </c>
      <c r="H228" s="22">
        <f t="shared" si="11"/>
        <v>0</v>
      </c>
    </row>
    <row r="229" spans="1:9" x14ac:dyDescent="0.3">
      <c r="A229" s="2" t="s">
        <v>1081</v>
      </c>
      <c r="B229" s="3">
        <v>1073.2339999999999</v>
      </c>
      <c r="C229" s="3"/>
      <c r="D229" s="3"/>
      <c r="E229" s="3"/>
      <c r="F229" s="3">
        <f t="shared" si="10"/>
        <v>0</v>
      </c>
      <c r="G229" s="3">
        <f t="shared" si="12"/>
        <v>1073.2339999999999</v>
      </c>
      <c r="H229" s="22">
        <f t="shared" si="11"/>
        <v>0</v>
      </c>
    </row>
    <row r="230" spans="1:9" x14ac:dyDescent="0.3">
      <c r="A230" s="2" t="s">
        <v>1082</v>
      </c>
      <c r="B230" s="3">
        <v>6329.762999999999</v>
      </c>
      <c r="C230" s="3"/>
      <c r="D230" s="3"/>
      <c r="E230" s="3">
        <v>-20</v>
      </c>
      <c r="F230" s="3">
        <f t="shared" si="10"/>
        <v>-20</v>
      </c>
      <c r="G230" s="3">
        <f t="shared" si="12"/>
        <v>6309.762999999999</v>
      </c>
      <c r="H230" s="22">
        <f t="shared" si="11"/>
        <v>0</v>
      </c>
    </row>
    <row r="231" spans="1:9" x14ac:dyDescent="0.3">
      <c r="A231" s="2" t="s">
        <v>1083</v>
      </c>
      <c r="B231" s="3">
        <v>18.38</v>
      </c>
      <c r="C231" s="3"/>
      <c r="D231" s="3"/>
      <c r="E231" s="3"/>
      <c r="F231" s="3">
        <f t="shared" si="10"/>
        <v>0</v>
      </c>
      <c r="G231" s="3">
        <f t="shared" si="12"/>
        <v>18.38</v>
      </c>
      <c r="H231" s="22">
        <f t="shared" si="11"/>
        <v>0</v>
      </c>
    </row>
    <row r="232" spans="1:9" x14ac:dyDescent="0.3">
      <c r="A232" s="2" t="s">
        <v>1084</v>
      </c>
      <c r="B232" s="3">
        <v>18.079999999999998</v>
      </c>
      <c r="C232" s="3"/>
      <c r="D232" s="3"/>
      <c r="E232" s="3"/>
      <c r="F232" s="3">
        <f t="shared" si="10"/>
        <v>0</v>
      </c>
      <c r="G232" s="3">
        <f t="shared" si="12"/>
        <v>18.079999999999998</v>
      </c>
      <c r="H232" s="22">
        <f t="shared" si="11"/>
        <v>0</v>
      </c>
    </row>
    <row r="233" spans="1:9" x14ac:dyDescent="0.3">
      <c r="A233" s="2" t="s">
        <v>1085</v>
      </c>
      <c r="B233" s="3">
        <v>18.5</v>
      </c>
      <c r="C233" s="3"/>
      <c r="D233" s="3"/>
      <c r="E233" s="3"/>
      <c r="F233" s="3">
        <f t="shared" si="10"/>
        <v>0</v>
      </c>
      <c r="G233" s="3">
        <f t="shared" si="12"/>
        <v>18.5</v>
      </c>
      <c r="H233" s="22">
        <f t="shared" si="11"/>
        <v>0</v>
      </c>
    </row>
    <row r="234" spans="1:9" x14ac:dyDescent="0.3">
      <c r="A234" s="2" t="s">
        <v>1043</v>
      </c>
      <c r="B234" s="3">
        <f>158526.55+4.1</f>
        <v>158530.65</v>
      </c>
      <c r="C234" s="3">
        <v>160564.76399999994</v>
      </c>
      <c r="D234" s="3">
        <v>-156632.85999999999</v>
      </c>
      <c r="E234" s="3">
        <f>-3896.237+0.04</f>
        <v>-3896.1970000000001</v>
      </c>
      <c r="F234" s="3">
        <f t="shared" si="10"/>
        <v>-160529.05699999997</v>
      </c>
      <c r="G234" s="3">
        <f t="shared" si="12"/>
        <v>158566.35699999996</v>
      </c>
      <c r="H234" s="22">
        <f t="shared" si="11"/>
        <v>-1.0002224332508225</v>
      </c>
    </row>
    <row r="235" spans="1:9" x14ac:dyDescent="0.3">
      <c r="A235" s="2" t="s">
        <v>1044</v>
      </c>
      <c r="B235" s="3">
        <v>2335.5700000000002</v>
      </c>
      <c r="C235" s="3"/>
      <c r="D235" s="3"/>
      <c r="E235" s="3"/>
      <c r="F235" s="3">
        <f t="shared" si="10"/>
        <v>0</v>
      </c>
      <c r="G235" s="3">
        <f t="shared" si="12"/>
        <v>2335.5700000000002</v>
      </c>
      <c r="H235" s="22">
        <f t="shared" si="11"/>
        <v>0</v>
      </c>
    </row>
    <row r="236" spans="1:9" x14ac:dyDescent="0.3">
      <c r="A236" s="2" t="s">
        <v>1045</v>
      </c>
      <c r="B236" s="3">
        <v>50617.478999999992</v>
      </c>
      <c r="C236" s="3"/>
      <c r="D236" s="3"/>
      <c r="E236" s="3"/>
      <c r="F236" s="3">
        <f t="shared" si="10"/>
        <v>0</v>
      </c>
      <c r="G236" s="3">
        <f t="shared" si="12"/>
        <v>50617.478999999992</v>
      </c>
      <c r="H236" s="22">
        <f t="shared" si="11"/>
        <v>0</v>
      </c>
    </row>
    <row r="237" spans="1:9" x14ac:dyDescent="0.3">
      <c r="A237" s="2" t="s">
        <v>1046</v>
      </c>
      <c r="B237" s="3">
        <v>5978.853000000001</v>
      </c>
      <c r="C237" s="3"/>
      <c r="D237" s="3"/>
      <c r="E237" s="3"/>
      <c r="F237" s="3">
        <f t="shared" si="10"/>
        <v>0</v>
      </c>
      <c r="G237" s="3">
        <f t="shared" si="12"/>
        <v>5978.853000000001</v>
      </c>
      <c r="H237" s="22">
        <f t="shared" si="11"/>
        <v>0</v>
      </c>
    </row>
    <row r="238" spans="1:9" x14ac:dyDescent="0.3">
      <c r="A238" s="2" t="s">
        <v>1047</v>
      </c>
      <c r="B238" s="3">
        <v>27670.112000000001</v>
      </c>
      <c r="C238" s="3"/>
      <c r="D238" s="3"/>
      <c r="E238" s="3"/>
      <c r="F238" s="3">
        <f t="shared" si="10"/>
        <v>0</v>
      </c>
      <c r="G238" s="3">
        <f t="shared" si="12"/>
        <v>27670.112000000001</v>
      </c>
      <c r="H238" s="22">
        <f t="shared" si="11"/>
        <v>0</v>
      </c>
    </row>
    <row r="239" spans="1:9" x14ac:dyDescent="0.3">
      <c r="A239" s="2" t="s">
        <v>1048</v>
      </c>
      <c r="B239" s="3">
        <v>2327050.8279999997</v>
      </c>
      <c r="C239" s="3"/>
      <c r="D239" s="3"/>
      <c r="E239" s="3">
        <v>-6614.52</v>
      </c>
      <c r="F239" s="3">
        <f t="shared" si="10"/>
        <v>-6614.52</v>
      </c>
      <c r="G239" s="3">
        <f t="shared" si="12"/>
        <v>2320436.3079999997</v>
      </c>
      <c r="H239" s="22">
        <f t="shared" si="11"/>
        <v>0</v>
      </c>
    </row>
    <row r="240" spans="1:9" x14ac:dyDescent="0.3">
      <c r="A240" s="2" t="s">
        <v>1086</v>
      </c>
      <c r="B240" s="3">
        <v>18.38</v>
      </c>
      <c r="C240" s="3"/>
      <c r="D240" s="3"/>
      <c r="E240" s="3"/>
      <c r="F240" s="3">
        <f t="shared" si="10"/>
        <v>0</v>
      </c>
      <c r="G240" s="3">
        <f t="shared" si="12"/>
        <v>18.38</v>
      </c>
      <c r="H240" s="22">
        <f t="shared" si="11"/>
        <v>0</v>
      </c>
      <c r="I240" s="3"/>
    </row>
    <row r="241" spans="1:8" x14ac:dyDescent="0.3">
      <c r="A241" s="2" t="s">
        <v>1049</v>
      </c>
      <c r="B241" s="3">
        <v>3827.5129999999995</v>
      </c>
      <c r="C241" s="3"/>
      <c r="D241" s="3"/>
      <c r="E241" s="3"/>
      <c r="F241" s="3">
        <f t="shared" si="10"/>
        <v>0</v>
      </c>
      <c r="G241" s="3">
        <f t="shared" si="12"/>
        <v>3827.5129999999995</v>
      </c>
      <c r="H241" s="22">
        <f t="shared" si="11"/>
        <v>0</v>
      </c>
    </row>
    <row r="242" spans="1:8" x14ac:dyDescent="0.3">
      <c r="A242" s="2" t="s">
        <v>1087</v>
      </c>
      <c r="B242" s="3">
        <v>196806.24</v>
      </c>
      <c r="C242" s="3"/>
      <c r="D242" s="3"/>
      <c r="E242" s="3"/>
      <c r="F242" s="3">
        <f t="shared" si="10"/>
        <v>0</v>
      </c>
      <c r="G242" s="3">
        <f t="shared" si="12"/>
        <v>196806.24</v>
      </c>
      <c r="H242" s="22">
        <f t="shared" si="11"/>
        <v>0</v>
      </c>
    </row>
    <row r="243" spans="1:8" x14ac:dyDescent="0.3">
      <c r="A243" s="2" t="s">
        <v>1088</v>
      </c>
      <c r="B243" s="3">
        <v>4133.9110000000001</v>
      </c>
      <c r="C243" s="3"/>
      <c r="D243" s="3"/>
      <c r="E243" s="3"/>
      <c r="F243" s="3">
        <f t="shared" si="10"/>
        <v>0</v>
      </c>
      <c r="G243" s="3">
        <f t="shared" si="12"/>
        <v>4133.9110000000001</v>
      </c>
      <c r="H243" s="22">
        <f t="shared" si="11"/>
        <v>0</v>
      </c>
    </row>
    <row r="244" spans="1:8" x14ac:dyDescent="0.3">
      <c r="A244" s="2" t="s">
        <v>1050</v>
      </c>
      <c r="B244" s="3">
        <v>3353.973</v>
      </c>
      <c r="C244" s="3"/>
      <c r="D244" s="3"/>
      <c r="E244" s="3"/>
      <c r="F244" s="3">
        <f t="shared" si="10"/>
        <v>0</v>
      </c>
      <c r="G244" s="3">
        <f t="shared" si="12"/>
        <v>3353.973</v>
      </c>
      <c r="H244" s="22">
        <f t="shared" si="11"/>
        <v>0</v>
      </c>
    </row>
    <row r="245" spans="1:8" x14ac:dyDescent="0.3">
      <c r="A245" s="2" t="s">
        <v>1051</v>
      </c>
      <c r="B245" s="3">
        <v>33185.258999999998</v>
      </c>
      <c r="C245" s="3"/>
      <c r="D245" s="3"/>
      <c r="E245" s="3"/>
      <c r="F245" s="3">
        <f t="shared" si="10"/>
        <v>0</v>
      </c>
      <c r="G245" s="3">
        <f t="shared" si="12"/>
        <v>33185.258999999998</v>
      </c>
      <c r="H245" s="22">
        <f t="shared" si="11"/>
        <v>0</v>
      </c>
    </row>
    <row r="246" spans="1:8" x14ac:dyDescent="0.3">
      <c r="A246" s="2" t="s">
        <v>1052</v>
      </c>
      <c r="B246" s="3">
        <v>2119.7799999999997</v>
      </c>
      <c r="C246" s="3"/>
      <c r="D246" s="3"/>
      <c r="E246" s="3"/>
      <c r="F246" s="3">
        <f t="shared" si="10"/>
        <v>0</v>
      </c>
      <c r="G246" s="3">
        <f t="shared" si="12"/>
        <v>2119.7799999999997</v>
      </c>
      <c r="H246" s="22">
        <f t="shared" si="11"/>
        <v>0</v>
      </c>
    </row>
    <row r="247" spans="1:8" x14ac:dyDescent="0.3">
      <c r="A247" s="2" t="s">
        <v>1053</v>
      </c>
      <c r="B247" s="3">
        <v>70260.320000000007</v>
      </c>
      <c r="C247" s="3"/>
      <c r="D247" s="3"/>
      <c r="E247" s="3">
        <v>-0.94199999999999995</v>
      </c>
      <c r="F247" s="3">
        <f t="shared" si="10"/>
        <v>-0.94199999999999995</v>
      </c>
      <c r="G247" s="3">
        <f t="shared" si="12"/>
        <v>70259.378000000012</v>
      </c>
      <c r="H247" s="22">
        <f t="shared" si="11"/>
        <v>0</v>
      </c>
    </row>
    <row r="248" spans="1:8" x14ac:dyDescent="0.3">
      <c r="A248" s="2" t="s">
        <v>1089</v>
      </c>
      <c r="B248" s="3">
        <v>18.38</v>
      </c>
      <c r="C248" s="3"/>
      <c r="D248" s="3"/>
      <c r="E248" s="3"/>
      <c r="F248" s="3">
        <f t="shared" si="10"/>
        <v>0</v>
      </c>
      <c r="G248" s="3">
        <f t="shared" si="12"/>
        <v>18.38</v>
      </c>
      <c r="H248" s="22">
        <f t="shared" si="11"/>
        <v>0</v>
      </c>
    </row>
    <row r="249" spans="1:8" x14ac:dyDescent="0.3">
      <c r="A249" s="2" t="s">
        <v>1090</v>
      </c>
      <c r="B249" s="3">
        <v>18.5</v>
      </c>
      <c r="C249" s="3"/>
      <c r="D249" s="3"/>
      <c r="E249" s="3"/>
      <c r="F249" s="3">
        <f t="shared" si="10"/>
        <v>0</v>
      </c>
      <c r="G249" s="3">
        <f t="shared" si="12"/>
        <v>18.5</v>
      </c>
      <c r="H249" s="22">
        <f t="shared" si="11"/>
        <v>0</v>
      </c>
    </row>
    <row r="250" spans="1:8" x14ac:dyDescent="0.3">
      <c r="A250" s="2" t="s">
        <v>1091</v>
      </c>
      <c r="B250" s="3">
        <v>131.47</v>
      </c>
      <c r="C250" s="3"/>
      <c r="D250" s="3"/>
      <c r="E250" s="3"/>
      <c r="F250" s="3">
        <f t="shared" si="10"/>
        <v>0</v>
      </c>
      <c r="G250" s="3">
        <f t="shared" si="12"/>
        <v>131.47</v>
      </c>
      <c r="H250" s="22">
        <f t="shared" si="11"/>
        <v>0</v>
      </c>
    </row>
    <row r="251" spans="1:8" x14ac:dyDescent="0.3">
      <c r="A251" s="2" t="s">
        <v>1092</v>
      </c>
      <c r="B251" s="3">
        <v>18.38</v>
      </c>
      <c r="C251" s="3"/>
      <c r="D251" s="3"/>
      <c r="E251" s="3"/>
      <c r="F251" s="3">
        <f t="shared" si="10"/>
        <v>0</v>
      </c>
      <c r="G251" s="3">
        <f t="shared" si="12"/>
        <v>18.38</v>
      </c>
      <c r="H251" s="22">
        <f t="shared" si="11"/>
        <v>0</v>
      </c>
    </row>
    <row r="252" spans="1:8" x14ac:dyDescent="0.3">
      <c r="A252" s="2" t="s">
        <v>1093</v>
      </c>
      <c r="B252" s="3">
        <v>18.5</v>
      </c>
      <c r="C252" s="3"/>
      <c r="D252" s="3"/>
      <c r="E252" s="3"/>
      <c r="F252" s="3">
        <f t="shared" si="10"/>
        <v>0</v>
      </c>
      <c r="G252" s="3">
        <f t="shared" si="12"/>
        <v>18.5</v>
      </c>
      <c r="H252" s="22">
        <f t="shared" si="11"/>
        <v>0</v>
      </c>
    </row>
    <row r="253" spans="1:8" x14ac:dyDescent="0.3">
      <c r="A253" s="2" t="s">
        <v>1094</v>
      </c>
      <c r="B253" s="3">
        <v>18.5</v>
      </c>
      <c r="C253" s="3"/>
      <c r="D253" s="3"/>
      <c r="E253" s="3"/>
      <c r="F253" s="3">
        <f t="shared" si="10"/>
        <v>0</v>
      </c>
      <c r="G253" s="3">
        <f t="shared" si="12"/>
        <v>18.5</v>
      </c>
      <c r="H253" s="22">
        <f t="shared" si="11"/>
        <v>0</v>
      </c>
    </row>
    <row r="254" spans="1:8" x14ac:dyDescent="0.3">
      <c r="A254" s="2" t="s">
        <v>1095</v>
      </c>
      <c r="B254" s="3">
        <v>35.521999999999998</v>
      </c>
      <c r="C254" s="3">
        <v>176.524</v>
      </c>
      <c r="D254" s="3"/>
      <c r="E254" s="3"/>
      <c r="F254" s="3">
        <f t="shared" si="10"/>
        <v>0</v>
      </c>
      <c r="G254" s="3">
        <f t="shared" si="12"/>
        <v>212.04599999999999</v>
      </c>
      <c r="H254" s="22">
        <f t="shared" si="11"/>
        <v>0</v>
      </c>
    </row>
    <row r="255" spans="1:8" x14ac:dyDescent="0.3">
      <c r="A255" s="2" t="s">
        <v>1096</v>
      </c>
      <c r="B255" s="3">
        <v>18.5</v>
      </c>
      <c r="C255" s="3"/>
      <c r="D255" s="3"/>
      <c r="E255" s="3"/>
      <c r="F255" s="3">
        <f t="shared" si="10"/>
        <v>0</v>
      </c>
      <c r="G255" s="3">
        <f t="shared" si="12"/>
        <v>18.5</v>
      </c>
      <c r="H255" s="22">
        <f t="shared" si="11"/>
        <v>0</v>
      </c>
    </row>
    <row r="256" spans="1:8" x14ac:dyDescent="0.3">
      <c r="A256" s="2" t="s">
        <v>1097</v>
      </c>
      <c r="B256" s="3">
        <v>18.38</v>
      </c>
      <c r="C256" s="3"/>
      <c r="D256" s="3"/>
      <c r="E256" s="3"/>
      <c r="F256" s="3">
        <f t="shared" si="10"/>
        <v>0</v>
      </c>
      <c r="G256" s="3">
        <f t="shared" si="12"/>
        <v>18.38</v>
      </c>
      <c r="H256" s="22">
        <f t="shared" si="11"/>
        <v>0</v>
      </c>
    </row>
    <row r="257" spans="1:8" x14ac:dyDescent="0.3">
      <c r="A257" s="2" t="s">
        <v>1098</v>
      </c>
      <c r="B257" s="3">
        <v>18.38</v>
      </c>
      <c r="C257" s="3"/>
      <c r="D257" s="3"/>
      <c r="E257" s="3"/>
      <c r="F257" s="3">
        <f t="shared" si="10"/>
        <v>0</v>
      </c>
      <c r="G257" s="3">
        <f t="shared" si="12"/>
        <v>18.38</v>
      </c>
      <c r="H257" s="22">
        <f t="shared" si="11"/>
        <v>0</v>
      </c>
    </row>
    <row r="258" spans="1:8" x14ac:dyDescent="0.3">
      <c r="A258" s="2" t="s">
        <v>1099</v>
      </c>
      <c r="B258" s="3">
        <v>18.5</v>
      </c>
      <c r="C258" s="3"/>
      <c r="D258" s="3"/>
      <c r="E258" s="3"/>
      <c r="F258" s="3">
        <f t="shared" si="10"/>
        <v>0</v>
      </c>
      <c r="G258" s="3">
        <f t="shared" si="12"/>
        <v>18.5</v>
      </c>
      <c r="H258" s="22">
        <f t="shared" si="11"/>
        <v>0</v>
      </c>
    </row>
    <row r="259" spans="1:8" x14ac:dyDescent="0.3">
      <c r="A259" s="2" t="s">
        <v>1100</v>
      </c>
      <c r="B259" s="3">
        <v>18.43</v>
      </c>
      <c r="C259" s="3"/>
      <c r="D259" s="3"/>
      <c r="E259" s="3"/>
      <c r="F259" s="3">
        <f t="shared" ref="F259:F301" si="13">SUM(D259,E259)</f>
        <v>0</v>
      </c>
      <c r="G259" s="3">
        <f t="shared" si="12"/>
        <v>18.43</v>
      </c>
      <c r="H259" s="22">
        <f t="shared" ref="H259:H301" si="14">IFERROR(C259/F259,0%)</f>
        <v>0</v>
      </c>
    </row>
    <row r="260" spans="1:8" x14ac:dyDescent="0.3">
      <c r="A260" s="2" t="s">
        <v>1101</v>
      </c>
      <c r="B260" s="3">
        <v>18.5</v>
      </c>
      <c r="C260" s="3"/>
      <c r="D260" s="3"/>
      <c r="E260" s="3"/>
      <c r="F260" s="3">
        <f t="shared" si="13"/>
        <v>0</v>
      </c>
      <c r="G260" s="3">
        <f t="shared" si="12"/>
        <v>18.5</v>
      </c>
      <c r="H260" s="22">
        <f t="shared" si="14"/>
        <v>0</v>
      </c>
    </row>
    <row r="261" spans="1:8" x14ac:dyDescent="0.3">
      <c r="A261" s="2" t="s">
        <v>1102</v>
      </c>
      <c r="B261" s="3">
        <v>18.38</v>
      </c>
      <c r="C261" s="3"/>
      <c r="D261" s="3"/>
      <c r="E261" s="3"/>
      <c r="F261" s="3">
        <f t="shared" si="13"/>
        <v>0</v>
      </c>
      <c r="G261" s="3">
        <f t="shared" si="12"/>
        <v>18.38</v>
      </c>
      <c r="H261" s="22">
        <f t="shared" si="14"/>
        <v>0</v>
      </c>
    </row>
    <row r="262" spans="1:8" x14ac:dyDescent="0.3">
      <c r="A262" s="2" t="s">
        <v>1103</v>
      </c>
      <c r="B262" s="3">
        <v>18.5</v>
      </c>
      <c r="C262" s="3"/>
      <c r="D262" s="3"/>
      <c r="E262" s="3"/>
      <c r="F262" s="3">
        <f t="shared" si="13"/>
        <v>0</v>
      </c>
      <c r="G262" s="3">
        <f t="shared" si="12"/>
        <v>18.5</v>
      </c>
      <c r="H262" s="22">
        <f t="shared" si="14"/>
        <v>0</v>
      </c>
    </row>
    <row r="263" spans="1:8" x14ac:dyDescent="0.3">
      <c r="A263" s="2" t="s">
        <v>1104</v>
      </c>
      <c r="B263" s="3">
        <v>4422.5</v>
      </c>
      <c r="C263" s="3"/>
      <c r="D263" s="3"/>
      <c r="E263" s="3"/>
      <c r="F263" s="3">
        <f t="shared" si="13"/>
        <v>0</v>
      </c>
      <c r="G263" s="3">
        <f t="shared" si="12"/>
        <v>4422.5</v>
      </c>
      <c r="H263" s="22">
        <f t="shared" si="14"/>
        <v>0</v>
      </c>
    </row>
    <row r="264" spans="1:8" x14ac:dyDescent="0.3">
      <c r="A264" s="2" t="s">
        <v>1105</v>
      </c>
      <c r="B264" s="3">
        <v>18.5</v>
      </c>
      <c r="C264" s="3"/>
      <c r="D264" s="3"/>
      <c r="E264" s="3"/>
      <c r="F264" s="3">
        <f t="shared" si="13"/>
        <v>0</v>
      </c>
      <c r="G264" s="3">
        <f t="shared" si="12"/>
        <v>18.5</v>
      </c>
      <c r="H264" s="22">
        <f t="shared" si="14"/>
        <v>0</v>
      </c>
    </row>
    <row r="265" spans="1:8" x14ac:dyDescent="0.3">
      <c r="A265" s="2" t="s">
        <v>1106</v>
      </c>
      <c r="B265" s="3">
        <v>3810.7499999999995</v>
      </c>
      <c r="C265" s="3"/>
      <c r="D265" s="3"/>
      <c r="E265" s="3"/>
      <c r="F265" s="3">
        <f t="shared" si="13"/>
        <v>0</v>
      </c>
      <c r="G265" s="3">
        <f t="shared" si="12"/>
        <v>3810.7499999999995</v>
      </c>
      <c r="H265" s="22">
        <f t="shared" si="14"/>
        <v>0</v>
      </c>
    </row>
    <row r="266" spans="1:8" x14ac:dyDescent="0.3">
      <c r="A266" s="2" t="s">
        <v>1107</v>
      </c>
      <c r="B266" s="3">
        <v>18.43</v>
      </c>
      <c r="C266" s="3"/>
      <c r="D266" s="3"/>
      <c r="E266" s="3"/>
      <c r="F266" s="3">
        <f t="shared" si="13"/>
        <v>0</v>
      </c>
      <c r="G266" s="3">
        <f t="shared" si="12"/>
        <v>18.43</v>
      </c>
      <c r="H266" s="22">
        <f t="shared" si="14"/>
        <v>0</v>
      </c>
    </row>
    <row r="267" spans="1:8" x14ac:dyDescent="0.3">
      <c r="A267" s="2" t="s">
        <v>1108</v>
      </c>
      <c r="B267" s="3">
        <v>563.99</v>
      </c>
      <c r="C267" s="3"/>
      <c r="D267" s="3"/>
      <c r="E267" s="3"/>
      <c r="F267" s="3">
        <f t="shared" si="13"/>
        <v>0</v>
      </c>
      <c r="G267" s="3">
        <f t="shared" si="12"/>
        <v>563.99</v>
      </c>
      <c r="H267" s="22">
        <f t="shared" si="14"/>
        <v>0</v>
      </c>
    </row>
    <row r="268" spans="1:8" x14ac:dyDescent="0.3">
      <c r="A268" s="2" t="s">
        <v>1109</v>
      </c>
      <c r="B268" s="3">
        <v>480.96</v>
      </c>
      <c r="C268" s="3"/>
      <c r="D268" s="3"/>
      <c r="E268" s="3"/>
      <c r="F268" s="3">
        <f t="shared" si="13"/>
        <v>0</v>
      </c>
      <c r="G268" s="3">
        <f t="shared" si="12"/>
        <v>480.96</v>
      </c>
      <c r="H268" s="22">
        <f t="shared" si="14"/>
        <v>0</v>
      </c>
    </row>
    <row r="269" spans="1:8" x14ac:dyDescent="0.3">
      <c r="A269" s="2" t="s">
        <v>1110</v>
      </c>
      <c r="B269" s="3">
        <v>616.02</v>
      </c>
      <c r="C269" s="3"/>
      <c r="D269" s="3"/>
      <c r="E269" s="3"/>
      <c r="F269" s="3">
        <f t="shared" si="13"/>
        <v>0</v>
      </c>
      <c r="G269" s="3">
        <f t="shared" si="12"/>
        <v>616.02</v>
      </c>
      <c r="H269" s="22">
        <f t="shared" si="14"/>
        <v>0</v>
      </c>
    </row>
    <row r="270" spans="1:8" x14ac:dyDescent="0.3">
      <c r="A270" s="2" t="s">
        <v>1054</v>
      </c>
      <c r="B270" s="3">
        <v>33857.404999999999</v>
      </c>
      <c r="C270" s="3"/>
      <c r="D270" s="3"/>
      <c r="E270" s="3"/>
      <c r="F270" s="3">
        <f t="shared" si="13"/>
        <v>0</v>
      </c>
      <c r="G270" s="3">
        <f t="shared" si="12"/>
        <v>33857.404999999999</v>
      </c>
      <c r="H270" s="22">
        <f t="shared" si="14"/>
        <v>0</v>
      </c>
    </row>
    <row r="271" spans="1:8" x14ac:dyDescent="0.3">
      <c r="A271" s="2" t="s">
        <v>1111</v>
      </c>
      <c r="B271" s="3">
        <v>18.38</v>
      </c>
      <c r="C271" s="3"/>
      <c r="D271" s="3"/>
      <c r="E271" s="3"/>
      <c r="F271" s="3">
        <f t="shared" si="13"/>
        <v>0</v>
      </c>
      <c r="G271" s="3">
        <f t="shared" si="12"/>
        <v>18.38</v>
      </c>
      <c r="H271" s="22">
        <f t="shared" si="14"/>
        <v>0</v>
      </c>
    </row>
    <row r="272" spans="1:8" x14ac:dyDescent="0.3">
      <c r="A272" s="2" t="s">
        <v>1055</v>
      </c>
      <c r="B272" s="3">
        <v>6880.3109999999997</v>
      </c>
      <c r="C272" s="3"/>
      <c r="D272" s="3"/>
      <c r="E272" s="3"/>
      <c r="F272" s="3">
        <f t="shared" si="13"/>
        <v>0</v>
      </c>
      <c r="G272" s="3">
        <f t="shared" si="12"/>
        <v>6880.3109999999997</v>
      </c>
      <c r="H272" s="22">
        <f t="shared" si="14"/>
        <v>0</v>
      </c>
    </row>
    <row r="273" spans="1:8" x14ac:dyDescent="0.3">
      <c r="A273" s="2" t="s">
        <v>1056</v>
      </c>
      <c r="B273" s="3">
        <v>43847.361000000004</v>
      </c>
      <c r="C273" s="3"/>
      <c r="D273" s="3"/>
      <c r="E273" s="3"/>
      <c r="F273" s="3">
        <f t="shared" si="13"/>
        <v>0</v>
      </c>
      <c r="G273" s="3">
        <f t="shared" si="12"/>
        <v>43847.361000000004</v>
      </c>
      <c r="H273" s="22">
        <f t="shared" si="14"/>
        <v>0</v>
      </c>
    </row>
    <row r="274" spans="1:8" x14ac:dyDescent="0.3">
      <c r="A274" s="2" t="s">
        <v>1112</v>
      </c>
      <c r="B274" s="3">
        <v>18.54</v>
      </c>
      <c r="C274" s="3"/>
      <c r="D274" s="3"/>
      <c r="E274" s="3"/>
      <c r="F274" s="3">
        <f t="shared" si="13"/>
        <v>0</v>
      </c>
      <c r="G274" s="3">
        <f t="shared" si="12"/>
        <v>18.54</v>
      </c>
      <c r="H274" s="22">
        <f t="shared" si="14"/>
        <v>0</v>
      </c>
    </row>
    <row r="275" spans="1:8" x14ac:dyDescent="0.3">
      <c r="A275" s="2" t="s">
        <v>1113</v>
      </c>
      <c r="B275" s="3">
        <v>18.38</v>
      </c>
      <c r="C275" s="3"/>
      <c r="D275" s="3"/>
      <c r="E275" s="3"/>
      <c r="F275" s="3">
        <f t="shared" si="13"/>
        <v>0</v>
      </c>
      <c r="G275" s="3">
        <f t="shared" si="12"/>
        <v>18.38</v>
      </c>
      <c r="H275" s="22">
        <f t="shared" si="14"/>
        <v>0</v>
      </c>
    </row>
    <row r="276" spans="1:8" x14ac:dyDescent="0.3">
      <c r="A276" s="2" t="s">
        <v>1114</v>
      </c>
      <c r="B276" s="3">
        <v>18.54</v>
      </c>
      <c r="C276" s="3"/>
      <c r="D276" s="3"/>
      <c r="E276" s="3"/>
      <c r="F276" s="3">
        <f t="shared" si="13"/>
        <v>0</v>
      </c>
      <c r="G276" s="3">
        <f t="shared" si="12"/>
        <v>18.54</v>
      </c>
      <c r="H276" s="22">
        <f t="shared" si="14"/>
        <v>0</v>
      </c>
    </row>
    <row r="277" spans="1:8" x14ac:dyDescent="0.3">
      <c r="A277" s="2" t="s">
        <v>1057</v>
      </c>
      <c r="B277" s="3">
        <v>34018.936000000002</v>
      </c>
      <c r="C277" s="3"/>
      <c r="D277" s="3"/>
      <c r="E277" s="3"/>
      <c r="F277" s="3">
        <f t="shared" si="13"/>
        <v>0</v>
      </c>
      <c r="G277" s="3">
        <f t="shared" si="12"/>
        <v>34018.936000000002</v>
      </c>
      <c r="H277" s="22">
        <f t="shared" si="14"/>
        <v>0</v>
      </c>
    </row>
    <row r="278" spans="1:8" x14ac:dyDescent="0.3">
      <c r="A278" s="2" t="s">
        <v>1058</v>
      </c>
      <c r="B278" s="3">
        <v>5019.54</v>
      </c>
      <c r="C278" s="3"/>
      <c r="D278" s="3"/>
      <c r="E278" s="3"/>
      <c r="F278" s="3">
        <f t="shared" si="13"/>
        <v>0</v>
      </c>
      <c r="G278" s="3">
        <f t="shared" si="12"/>
        <v>5019.54</v>
      </c>
      <c r="H278" s="22">
        <f t="shared" si="14"/>
        <v>0</v>
      </c>
    </row>
    <row r="279" spans="1:8" x14ac:dyDescent="0.3">
      <c r="A279" s="2" t="s">
        <v>1059</v>
      </c>
      <c r="B279" s="3">
        <v>642.78600000000006</v>
      </c>
      <c r="C279" s="3"/>
      <c r="D279" s="3"/>
      <c r="E279" s="3"/>
      <c r="F279" s="3">
        <f t="shared" si="13"/>
        <v>0</v>
      </c>
      <c r="G279" s="3">
        <f t="shared" si="12"/>
        <v>642.78600000000006</v>
      </c>
      <c r="H279" s="22">
        <f t="shared" si="14"/>
        <v>0</v>
      </c>
    </row>
    <row r="280" spans="1:8" x14ac:dyDescent="0.3">
      <c r="A280" s="2" t="s">
        <v>1060</v>
      </c>
      <c r="B280" s="3">
        <v>1787.84</v>
      </c>
      <c r="C280" s="3"/>
      <c r="D280" s="3"/>
      <c r="E280" s="3"/>
      <c r="F280" s="3">
        <f t="shared" si="13"/>
        <v>0</v>
      </c>
      <c r="G280" s="3">
        <f t="shared" si="12"/>
        <v>1787.84</v>
      </c>
      <c r="H280" s="22">
        <f t="shared" si="14"/>
        <v>0</v>
      </c>
    </row>
    <row r="281" spans="1:8" x14ac:dyDescent="0.3">
      <c r="A281" s="2" t="s">
        <v>1061</v>
      </c>
      <c r="B281" s="3">
        <v>3312.5950000000003</v>
      </c>
      <c r="C281" s="3"/>
      <c r="D281" s="3"/>
      <c r="E281" s="3"/>
      <c r="F281" s="3">
        <f t="shared" si="13"/>
        <v>0</v>
      </c>
      <c r="G281" s="3">
        <f t="shared" si="12"/>
        <v>3312.5950000000003</v>
      </c>
      <c r="H281" s="22">
        <f t="shared" si="14"/>
        <v>0</v>
      </c>
    </row>
    <row r="282" spans="1:8" x14ac:dyDescent="0.3">
      <c r="A282" s="2" t="s">
        <v>1062</v>
      </c>
      <c r="B282" s="3">
        <v>5935.29</v>
      </c>
      <c r="C282" s="3"/>
      <c r="D282" s="3"/>
      <c r="E282" s="3"/>
      <c r="F282" s="3">
        <f t="shared" si="13"/>
        <v>0</v>
      </c>
      <c r="G282" s="3">
        <f t="shared" si="12"/>
        <v>5935.29</v>
      </c>
      <c r="H282" s="22">
        <f t="shared" si="14"/>
        <v>0</v>
      </c>
    </row>
    <row r="283" spans="1:8" x14ac:dyDescent="0.3">
      <c r="A283" s="2" t="s">
        <v>1063</v>
      </c>
      <c r="B283" s="3">
        <v>5051.6790000000001</v>
      </c>
      <c r="C283" s="3"/>
      <c r="D283" s="3"/>
      <c r="E283" s="3"/>
      <c r="F283" s="3">
        <f t="shared" si="13"/>
        <v>0</v>
      </c>
      <c r="G283" s="3">
        <f t="shared" si="12"/>
        <v>5051.6790000000001</v>
      </c>
      <c r="H283" s="22">
        <f t="shared" si="14"/>
        <v>0</v>
      </c>
    </row>
    <row r="284" spans="1:8" x14ac:dyDescent="0.3">
      <c r="A284" s="2" t="s">
        <v>1064</v>
      </c>
      <c r="B284" s="3">
        <v>4466.7950000000001</v>
      </c>
      <c r="C284" s="3"/>
      <c r="D284" s="3"/>
      <c r="E284" s="3"/>
      <c r="F284" s="3">
        <f t="shared" si="13"/>
        <v>0</v>
      </c>
      <c r="G284" s="3">
        <f t="shared" si="12"/>
        <v>4466.7950000000001</v>
      </c>
      <c r="H284" s="22">
        <f t="shared" si="14"/>
        <v>0</v>
      </c>
    </row>
    <row r="285" spans="1:8" x14ac:dyDescent="0.3">
      <c r="A285" s="2" t="s">
        <v>1065</v>
      </c>
      <c r="B285" s="3">
        <v>4399.4319999999998</v>
      </c>
      <c r="C285" s="3"/>
      <c r="D285" s="3"/>
      <c r="E285" s="3"/>
      <c r="F285" s="3">
        <f t="shared" si="13"/>
        <v>0</v>
      </c>
      <c r="G285" s="3">
        <f t="shared" ref="G285:G301" si="15">B285+C285+D285+E285</f>
        <v>4399.4319999999998</v>
      </c>
      <c r="H285" s="22">
        <f t="shared" si="14"/>
        <v>0</v>
      </c>
    </row>
    <row r="286" spans="1:8" x14ac:dyDescent="0.3">
      <c r="A286" s="2" t="s">
        <v>1066</v>
      </c>
      <c r="B286" s="3">
        <v>3594.8069999999998</v>
      </c>
      <c r="C286" s="3"/>
      <c r="D286" s="3"/>
      <c r="E286" s="3"/>
      <c r="F286" s="3">
        <f t="shared" si="13"/>
        <v>0</v>
      </c>
      <c r="G286" s="3">
        <f t="shared" si="15"/>
        <v>3594.8069999999998</v>
      </c>
      <c r="H286" s="22">
        <f t="shared" si="14"/>
        <v>0</v>
      </c>
    </row>
    <row r="287" spans="1:8" x14ac:dyDescent="0.3">
      <c r="A287" s="2" t="s">
        <v>1067</v>
      </c>
      <c r="B287" s="3">
        <v>4613.3130000000001</v>
      </c>
      <c r="C287" s="3"/>
      <c r="D287" s="3"/>
      <c r="E287" s="3"/>
      <c r="F287" s="3">
        <f t="shared" si="13"/>
        <v>0</v>
      </c>
      <c r="G287" s="3">
        <f t="shared" si="15"/>
        <v>4613.3130000000001</v>
      </c>
      <c r="H287" s="22">
        <f t="shared" si="14"/>
        <v>0</v>
      </c>
    </row>
    <row r="288" spans="1:8" x14ac:dyDescent="0.3">
      <c r="A288" s="2" t="s">
        <v>1068</v>
      </c>
      <c r="B288" s="3">
        <v>2390.1799999999998</v>
      </c>
      <c r="C288" s="3"/>
      <c r="D288" s="3"/>
      <c r="E288" s="3"/>
      <c r="F288" s="3">
        <f t="shared" si="13"/>
        <v>0</v>
      </c>
      <c r="G288" s="3">
        <f t="shared" si="15"/>
        <v>2390.1799999999998</v>
      </c>
      <c r="H288" s="22">
        <f t="shared" si="14"/>
        <v>0</v>
      </c>
    </row>
    <row r="289" spans="1:8" x14ac:dyDescent="0.3">
      <c r="A289" s="2" t="s">
        <v>1069</v>
      </c>
      <c r="B289" s="3">
        <v>11050.525000000001</v>
      </c>
      <c r="C289" s="3"/>
      <c r="D289" s="3"/>
      <c r="E289" s="3"/>
      <c r="F289" s="3">
        <f t="shared" si="13"/>
        <v>0</v>
      </c>
      <c r="G289" s="3">
        <f t="shared" si="15"/>
        <v>11050.525000000001</v>
      </c>
      <c r="H289" s="22">
        <f t="shared" si="14"/>
        <v>0</v>
      </c>
    </row>
    <row r="290" spans="1:8" x14ac:dyDescent="0.3">
      <c r="A290" s="2" t="s">
        <v>1070</v>
      </c>
      <c r="B290" s="3">
        <v>9900.6009999999987</v>
      </c>
      <c r="C290" s="3"/>
      <c r="D290" s="3"/>
      <c r="E290" s="3"/>
      <c r="F290" s="3">
        <f t="shared" si="13"/>
        <v>0</v>
      </c>
      <c r="G290" s="3">
        <f t="shared" si="15"/>
        <v>9900.6009999999987</v>
      </c>
      <c r="H290" s="22">
        <f t="shared" si="14"/>
        <v>0</v>
      </c>
    </row>
    <row r="291" spans="1:8" x14ac:dyDescent="0.3">
      <c r="A291" s="2" t="s">
        <v>1071</v>
      </c>
      <c r="B291" s="3">
        <v>3253.2719999999999</v>
      </c>
      <c r="C291" s="3"/>
      <c r="D291" s="3"/>
      <c r="E291" s="3"/>
      <c r="F291" s="3">
        <f t="shared" si="13"/>
        <v>0</v>
      </c>
      <c r="G291" s="3">
        <f t="shared" si="15"/>
        <v>3253.2719999999999</v>
      </c>
      <c r="H291" s="22">
        <f t="shared" si="14"/>
        <v>0</v>
      </c>
    </row>
    <row r="292" spans="1:8" x14ac:dyDescent="0.3">
      <c r="A292" s="2" t="s">
        <v>1072</v>
      </c>
      <c r="B292" s="3">
        <v>3146.585</v>
      </c>
      <c r="C292" s="3"/>
      <c r="D292" s="3"/>
      <c r="E292" s="3"/>
      <c r="F292" s="3">
        <f t="shared" si="13"/>
        <v>0</v>
      </c>
      <c r="G292" s="3">
        <f t="shared" si="15"/>
        <v>3146.585</v>
      </c>
      <c r="H292" s="22">
        <f t="shared" si="14"/>
        <v>0</v>
      </c>
    </row>
    <row r="293" spans="1:8" x14ac:dyDescent="0.3">
      <c r="A293" s="2" t="s">
        <v>1073</v>
      </c>
      <c r="B293" s="3">
        <v>25354.875000000004</v>
      </c>
      <c r="C293" s="3"/>
      <c r="D293" s="3"/>
      <c r="E293" s="3"/>
      <c r="F293" s="3">
        <f t="shared" si="13"/>
        <v>0</v>
      </c>
      <c r="G293" s="3">
        <f t="shared" si="15"/>
        <v>25354.875000000004</v>
      </c>
      <c r="H293" s="22">
        <f t="shared" si="14"/>
        <v>0</v>
      </c>
    </row>
    <row r="294" spans="1:8" x14ac:dyDescent="0.3">
      <c r="A294" s="2" t="s">
        <v>1115</v>
      </c>
      <c r="B294" s="3">
        <v>107.58000000000001</v>
      </c>
      <c r="C294" s="3"/>
      <c r="D294" s="3"/>
      <c r="E294" s="3"/>
      <c r="F294" s="3">
        <f t="shared" si="13"/>
        <v>0</v>
      </c>
      <c r="G294" s="3">
        <f t="shared" si="15"/>
        <v>107.58000000000001</v>
      </c>
      <c r="H294" s="22">
        <f t="shared" si="14"/>
        <v>0</v>
      </c>
    </row>
    <row r="295" spans="1:8" x14ac:dyDescent="0.3">
      <c r="A295" s="2" t="s">
        <v>1116</v>
      </c>
      <c r="B295" s="3">
        <v>18.5</v>
      </c>
      <c r="C295" s="3"/>
      <c r="D295" s="3"/>
      <c r="E295" s="3"/>
      <c r="F295" s="3">
        <f t="shared" si="13"/>
        <v>0</v>
      </c>
      <c r="G295" s="3">
        <f t="shared" si="15"/>
        <v>18.5</v>
      </c>
      <c r="H295" s="22">
        <f t="shared" si="14"/>
        <v>0</v>
      </c>
    </row>
    <row r="296" spans="1:8" x14ac:dyDescent="0.3">
      <c r="A296" s="2" t="s">
        <v>1117</v>
      </c>
      <c r="B296" s="3">
        <v>18.54000000000002</v>
      </c>
      <c r="C296" s="3"/>
      <c r="D296" s="3"/>
      <c r="E296" s="3"/>
      <c r="F296" s="3">
        <f t="shared" si="13"/>
        <v>0</v>
      </c>
      <c r="G296" s="3">
        <f t="shared" si="15"/>
        <v>18.54000000000002</v>
      </c>
      <c r="H296" s="22">
        <f t="shared" si="14"/>
        <v>0</v>
      </c>
    </row>
    <row r="297" spans="1:8" x14ac:dyDescent="0.3">
      <c r="A297" s="2" t="s">
        <v>1118</v>
      </c>
      <c r="B297" s="3">
        <v>27.42</v>
      </c>
      <c r="C297" s="3"/>
      <c r="D297" s="3"/>
      <c r="E297" s="3"/>
      <c r="F297" s="3">
        <f t="shared" si="13"/>
        <v>0</v>
      </c>
      <c r="G297" s="3">
        <f t="shared" si="15"/>
        <v>27.42</v>
      </c>
      <c r="H297" s="22">
        <f t="shared" si="14"/>
        <v>0</v>
      </c>
    </row>
    <row r="298" spans="1:8" x14ac:dyDescent="0.3">
      <c r="A298" s="2" t="s">
        <v>1119</v>
      </c>
      <c r="B298" s="3">
        <v>96.169999999999987</v>
      </c>
      <c r="C298" s="3"/>
      <c r="D298" s="3"/>
      <c r="E298" s="3"/>
      <c r="F298" s="3">
        <f t="shared" si="13"/>
        <v>0</v>
      </c>
      <c r="G298" s="3">
        <f t="shared" si="15"/>
        <v>96.169999999999987</v>
      </c>
      <c r="H298" s="22">
        <f t="shared" si="14"/>
        <v>0</v>
      </c>
    </row>
    <row r="299" spans="1:8" x14ac:dyDescent="0.3">
      <c r="A299" s="2" t="s">
        <v>1120</v>
      </c>
      <c r="B299" s="3">
        <v>18.5</v>
      </c>
      <c r="C299" s="3"/>
      <c r="D299" s="3"/>
      <c r="E299" s="3"/>
      <c r="F299" s="3">
        <f t="shared" si="13"/>
        <v>0</v>
      </c>
      <c r="G299" s="3">
        <f t="shared" si="15"/>
        <v>18.5</v>
      </c>
      <c r="H299" s="22">
        <f t="shared" si="14"/>
        <v>0</v>
      </c>
    </row>
    <row r="300" spans="1:8" x14ac:dyDescent="0.3">
      <c r="A300" s="2" t="s">
        <v>1121</v>
      </c>
      <c r="B300" s="3">
        <v>18.54</v>
      </c>
      <c r="C300" s="3"/>
      <c r="D300" s="3"/>
      <c r="E300" s="3"/>
      <c r="F300" s="3">
        <f t="shared" si="13"/>
        <v>0</v>
      </c>
      <c r="G300" s="3">
        <f t="shared" si="15"/>
        <v>18.54</v>
      </c>
      <c r="H300" s="22">
        <f t="shared" si="14"/>
        <v>0</v>
      </c>
    </row>
    <row r="301" spans="1:8" x14ac:dyDescent="0.3">
      <c r="A301" s="2" t="s">
        <v>1122</v>
      </c>
      <c r="B301" s="3">
        <v>18.38</v>
      </c>
      <c r="C301" s="3"/>
      <c r="D301" s="3"/>
      <c r="E301" s="3"/>
      <c r="F301" s="3">
        <f t="shared" si="13"/>
        <v>0</v>
      </c>
      <c r="G301" s="3">
        <f t="shared" si="15"/>
        <v>18.38</v>
      </c>
      <c r="H301" s="22">
        <f t="shared" si="14"/>
        <v>0</v>
      </c>
    </row>
    <row r="302" spans="1:8" x14ac:dyDescent="0.3">
      <c r="A302" s="107"/>
      <c r="B302" s="107">
        <f t="shared" ref="B302:H302" si="16">SUM(B2:B301)</f>
        <v>4546595.0029999958</v>
      </c>
      <c r="C302" s="107">
        <f t="shared" si="16"/>
        <v>6740948.3949999968</v>
      </c>
      <c r="D302" s="107">
        <f t="shared" si="16"/>
        <v>-11678475.684000002</v>
      </c>
      <c r="E302" s="107">
        <f t="shared" si="16"/>
        <v>-1592744.0000000005</v>
      </c>
      <c r="F302" s="107">
        <f t="shared" si="16"/>
        <v>-13271219.683999995</v>
      </c>
      <c r="G302" s="107">
        <f t="shared" si="16"/>
        <v>-1983676.2859999987</v>
      </c>
      <c r="H302" s="108">
        <f t="shared" si="16"/>
        <v>-2071.2772131933643</v>
      </c>
    </row>
    <row r="303" spans="1:8" x14ac:dyDescent="0.3">
      <c r="C303" s="3"/>
      <c r="D303" s="3"/>
      <c r="E303" s="3"/>
    </row>
    <row r="304" spans="1:8" x14ac:dyDescent="0.3">
      <c r="C304" s="3"/>
      <c r="D304" s="3"/>
      <c r="E304" s="3"/>
    </row>
    <row r="305" spans="3:5" x14ac:dyDescent="0.3">
      <c r="C305" s="3"/>
      <c r="D305" s="3"/>
      <c r="E305" s="3"/>
    </row>
    <row r="306" spans="3:5" x14ac:dyDescent="0.3">
      <c r="C306" s="3"/>
      <c r="D306" s="3"/>
      <c r="E306" s="3"/>
    </row>
    <row r="307" spans="3:5" x14ac:dyDescent="0.3">
      <c r="C307" s="3"/>
      <c r="D307" s="3"/>
      <c r="E307" s="3"/>
    </row>
    <row r="308" spans="3:5" x14ac:dyDescent="0.3">
      <c r="C308" s="3"/>
      <c r="D308" s="3"/>
      <c r="E308" s="3"/>
    </row>
    <row r="309" spans="3:5" x14ac:dyDescent="0.3">
      <c r="C309" s="3"/>
      <c r="D309" s="3"/>
      <c r="E309" s="3"/>
    </row>
    <row r="310" spans="3:5" x14ac:dyDescent="0.3">
      <c r="C310" s="3"/>
      <c r="D310" s="3"/>
      <c r="E310" s="3"/>
    </row>
    <row r="311" spans="3:5" x14ac:dyDescent="0.3">
      <c r="C311" s="3"/>
      <c r="D311" s="3"/>
      <c r="E311" s="3"/>
    </row>
    <row r="312" spans="3:5" x14ac:dyDescent="0.3">
      <c r="C312" s="3"/>
      <c r="D312" s="3"/>
      <c r="E312" s="3"/>
    </row>
    <row r="313" spans="3:5" x14ac:dyDescent="0.3">
      <c r="C313" s="3"/>
      <c r="D313" s="3"/>
      <c r="E313" s="3"/>
    </row>
    <row r="314" spans="3:5" x14ac:dyDescent="0.3">
      <c r="C314" s="3"/>
      <c r="D314" s="3"/>
      <c r="E314" s="3"/>
    </row>
    <row r="315" spans="3:5" x14ac:dyDescent="0.3">
      <c r="C315" s="3"/>
      <c r="D315" s="3"/>
      <c r="E315" s="3"/>
    </row>
  </sheetData>
  <autoFilter ref="A1:H301" xr:uid="{8192D60F-C5B4-4D8C-9ABA-644616EB234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08992-6827-4FB6-BA42-6F4528CA237B}">
  <sheetPr>
    <tabColor rgb="FF00B050"/>
  </sheetPr>
  <dimension ref="A1:BP433"/>
  <sheetViews>
    <sheetView tabSelected="1" zoomScale="80" zoomScaleNormal="80" workbookViewId="0">
      <selection activeCell="J181" sqref="J181"/>
    </sheetView>
  </sheetViews>
  <sheetFormatPr baseColWidth="10" defaultRowHeight="22.2" customHeight="1" x14ac:dyDescent="0.3"/>
  <cols>
    <col min="1" max="1" width="43.5546875" customWidth="1"/>
    <col min="2" max="2" width="13.21875" customWidth="1"/>
    <col min="3" max="3" width="13" customWidth="1"/>
    <col min="4" max="4" width="14.44140625" customWidth="1"/>
    <col min="5" max="5" width="13.6640625" customWidth="1"/>
    <col min="6" max="6" width="14.5546875" customWidth="1"/>
    <col min="7" max="7" width="14.6640625" customWidth="1"/>
    <col min="8" max="8" width="13.33203125" customWidth="1"/>
    <col min="9" max="9" width="14.77734375" customWidth="1"/>
    <col min="10" max="10" width="13.44140625" style="3" customWidth="1"/>
    <col min="11" max="11" width="10.88671875" customWidth="1"/>
    <col min="12" max="12" width="16.77734375" customWidth="1"/>
    <col min="13" max="14" width="12.88671875" customWidth="1"/>
    <col min="15" max="15" width="8.109375" customWidth="1"/>
    <col min="16" max="16" width="15" customWidth="1"/>
    <col min="17" max="17" width="9.77734375" customWidth="1"/>
    <col min="18" max="18" width="12.5546875" customWidth="1"/>
    <col min="19" max="19" width="10.21875" customWidth="1"/>
    <col min="20" max="20" width="18.6640625" style="3" customWidth="1"/>
    <col min="21" max="21" width="9.88671875" style="3" customWidth="1"/>
    <col min="22" max="22" width="13" style="3" customWidth="1"/>
    <col min="23" max="23" width="8" style="3" customWidth="1"/>
    <col min="24" max="24" width="14.88671875" style="3" customWidth="1"/>
    <col min="25" max="25" width="9.6640625" style="3" customWidth="1"/>
    <col min="26" max="26" width="12.77734375" style="3" customWidth="1"/>
    <col min="27" max="27" width="8.21875" style="3" customWidth="1"/>
    <col min="28" max="28" width="15.6640625" style="3" customWidth="1"/>
    <col min="29" max="29" width="10.5546875" style="3" customWidth="1"/>
    <col min="30" max="30" width="14.5546875" style="3" customWidth="1"/>
    <col min="31" max="31" width="14" style="3" customWidth="1"/>
    <col min="32" max="32" width="14.5546875" style="3" customWidth="1"/>
    <col min="33" max="33" width="15.5546875" style="3" customWidth="1"/>
    <col min="34" max="34" width="14.88671875" style="3" customWidth="1"/>
    <col min="35" max="35" width="15" style="3" customWidth="1"/>
    <col min="36" max="36" width="12.5546875" style="3" customWidth="1"/>
    <col min="37" max="37" width="13.21875" style="3" customWidth="1"/>
    <col min="38" max="38" width="12.77734375" style="3" customWidth="1"/>
    <col min="39" max="39" width="12.33203125" customWidth="1"/>
    <col min="40" max="40" width="13.21875" customWidth="1"/>
    <col min="41" max="41" width="13" customWidth="1"/>
    <col min="42" max="42" width="8.88671875" customWidth="1"/>
    <col min="43" max="43" width="14.21875" customWidth="1"/>
    <col min="44" max="44" width="16.21875" customWidth="1"/>
    <col min="45" max="45" width="9.77734375" customWidth="1"/>
    <col min="46" max="46" width="34.33203125" customWidth="1"/>
    <col min="47" max="47" width="32.88671875" customWidth="1"/>
    <col min="48" max="48" width="14.33203125" customWidth="1"/>
    <col min="49" max="49" width="14" customWidth="1"/>
    <col min="53" max="53" width="28.21875" customWidth="1"/>
    <col min="54" max="54" width="15.44140625" customWidth="1"/>
    <col min="55" max="55" width="14.21875" customWidth="1"/>
    <col min="57" max="57" width="45.88671875" customWidth="1"/>
  </cols>
  <sheetData>
    <row r="1" spans="1:68" s="53" customFormat="1" ht="37.950000000000003" customHeight="1" x14ac:dyDescent="0.3">
      <c r="A1" s="38" t="s">
        <v>5</v>
      </c>
      <c r="B1" s="38" t="s">
        <v>968</v>
      </c>
      <c r="C1" s="38" t="s">
        <v>969</v>
      </c>
      <c r="D1" s="38" t="s">
        <v>730</v>
      </c>
      <c r="E1" s="38" t="s">
        <v>969</v>
      </c>
      <c r="F1" s="38" t="s">
        <v>970</v>
      </c>
      <c r="G1" s="38" t="s">
        <v>969</v>
      </c>
      <c r="H1" s="38" t="s">
        <v>971</v>
      </c>
      <c r="I1" s="38" t="s">
        <v>969</v>
      </c>
      <c r="J1" s="38" t="s">
        <v>972</v>
      </c>
      <c r="K1" s="38" t="s">
        <v>969</v>
      </c>
      <c r="L1" s="38" t="s">
        <v>973</v>
      </c>
      <c r="M1" s="38" t="s">
        <v>969</v>
      </c>
      <c r="N1" s="38" t="s">
        <v>731</v>
      </c>
      <c r="O1" s="38" t="s">
        <v>969</v>
      </c>
      <c r="P1" s="49" t="s">
        <v>974</v>
      </c>
      <c r="Q1" s="38" t="s">
        <v>969</v>
      </c>
      <c r="R1" s="69" t="s">
        <v>1334</v>
      </c>
      <c r="S1" s="38" t="s">
        <v>969</v>
      </c>
      <c r="T1" s="50" t="s">
        <v>975</v>
      </c>
      <c r="U1" s="38" t="s">
        <v>969</v>
      </c>
      <c r="V1" s="38" t="s">
        <v>1042</v>
      </c>
      <c r="W1" s="38" t="s">
        <v>969</v>
      </c>
      <c r="X1" s="38" t="s">
        <v>976</v>
      </c>
      <c r="Y1" s="38" t="s">
        <v>969</v>
      </c>
      <c r="Z1" s="38" t="s">
        <v>303</v>
      </c>
      <c r="AA1" s="38" t="s">
        <v>969</v>
      </c>
      <c r="AB1" s="38" t="s">
        <v>236</v>
      </c>
      <c r="AC1" s="38" t="s">
        <v>969</v>
      </c>
      <c r="AD1" s="38" t="s">
        <v>237</v>
      </c>
      <c r="AE1" s="38" t="s">
        <v>969</v>
      </c>
      <c r="AF1" s="38" t="s">
        <v>3</v>
      </c>
      <c r="AG1" s="38" t="s">
        <v>4</v>
      </c>
      <c r="AH1" s="38" t="s">
        <v>239</v>
      </c>
      <c r="AI1" s="38" t="s">
        <v>725</v>
      </c>
      <c r="AJ1" s="50" t="s">
        <v>723</v>
      </c>
      <c r="AK1" s="51" t="s">
        <v>727</v>
      </c>
      <c r="AL1" s="38" t="s">
        <v>304</v>
      </c>
      <c r="AM1" s="50" t="s">
        <v>722</v>
      </c>
      <c r="AN1" s="52" t="s">
        <v>986</v>
      </c>
      <c r="AO1" s="38" t="s">
        <v>32</v>
      </c>
      <c r="AP1" s="110" t="s">
        <v>969</v>
      </c>
      <c r="AQ1" s="38" t="s">
        <v>234</v>
      </c>
      <c r="AR1" s="48" t="s">
        <v>728</v>
      </c>
      <c r="AS1" s="111" t="s">
        <v>1333</v>
      </c>
      <c r="AT1" s="83"/>
      <c r="AU1" s="83"/>
      <c r="AV1" s="83"/>
      <c r="AW1" s="31"/>
      <c r="BA1" s="31"/>
      <c r="BB1" s="31"/>
      <c r="BC1" s="31"/>
      <c r="BE1" s="100" t="s">
        <v>721</v>
      </c>
      <c r="BF1" s="112"/>
      <c r="BG1" s="112"/>
      <c r="BH1" s="32"/>
      <c r="BI1" s="32"/>
      <c r="BJ1" s="32"/>
      <c r="BK1" s="32"/>
      <c r="BL1" s="32"/>
      <c r="BM1" s="32"/>
      <c r="BN1" s="32"/>
      <c r="BO1" s="32"/>
      <c r="BP1" s="32"/>
    </row>
    <row r="2" spans="1:68" ht="22.2" customHeight="1" x14ac:dyDescent="0.3">
      <c r="A2" s="2" t="s">
        <v>754</v>
      </c>
      <c r="B2" s="3">
        <v>0</v>
      </c>
      <c r="C2" s="88">
        <v>0</v>
      </c>
      <c r="D2" s="3">
        <v>0</v>
      </c>
      <c r="E2" s="88">
        <v>0</v>
      </c>
      <c r="F2" s="3">
        <v>0</v>
      </c>
      <c r="G2" s="88">
        <v>0</v>
      </c>
      <c r="H2" s="3">
        <v>0</v>
      </c>
      <c r="I2" s="88">
        <v>0</v>
      </c>
      <c r="J2" s="3">
        <v>0</v>
      </c>
      <c r="K2" s="88">
        <v>0</v>
      </c>
      <c r="L2" s="3"/>
      <c r="M2" s="88">
        <v>0</v>
      </c>
      <c r="N2" s="3"/>
      <c r="O2" s="88">
        <v>0</v>
      </c>
      <c r="P2" s="3"/>
      <c r="Q2" s="88">
        <v>0</v>
      </c>
      <c r="R2" s="3">
        <v>391.17899999999997</v>
      </c>
      <c r="S2" s="88">
        <v>0</v>
      </c>
      <c r="U2" s="88">
        <v>0</v>
      </c>
      <c r="W2" s="88">
        <v>0</v>
      </c>
      <c r="Y2" s="88">
        <v>0</v>
      </c>
      <c r="AA2" s="88">
        <v>0</v>
      </c>
      <c r="AB2" s="56">
        <v>391.17899999999997</v>
      </c>
      <c r="AC2" s="88">
        <v>0</v>
      </c>
      <c r="AD2" s="101"/>
      <c r="AE2" s="88">
        <v>0</v>
      </c>
      <c r="AF2" s="3">
        <v>0</v>
      </c>
      <c r="AG2" s="3">
        <v>0</v>
      </c>
      <c r="AH2" s="89">
        <f>SUM(AF2,AG2)</f>
        <v>0</v>
      </c>
      <c r="AI2" s="3">
        <f>((AF2+AG2)*-1)</f>
        <v>0</v>
      </c>
      <c r="AJ2" s="8">
        <f>AI2/($AI$224)</f>
        <v>0</v>
      </c>
      <c r="AK2" s="56">
        <f>AJ2*($G$260+$G$313-$B$406)</f>
        <v>0</v>
      </c>
      <c r="AL2" s="3">
        <v>0</v>
      </c>
      <c r="AM2" s="8">
        <f>AL2/AL$224</f>
        <v>0</v>
      </c>
      <c r="AN2" s="3">
        <f>(AM2*$B$406)</f>
        <v>0</v>
      </c>
      <c r="AO2" s="3">
        <f>AN2+AK2</f>
        <v>0</v>
      </c>
      <c r="AP2" s="113">
        <v>0</v>
      </c>
      <c r="AQ2" s="3">
        <f>AB2+AD2+AH2</f>
        <v>391.17899999999997</v>
      </c>
      <c r="AR2" s="3">
        <f>AQ2+AO2</f>
        <v>391.17899999999997</v>
      </c>
      <c r="AS2" s="113">
        <v>0</v>
      </c>
      <c r="AU2" s="121" t="s">
        <v>1345</v>
      </c>
      <c r="AV2" s="122"/>
      <c r="AW2" s="123"/>
      <c r="BA2" s="115" t="s">
        <v>1346</v>
      </c>
      <c r="BB2" s="116"/>
      <c r="BC2" s="117"/>
      <c r="BE2" s="118" t="s">
        <v>724</v>
      </c>
      <c r="BF2" s="118"/>
      <c r="BG2" s="118"/>
      <c r="BH2" s="3"/>
      <c r="BI2" s="3"/>
      <c r="BJ2" s="3"/>
      <c r="BK2" s="3"/>
      <c r="BL2" s="3"/>
      <c r="BM2" s="3"/>
      <c r="BN2" s="3"/>
      <c r="BO2" s="3"/>
      <c r="BP2" s="3"/>
    </row>
    <row r="3" spans="1:68" ht="28.05" customHeight="1" x14ac:dyDescent="0.3">
      <c r="A3" s="2" t="s">
        <v>755</v>
      </c>
      <c r="B3" s="3">
        <v>0</v>
      </c>
      <c r="C3" s="88">
        <f>$B3/$AI3</f>
        <v>0</v>
      </c>
      <c r="D3" s="3">
        <v>1200</v>
      </c>
      <c r="E3" s="88">
        <f>$D3/$AI3</f>
        <v>2.4433315069430316E-2</v>
      </c>
      <c r="F3" s="3">
        <v>0</v>
      </c>
      <c r="G3" s="88">
        <f>$F3/$AI3</f>
        <v>0</v>
      </c>
      <c r="H3" s="3">
        <v>0</v>
      </c>
      <c r="I3" s="88">
        <f>$H3/$AI3</f>
        <v>0</v>
      </c>
      <c r="J3" s="3">
        <v>3343.9580000000001</v>
      </c>
      <c r="K3" s="88">
        <f>$J3/$AI3</f>
        <v>6.8086649494118384E-2</v>
      </c>
      <c r="L3" s="3"/>
      <c r="M3" s="88">
        <f>$L3/$AI3</f>
        <v>0</v>
      </c>
      <c r="N3" s="3"/>
      <c r="O3" s="88">
        <f>$N3/$AI3</f>
        <v>0</v>
      </c>
      <c r="P3" s="3">
        <v>171.01</v>
      </c>
      <c r="Q3" s="88">
        <f>$P3/$AI3</f>
        <v>3.4819510083527318E-3</v>
      </c>
      <c r="R3" s="3">
        <v>4800.1319999999996</v>
      </c>
      <c r="S3" s="88">
        <f>$R3/$AI3</f>
        <v>9.7735947942378901E-2</v>
      </c>
      <c r="U3" s="88">
        <f>$T3/$AI3</f>
        <v>0</v>
      </c>
      <c r="W3" s="88">
        <f>$V3/$AI3</f>
        <v>0</v>
      </c>
      <c r="X3" s="3">
        <v>174.2</v>
      </c>
      <c r="Y3" s="88">
        <f>$X3/$AI3</f>
        <v>3.5469029042456343E-3</v>
      </c>
      <c r="Z3" s="3">
        <v>176.57900000000001</v>
      </c>
      <c r="AA3" s="88">
        <f>$Z3/$AI3</f>
        <v>3.5953419513707801E-3</v>
      </c>
      <c r="AB3" s="56">
        <v>9865.8790000000008</v>
      </c>
      <c r="AC3" s="88">
        <f>$AB3/AI3</f>
        <v>0.20088010836989678</v>
      </c>
      <c r="AD3" s="101">
        <v>22717.277999999998</v>
      </c>
      <c r="AE3" s="88">
        <f>$AD3/$AI3</f>
        <v>0.4625486757448648</v>
      </c>
      <c r="AF3" s="3">
        <v>-42850.541000000005</v>
      </c>
      <c r="AG3" s="3">
        <v>-6262.7290000000003</v>
      </c>
      <c r="AH3" s="89">
        <f>SUM(AF3,AG3)</f>
        <v>-49113.270000000004</v>
      </c>
      <c r="AI3" s="3">
        <f>((AF3+AG3)*-1)</f>
        <v>49113.270000000004</v>
      </c>
      <c r="AJ3" s="8">
        <f>AI3/($AI$224)</f>
        <v>3.7479443868015817E-3</v>
      </c>
      <c r="AK3" s="56">
        <f>AJ3*($G$260+$G$313-$B$406)</f>
        <v>6620.0850325729907</v>
      </c>
      <c r="AL3" s="3">
        <v>15353.841417718537</v>
      </c>
      <c r="AM3" s="8">
        <f>AL3/AL$224</f>
        <v>3.2585802620274718E-3</v>
      </c>
      <c r="AN3" s="3">
        <f>(AM3*$B$406)</f>
        <v>4430.316822086842</v>
      </c>
      <c r="AO3" s="3">
        <f>AN3+AK3</f>
        <v>11050.401854659833</v>
      </c>
      <c r="AP3" s="113">
        <f>$AO3/$AI3</f>
        <v>0.22499829179893402</v>
      </c>
      <c r="AQ3" s="3">
        <f>AB3+AD3+AH3</f>
        <v>-16530.113000000005</v>
      </c>
      <c r="AR3" s="3">
        <f>AQ3+AO3</f>
        <v>-5479.7111453401722</v>
      </c>
      <c r="AS3" s="113">
        <f>AR3/AI3</f>
        <v>-0.11157292408630441</v>
      </c>
      <c r="AU3" s="70" t="s">
        <v>988</v>
      </c>
      <c r="AV3" s="71" t="s">
        <v>1336</v>
      </c>
      <c r="AW3" s="103">
        <v>57718.74</v>
      </c>
      <c r="BA3" s="70" t="s">
        <v>988</v>
      </c>
      <c r="BB3" s="71" t="s">
        <v>1337</v>
      </c>
      <c r="BC3" s="103">
        <v>101304.26</v>
      </c>
      <c r="BE3" s="118"/>
      <c r="BF3" s="118"/>
      <c r="BG3" s="118"/>
      <c r="BH3" s="3"/>
      <c r="BI3" s="3"/>
      <c r="BJ3" s="3"/>
      <c r="BK3" s="3"/>
      <c r="BL3" s="3"/>
      <c r="BM3" s="3"/>
      <c r="BN3" s="3"/>
      <c r="BO3" s="3"/>
      <c r="BP3" s="3"/>
    </row>
    <row r="4" spans="1:68" ht="22.2" customHeight="1" x14ac:dyDescent="0.3">
      <c r="A4" s="2" t="s">
        <v>756</v>
      </c>
      <c r="B4" s="3">
        <v>0</v>
      </c>
      <c r="C4" s="88">
        <f>$B4/$AI4</f>
        <v>0</v>
      </c>
      <c r="D4" s="3">
        <v>940</v>
      </c>
      <c r="E4" s="88">
        <f>$D4/$AI4</f>
        <v>1.6508077314421023E-2</v>
      </c>
      <c r="F4" s="3">
        <v>0</v>
      </c>
      <c r="G4" s="88">
        <f>$F4/$AI4</f>
        <v>0</v>
      </c>
      <c r="H4" s="3">
        <v>0</v>
      </c>
      <c r="I4" s="88">
        <f>$H4/$AI4</f>
        <v>0</v>
      </c>
      <c r="J4" s="3">
        <v>2821.0569999999998</v>
      </c>
      <c r="K4" s="88">
        <f>$J4/$AI4</f>
        <v>4.9542794749349604E-2</v>
      </c>
      <c r="L4" s="3"/>
      <c r="M4" s="88">
        <f>$L4/$AI4</f>
        <v>0</v>
      </c>
      <c r="N4" s="3"/>
      <c r="O4" s="88">
        <f>$N4/$AI4</f>
        <v>0</v>
      </c>
      <c r="P4" s="3">
        <v>62.92</v>
      </c>
      <c r="Q4" s="88">
        <f>$P4/$AI4</f>
        <v>1.1049874730035859E-3</v>
      </c>
      <c r="R4" s="3">
        <v>502.625</v>
      </c>
      <c r="S4" s="88">
        <f>$R4/$AI4</f>
        <v>8.8269918725115606E-3</v>
      </c>
      <c r="U4" s="88">
        <f>$T4/$AI4</f>
        <v>0</v>
      </c>
      <c r="W4" s="88">
        <f>$V4/$AI4</f>
        <v>0</v>
      </c>
      <c r="X4" s="3">
        <v>287.09000000000003</v>
      </c>
      <c r="Y4" s="88">
        <f>$X4/$AI4</f>
        <v>5.0418126768054603E-3</v>
      </c>
      <c r="Z4" s="3">
        <v>99.995999999999995</v>
      </c>
      <c r="AA4" s="88">
        <f>$Z4/$AI4</f>
        <v>1.7561081905668561E-3</v>
      </c>
      <c r="AB4" s="56">
        <v>4713.6880000000001</v>
      </c>
      <c r="AC4" s="88">
        <f>$AB4/AI4</f>
        <v>8.2780772276658102E-2</v>
      </c>
      <c r="AD4" s="101">
        <v>29078.434000000001</v>
      </c>
      <c r="AE4" s="88">
        <f>$AD4/$AI4</f>
        <v>0.51066918793009475</v>
      </c>
      <c r="AF4" s="3">
        <v>-49631.89</v>
      </c>
      <c r="AG4" s="3">
        <v>-7309.9319999999998</v>
      </c>
      <c r="AH4" s="89">
        <f>SUM(AF4,AG4)</f>
        <v>-56941.822</v>
      </c>
      <c r="AI4" s="3">
        <f>((AF4+AG4)*-1)</f>
        <v>56941.822</v>
      </c>
      <c r="AJ4" s="8">
        <f>AI4/($AI$224)</f>
        <v>4.3453588437331655E-3</v>
      </c>
      <c r="AK4" s="56">
        <f>AJ4*($G$260+$G$313-$B$406)</f>
        <v>7675.3126710894094</v>
      </c>
      <c r="AL4" s="3">
        <v>22324.721531967094</v>
      </c>
      <c r="AM4" s="8">
        <f>AL4/AL$224</f>
        <v>4.7380258112720113E-3</v>
      </c>
      <c r="AN4" s="3">
        <f>(AM4*$B$406)</f>
        <v>6441.7487885044711</v>
      </c>
      <c r="AO4" s="3">
        <f>AN4+AK4</f>
        <v>14117.06145959388</v>
      </c>
      <c r="AP4" s="113">
        <f>$AO4/$AI4</f>
        <v>0.24792078939086074</v>
      </c>
      <c r="AQ4" s="3">
        <f>AB4+AD4+AH4</f>
        <v>-23149.699999999997</v>
      </c>
      <c r="AR4" s="3">
        <f>AQ4+AO4</f>
        <v>-9032.6385404061166</v>
      </c>
      <c r="AS4" s="113">
        <f>AR4/AI4</f>
        <v>-0.15862925040238643</v>
      </c>
      <c r="AU4" s="70" t="s">
        <v>989</v>
      </c>
      <c r="AV4" s="72" t="s">
        <v>1341</v>
      </c>
      <c r="AW4" s="86">
        <v>-141712.34</v>
      </c>
      <c r="BA4" s="70" t="s">
        <v>989</v>
      </c>
      <c r="BB4" s="72" t="s">
        <v>1343</v>
      </c>
      <c r="BC4" s="86">
        <v>-515419.16</v>
      </c>
      <c r="BE4" s="118" t="s">
        <v>977</v>
      </c>
      <c r="BF4" s="118"/>
      <c r="BG4" s="118"/>
      <c r="BH4" s="3"/>
      <c r="BI4" s="3"/>
      <c r="BJ4" s="3"/>
      <c r="BK4" s="3"/>
      <c r="BL4" s="3"/>
      <c r="BM4" s="3"/>
      <c r="BN4" s="3"/>
      <c r="BO4" s="3"/>
      <c r="BP4" s="3"/>
    </row>
    <row r="5" spans="1:68" ht="22.2" customHeight="1" x14ac:dyDescent="0.3">
      <c r="A5" s="2" t="s">
        <v>757</v>
      </c>
      <c r="B5" s="3">
        <v>0</v>
      </c>
      <c r="C5" s="88">
        <f>$B5/$AI5</f>
        <v>0</v>
      </c>
      <c r="D5" s="3">
        <v>1700</v>
      </c>
      <c r="E5" s="88">
        <f>$D5/$AI5</f>
        <v>1.42980847723858E-2</v>
      </c>
      <c r="F5" s="3">
        <v>0</v>
      </c>
      <c r="G5" s="88">
        <f>$F5/$AI5</f>
        <v>0</v>
      </c>
      <c r="H5" s="3">
        <v>0</v>
      </c>
      <c r="I5" s="88">
        <f>$H5/$AI5</f>
        <v>0</v>
      </c>
      <c r="J5" s="3">
        <v>5335.9079999999994</v>
      </c>
      <c r="K5" s="88">
        <f>$J5/$AI5</f>
        <v>4.487839113038327E-2</v>
      </c>
      <c r="L5" s="3"/>
      <c r="M5" s="88">
        <f>$L5/$AI5</f>
        <v>0</v>
      </c>
      <c r="N5" s="3"/>
      <c r="O5" s="88">
        <f>$N5/$AI5</f>
        <v>0</v>
      </c>
      <c r="P5" s="3">
        <v>104.24</v>
      </c>
      <c r="Q5" s="88">
        <f>$P5/$AI5</f>
        <v>8.7672491569029166E-4</v>
      </c>
      <c r="R5" s="3">
        <v>88.044000000000011</v>
      </c>
      <c r="S5" s="88">
        <f>$R5/$AI5</f>
        <v>7.4050622099996208E-4</v>
      </c>
      <c r="U5" s="88">
        <f>$T5/$AI5</f>
        <v>0</v>
      </c>
      <c r="W5" s="88">
        <f>$V5/$AI5</f>
        <v>0</v>
      </c>
      <c r="X5" s="3">
        <v>123.32</v>
      </c>
      <c r="Y5" s="88">
        <f>$X5/$AI5</f>
        <v>1.0371998906650688E-3</v>
      </c>
      <c r="Z5" s="3">
        <v>51.832000000000001</v>
      </c>
      <c r="AA5" s="88">
        <f>$Z5/$AI5</f>
        <v>4.3594019407194168E-4</v>
      </c>
      <c r="AB5" s="56">
        <v>7403.344000000001</v>
      </c>
      <c r="AC5" s="88">
        <f>$AB5/AI5</f>
        <v>6.2266847124196348E-2</v>
      </c>
      <c r="AD5" s="101">
        <v>60262.727000000006</v>
      </c>
      <c r="AE5" s="88">
        <f>$AD5/$AI5</f>
        <v>0.5068479878006722</v>
      </c>
      <c r="AF5" s="3">
        <v>-104454.00400000002</v>
      </c>
      <c r="AG5" s="3">
        <v>-14443.038999999999</v>
      </c>
      <c r="AH5" s="89">
        <f>SUM(AF5,AG5)</f>
        <v>-118897.04300000002</v>
      </c>
      <c r="AI5" s="3">
        <f>((AF5+AG5)*-1)</f>
        <v>118897.04300000002</v>
      </c>
      <c r="AJ5" s="8">
        <f>AI5/($AI$224)</f>
        <v>9.0733014706444164E-3</v>
      </c>
      <c r="AK5" s="56">
        <f>AJ5*($G$260+$G$313-$B$406)</f>
        <v>16026.392353461442</v>
      </c>
      <c r="AL5" s="3">
        <v>42151.386961551965</v>
      </c>
      <c r="AM5" s="8">
        <f>AL5/AL$224</f>
        <v>8.945883563151005E-3</v>
      </c>
      <c r="AN5" s="3">
        <f>(AM5*$B$406)</f>
        <v>12162.689039796296</v>
      </c>
      <c r="AO5" s="3">
        <f>AN5+AK5</f>
        <v>28189.081393257737</v>
      </c>
      <c r="AP5" s="113">
        <f>$AO5/$AI5</f>
        <v>0.23708816200969549</v>
      </c>
      <c r="AQ5" s="3">
        <f>AB5+AD5+AH5</f>
        <v>-51230.972000000009</v>
      </c>
      <c r="AR5" s="3">
        <f>AQ5+AO5</f>
        <v>-23041.890606742272</v>
      </c>
      <c r="AS5" s="113">
        <f>AR5/AI5</f>
        <v>-0.19379700306543593</v>
      </c>
      <c r="AU5" s="70" t="s">
        <v>991</v>
      </c>
      <c r="AV5" s="73" t="s">
        <v>1342</v>
      </c>
      <c r="AW5" s="84">
        <v>-5025592</v>
      </c>
      <c r="BA5" s="70" t="s">
        <v>991</v>
      </c>
      <c r="BB5" s="73" t="s">
        <v>1344</v>
      </c>
      <c r="BC5" s="84">
        <v>-1569561.47</v>
      </c>
      <c r="BE5" s="118"/>
      <c r="BF5" s="118"/>
      <c r="BG5" s="118"/>
      <c r="BH5" s="3"/>
      <c r="BI5" s="3"/>
      <c r="BJ5" s="3"/>
      <c r="BK5" s="3"/>
      <c r="BL5" s="3"/>
      <c r="BM5" s="3"/>
      <c r="BN5" s="3"/>
      <c r="BO5" s="3"/>
      <c r="BP5" s="3"/>
    </row>
    <row r="6" spans="1:68" ht="22.2" customHeight="1" x14ac:dyDescent="0.3">
      <c r="A6" s="2" t="s">
        <v>758</v>
      </c>
      <c r="B6" s="3">
        <v>0</v>
      </c>
      <c r="C6" s="88">
        <f>$B6/$AI6</f>
        <v>0</v>
      </c>
      <c r="D6" s="3">
        <v>730</v>
      </c>
      <c r="E6" s="88">
        <f>$D6/$AI6</f>
        <v>8.6751593704020892E-3</v>
      </c>
      <c r="F6" s="3">
        <v>0</v>
      </c>
      <c r="G6" s="88">
        <f>$F6/$AI6</f>
        <v>0</v>
      </c>
      <c r="H6" s="3">
        <v>0</v>
      </c>
      <c r="I6" s="88">
        <f>$H6/$AI6</f>
        <v>0</v>
      </c>
      <c r="J6" s="3">
        <v>4044.558</v>
      </c>
      <c r="K6" s="88">
        <f>$J6/$AI6</f>
        <v>4.8064637305253066E-2</v>
      </c>
      <c r="L6" s="3"/>
      <c r="M6" s="88">
        <f>$L6/$AI6</f>
        <v>0</v>
      </c>
      <c r="N6" s="3"/>
      <c r="O6" s="88">
        <f>$N6/$AI6</f>
        <v>0</v>
      </c>
      <c r="P6" s="3">
        <v>70.290000000000006</v>
      </c>
      <c r="Q6" s="88">
        <f>$P6/$AI6</f>
        <v>8.353108933500862E-4</v>
      </c>
      <c r="R6" s="3">
        <v>292.649</v>
      </c>
      <c r="S6" s="88">
        <f>$R6/$AI6</f>
        <v>3.4777763213545221E-3</v>
      </c>
      <c r="T6" s="3">
        <v>1.89</v>
      </c>
      <c r="U6" s="88">
        <f>$T6/$AI6</f>
        <v>2.2460344123369793E-5</v>
      </c>
      <c r="W6" s="88">
        <f>$V6/$AI6</f>
        <v>0</v>
      </c>
      <c r="X6" s="3">
        <v>281.86</v>
      </c>
      <c r="Y6" s="88">
        <f>$X6/$AI6</f>
        <v>3.3495622193719632E-3</v>
      </c>
      <c r="Z6" s="3">
        <v>-6.5950000000000024</v>
      </c>
      <c r="AA6" s="88">
        <f>$Z6/$AI6</f>
        <v>-7.8373528832605206E-5</v>
      </c>
      <c r="AB6" s="56">
        <v>5414.6519999999991</v>
      </c>
      <c r="AC6" s="88">
        <f>$AB6/AI6</f>
        <v>6.4346532925022473E-2</v>
      </c>
      <c r="AD6" s="101">
        <v>41163.746000000006</v>
      </c>
      <c r="AE6" s="88">
        <f>$AD6/$AI6</f>
        <v>0.48918089977089263</v>
      </c>
      <c r="AF6" s="3">
        <v>-73293.141000000018</v>
      </c>
      <c r="AG6" s="3">
        <v>-10855.169</v>
      </c>
      <c r="AH6" s="89">
        <f>SUM(AF6,AG6)</f>
        <v>-84148.310000000012</v>
      </c>
      <c r="AI6" s="3">
        <f>((AF6+AG6)*-1)</f>
        <v>84148.310000000012</v>
      </c>
      <c r="AJ6" s="8">
        <f>AI6/($AI$224)</f>
        <v>6.4215472951269469E-3</v>
      </c>
      <c r="AK6" s="56">
        <f>AJ6*($G$260+$G$313-$B$406)</f>
        <v>11342.534666238109</v>
      </c>
      <c r="AL6" s="3">
        <v>32162.210869101251</v>
      </c>
      <c r="AM6" s="8">
        <f>AL6/AL$224</f>
        <v>6.8258582767615761E-3</v>
      </c>
      <c r="AN6" s="3">
        <f>(AM6*$B$406)</f>
        <v>9280.3344760647069</v>
      </c>
      <c r="AO6" s="3">
        <f>AN6+AK6</f>
        <v>20622.869142302814</v>
      </c>
      <c r="AP6" s="113">
        <f>$AO6/$AI6</f>
        <v>0.2450776390197594</v>
      </c>
      <c r="AQ6" s="3">
        <f>AB6+AD6+AH6</f>
        <v>-37569.912000000004</v>
      </c>
      <c r="AR6" s="3">
        <f>AQ6+AO6</f>
        <v>-16947.04285769719</v>
      </c>
      <c r="AS6" s="113">
        <f>AR6/AI6</f>
        <v>-0.20139492828432545</v>
      </c>
      <c r="AU6" s="87" t="s">
        <v>302</v>
      </c>
      <c r="AV6" s="74">
        <v>222</v>
      </c>
      <c r="AW6" s="104">
        <f>SUM(AW3:AW5)</f>
        <v>-5109585.5999999996</v>
      </c>
      <c r="BA6" s="87" t="s">
        <v>302</v>
      </c>
      <c r="BB6" s="74">
        <v>222</v>
      </c>
      <c r="BC6" s="104">
        <f>SUM(BC3:BC5)</f>
        <v>-1983676.3699999999</v>
      </c>
      <c r="BE6" s="118" t="s">
        <v>978</v>
      </c>
      <c r="BF6" s="118"/>
      <c r="BG6" s="118"/>
      <c r="BH6" s="3"/>
      <c r="BI6" s="3"/>
      <c r="BJ6" s="3"/>
      <c r="BK6" s="3"/>
      <c r="BL6" s="3"/>
      <c r="BM6" s="3"/>
      <c r="BN6" s="3"/>
      <c r="BO6" s="3"/>
      <c r="BP6" s="3"/>
    </row>
    <row r="7" spans="1:68" ht="22.2" customHeight="1" x14ac:dyDescent="0.3">
      <c r="A7" s="2" t="s">
        <v>1032</v>
      </c>
      <c r="B7" s="3">
        <v>0</v>
      </c>
      <c r="C7" s="88">
        <v>0</v>
      </c>
      <c r="D7" s="3">
        <v>0</v>
      </c>
      <c r="E7" s="88">
        <v>0</v>
      </c>
      <c r="F7" s="3">
        <v>0</v>
      </c>
      <c r="G7" s="88">
        <v>0</v>
      </c>
      <c r="H7" s="3">
        <v>0</v>
      </c>
      <c r="I7" s="88">
        <v>0</v>
      </c>
      <c r="J7" s="3">
        <v>0</v>
      </c>
      <c r="K7" s="88">
        <v>0</v>
      </c>
      <c r="L7" s="3"/>
      <c r="M7" s="88">
        <v>0</v>
      </c>
      <c r="N7" s="3"/>
      <c r="O7" s="88">
        <v>0</v>
      </c>
      <c r="P7" s="3"/>
      <c r="Q7" s="88">
        <v>0</v>
      </c>
      <c r="R7" s="3"/>
      <c r="S7" s="88">
        <v>0</v>
      </c>
      <c r="U7" s="88">
        <v>0</v>
      </c>
      <c r="W7" s="88">
        <v>0</v>
      </c>
      <c r="Y7" s="88">
        <v>0</v>
      </c>
      <c r="Z7" s="3">
        <v>-11.032999999999999</v>
      </c>
      <c r="AA7" s="88">
        <v>0</v>
      </c>
      <c r="AB7" s="56">
        <v>-11.032999999999999</v>
      </c>
      <c r="AC7" s="88">
        <v>0</v>
      </c>
      <c r="AD7" s="101"/>
      <c r="AE7" s="88">
        <v>0</v>
      </c>
      <c r="AF7" s="3">
        <v>0</v>
      </c>
      <c r="AG7" s="3">
        <v>0</v>
      </c>
      <c r="AH7" s="89">
        <f>SUM(AF7,AG7)</f>
        <v>0</v>
      </c>
      <c r="AI7" s="3">
        <f>((AF7+AG7)*-1)</f>
        <v>0</v>
      </c>
      <c r="AJ7" s="8">
        <f>AI7/($AI$224)</f>
        <v>0</v>
      </c>
      <c r="AK7" s="56">
        <f>AJ7*($G$260+$G$313-$B$406)</f>
        <v>0</v>
      </c>
      <c r="AL7" s="3">
        <v>0</v>
      </c>
      <c r="AM7" s="8">
        <f>AL7/AL$224</f>
        <v>0</v>
      </c>
      <c r="AN7" s="3">
        <f>(AM7*$B$406)</f>
        <v>0</v>
      </c>
      <c r="AO7" s="3">
        <f>AN7+AK7</f>
        <v>0</v>
      </c>
      <c r="AP7" s="113">
        <v>0</v>
      </c>
      <c r="AQ7" s="3">
        <f>AB7+AD7+AH7</f>
        <v>-11.032999999999999</v>
      </c>
      <c r="AR7" s="3">
        <f>AQ7+AO7</f>
        <v>-11.032999999999999</v>
      </c>
      <c r="AS7" s="113">
        <v>0</v>
      </c>
      <c r="AT7" s="70"/>
      <c r="AU7" s="70"/>
      <c r="AV7" s="70"/>
      <c r="AW7" s="3"/>
      <c r="BA7" s="3"/>
      <c r="BB7" s="3"/>
      <c r="BC7" s="3"/>
      <c r="BE7" s="118"/>
      <c r="BF7" s="118"/>
      <c r="BG7" s="118"/>
      <c r="BH7" s="3"/>
      <c r="BI7" s="3"/>
      <c r="BJ7" s="3"/>
      <c r="BK7" s="3"/>
      <c r="BL7" s="3"/>
      <c r="BM7" s="3"/>
      <c r="BN7" s="3"/>
      <c r="BO7" s="3"/>
      <c r="BP7" s="3"/>
    </row>
    <row r="8" spans="1:68" ht="22.2" customHeight="1" x14ac:dyDescent="0.3">
      <c r="A8" s="2" t="s">
        <v>759</v>
      </c>
      <c r="B8" s="3">
        <v>0</v>
      </c>
      <c r="C8" s="88">
        <f>$B8/$AI8</f>
        <v>0</v>
      </c>
      <c r="D8" s="3">
        <v>0</v>
      </c>
      <c r="E8" s="88">
        <f>$D8/$AI8</f>
        <v>0</v>
      </c>
      <c r="F8" s="3">
        <v>30</v>
      </c>
      <c r="G8" s="88">
        <f>$F8/$AI8</f>
        <v>1.5520647090957358E-3</v>
      </c>
      <c r="H8" s="3">
        <v>0</v>
      </c>
      <c r="I8" s="88">
        <f>$H8/$AI8</f>
        <v>0</v>
      </c>
      <c r="J8" s="3">
        <v>924</v>
      </c>
      <c r="K8" s="88">
        <f>$J8/$AI8</f>
        <v>4.7803593040148661E-2</v>
      </c>
      <c r="L8" s="3"/>
      <c r="M8" s="88">
        <f>$L8/$AI8</f>
        <v>0</v>
      </c>
      <c r="N8" s="3"/>
      <c r="O8" s="88">
        <f>$N8/$AI8</f>
        <v>0</v>
      </c>
      <c r="P8" s="3">
        <v>433.46</v>
      </c>
      <c r="Q8" s="88">
        <f>$P8/$AI8</f>
        <v>2.2425265626821254E-2</v>
      </c>
      <c r="R8" s="3">
        <v>10854.949999999999</v>
      </c>
      <c r="S8" s="88">
        <f>$R8/$AI8</f>
        <v>0.56158616046662524</v>
      </c>
      <c r="T8" s="3">
        <v>90</v>
      </c>
      <c r="U8" s="88">
        <f>$T8/$AI8</f>
        <v>4.6561941272872075E-3</v>
      </c>
      <c r="W8" s="88">
        <f>$V8/$AI8</f>
        <v>0</v>
      </c>
      <c r="X8" s="3">
        <v>89.1</v>
      </c>
      <c r="Y8" s="88">
        <f>$X8/$AI8</f>
        <v>4.6096321860143348E-3</v>
      </c>
      <c r="Z8" s="3">
        <v>12700.181</v>
      </c>
      <c r="AA8" s="88">
        <f>$Z8/$AI8</f>
        <v>0.65705009097427303</v>
      </c>
      <c r="AB8" s="56">
        <v>25121.690999999999</v>
      </c>
      <c r="AC8" s="88">
        <f>$AB8/AI8</f>
        <v>1.2996830011302654</v>
      </c>
      <c r="AD8" s="101">
        <v>6022.5019999999995</v>
      </c>
      <c r="AE8" s="88">
        <f>$AD8/$AI8</f>
        <v>0.31157709382194954</v>
      </c>
      <c r="AF8" s="3">
        <v>-17002.862999999998</v>
      </c>
      <c r="AG8" s="3">
        <v>-2326.2280000000001</v>
      </c>
      <c r="AH8" s="89">
        <f>SUM(AF8,AG8)</f>
        <v>-19329.090999999997</v>
      </c>
      <c r="AI8" s="3">
        <f>((AF8+AG8)*-1)</f>
        <v>19329.090999999997</v>
      </c>
      <c r="AJ8" s="8">
        <f>AI8/($AI$224)</f>
        <v>1.4750465223640566E-3</v>
      </c>
      <c r="AK8" s="56">
        <f>AJ8*($G$260+$G$313-$B$406)</f>
        <v>2605.4104322994835</v>
      </c>
      <c r="AL8" s="3">
        <v>14498.61969517264</v>
      </c>
      <c r="AM8" s="8">
        <f>AL8/AL$224</f>
        <v>3.0770746342873561E-3</v>
      </c>
      <c r="AN8" s="3">
        <f>(AM8*$B$406)</f>
        <v>4183.5444945026375</v>
      </c>
      <c r="AO8" s="3">
        <f>AN8+AK8</f>
        <v>6788.954926802121</v>
      </c>
      <c r="AP8" s="113">
        <f>$AO8/$AI8</f>
        <v>0.35122991178437318</v>
      </c>
      <c r="AQ8" s="3">
        <f>AB8+AD8+AH8</f>
        <v>11815.102000000003</v>
      </c>
      <c r="AR8" s="3">
        <f>AQ8+AO8</f>
        <v>18604.056926802125</v>
      </c>
      <c r="AS8" s="113">
        <f>AR8/AI8</f>
        <v>0.96249000673658824</v>
      </c>
      <c r="AU8" s="122" t="s">
        <v>990</v>
      </c>
      <c r="AV8" s="122"/>
      <c r="AW8" s="122"/>
      <c r="BA8" s="3"/>
      <c r="BB8" s="3"/>
      <c r="BC8" s="3"/>
      <c r="BE8" s="118" t="s">
        <v>726</v>
      </c>
      <c r="BF8" s="118"/>
      <c r="BG8" s="118"/>
      <c r="BH8" s="3"/>
      <c r="BI8" s="3"/>
      <c r="BJ8" s="3"/>
      <c r="BK8" s="3"/>
      <c r="BL8" s="3"/>
      <c r="BM8" s="3"/>
      <c r="BN8" s="3"/>
      <c r="BO8" s="3"/>
      <c r="BP8" s="3"/>
    </row>
    <row r="9" spans="1:68" ht="29.55" customHeight="1" x14ac:dyDescent="0.3">
      <c r="A9" s="2" t="s">
        <v>760</v>
      </c>
      <c r="B9" s="3">
        <v>0</v>
      </c>
      <c r="C9" s="88">
        <f>$B9/$AI9</f>
        <v>0</v>
      </c>
      <c r="D9" s="3">
        <v>1500</v>
      </c>
      <c r="E9" s="88">
        <f>$D9/$AI9</f>
        <v>0.13042388370850055</v>
      </c>
      <c r="F9" s="3">
        <v>0</v>
      </c>
      <c r="G9" s="88">
        <f>$F9/$AI9</f>
        <v>0</v>
      </c>
      <c r="H9" s="3">
        <v>0</v>
      </c>
      <c r="I9" s="88">
        <f>$H9/$AI9</f>
        <v>0</v>
      </c>
      <c r="J9" s="3">
        <v>3892.1289999999999</v>
      </c>
      <c r="K9" s="88">
        <f>$J9/$AI9</f>
        <v>0.33841772004965498</v>
      </c>
      <c r="L9" s="3"/>
      <c r="M9" s="88">
        <f>$L9/$AI9</f>
        <v>0</v>
      </c>
      <c r="N9" s="3">
        <v>228.45</v>
      </c>
      <c r="O9" s="88">
        <f>$N9/$AI9</f>
        <v>1.9863557488804633E-2</v>
      </c>
      <c r="P9" s="3">
        <v>98.63</v>
      </c>
      <c r="Q9" s="88">
        <f>$P9/$AI9</f>
        <v>8.5758051001129394E-3</v>
      </c>
      <c r="R9" s="3">
        <v>877.58500000000004</v>
      </c>
      <c r="S9" s="88">
        <f>$R9/$AI9</f>
        <v>7.6305362656216305E-2</v>
      </c>
      <c r="U9" s="88">
        <f>$T9/$AI9</f>
        <v>0</v>
      </c>
      <c r="W9" s="88">
        <f>$V9/$AI9</f>
        <v>0</v>
      </c>
      <c r="X9" s="3">
        <v>112.89000000000001</v>
      </c>
      <c r="Y9" s="88">
        <f>$X9/$AI9</f>
        <v>9.8157014879017516E-3</v>
      </c>
      <c r="Z9" s="3">
        <v>13.17</v>
      </c>
      <c r="AA9" s="88">
        <f>$Z9/$AI9</f>
        <v>1.1451216989606348E-3</v>
      </c>
      <c r="AB9" s="56">
        <v>6722.8540000000003</v>
      </c>
      <c r="AC9" s="88">
        <f>$AB9/AI9</f>
        <v>0.58454715219015185</v>
      </c>
      <c r="AD9" s="101">
        <v>5543.3280000000004</v>
      </c>
      <c r="AE9" s="88">
        <f>$AD9/$AI9</f>
        <v>0.48198824428671661</v>
      </c>
      <c r="AF9" s="3">
        <v>-10027.620999999999</v>
      </c>
      <c r="AG9" s="3">
        <v>-1473.34</v>
      </c>
      <c r="AH9" s="89">
        <f>SUM(AF9,AG9)</f>
        <v>-11500.960999999999</v>
      </c>
      <c r="AI9" s="3">
        <f>((AF9+AG9)*-1)</f>
        <v>11500.960999999999</v>
      </c>
      <c r="AJ9" s="8">
        <f>AI9/($AI$224)</f>
        <v>8.7766426920410508E-4</v>
      </c>
      <c r="AK9" s="56">
        <f>AJ9*($G$260+$G$313-$B$406)</f>
        <v>1550.2396760856218</v>
      </c>
      <c r="AL9" s="3">
        <v>4371.0637297943485</v>
      </c>
      <c r="AM9" s="8">
        <f>AL9/AL$224</f>
        <v>9.2768067654619012E-4</v>
      </c>
      <c r="AN9" s="3">
        <f>(AM9*$B$406)</f>
        <v>1261.2607259427509</v>
      </c>
      <c r="AO9" s="3">
        <f>AN9+AK9</f>
        <v>2811.5004020283727</v>
      </c>
      <c r="AP9" s="113">
        <f>$AO9/$AI9</f>
        <v>0.24445786765370067</v>
      </c>
      <c r="AQ9" s="3">
        <f>AB9+AD9+AH9</f>
        <v>765.22100000000137</v>
      </c>
      <c r="AR9" s="3">
        <f>AQ9+AO9</f>
        <v>3576.7214020283741</v>
      </c>
      <c r="AS9" s="113">
        <f>AR9/AI9</f>
        <v>0.3109932641305691</v>
      </c>
      <c r="AU9" s="75" t="s">
        <v>992</v>
      </c>
      <c r="AV9" s="76" t="s">
        <v>1337</v>
      </c>
      <c r="AW9" s="85">
        <v>87044.62</v>
      </c>
      <c r="BA9" s="3"/>
      <c r="BB9" s="3"/>
      <c r="BC9" s="3"/>
      <c r="BE9" s="118"/>
      <c r="BF9" s="118"/>
      <c r="BG9" s="118"/>
      <c r="BH9" s="3"/>
      <c r="BI9" s="3"/>
      <c r="BJ9" s="3"/>
      <c r="BK9" s="3"/>
      <c r="BL9" s="3"/>
      <c r="BM9" s="3"/>
      <c r="BN9" s="3"/>
      <c r="BO9" s="3"/>
      <c r="BP9" s="3"/>
    </row>
    <row r="10" spans="1:68" ht="22.2" customHeight="1" x14ac:dyDescent="0.3">
      <c r="A10" s="2" t="s">
        <v>761</v>
      </c>
      <c r="B10" s="3">
        <v>0</v>
      </c>
      <c r="C10" s="88">
        <f>$B10/$AI10</f>
        <v>0</v>
      </c>
      <c r="D10" s="3">
        <v>1420</v>
      </c>
      <c r="E10" s="88">
        <f>$D10/$AI10</f>
        <v>1.5176191684534941E-2</v>
      </c>
      <c r="F10" s="3">
        <v>0</v>
      </c>
      <c r="G10" s="88">
        <f>$F10/$AI10</f>
        <v>0</v>
      </c>
      <c r="H10" s="3">
        <v>47.2</v>
      </c>
      <c r="I10" s="88">
        <f>$H10/$AI10</f>
        <v>5.0444806162679525E-4</v>
      </c>
      <c r="J10" s="3">
        <v>4245.4539999999997</v>
      </c>
      <c r="K10" s="88">
        <f>$J10/$AI10</f>
        <v>4.5373115275968733E-2</v>
      </c>
      <c r="L10" s="3"/>
      <c r="M10" s="88">
        <f>$L10/$AI10</f>
        <v>0</v>
      </c>
      <c r="N10" s="3"/>
      <c r="O10" s="88">
        <f>$N10/$AI10</f>
        <v>0</v>
      </c>
      <c r="P10" s="3">
        <v>119.18</v>
      </c>
      <c r="Q10" s="88">
        <f>$P10/$AI10</f>
        <v>1.2737313556076581E-3</v>
      </c>
      <c r="R10" s="3">
        <v>732.84399999999982</v>
      </c>
      <c r="S10" s="88">
        <f>$R10/$AI10</f>
        <v>7.8322401541276922E-3</v>
      </c>
      <c r="U10" s="88">
        <f>$T10/$AI10</f>
        <v>0</v>
      </c>
      <c r="W10" s="88">
        <f>$V10/$AI10</f>
        <v>0</v>
      </c>
      <c r="X10" s="3">
        <v>229.98000000000002</v>
      </c>
      <c r="Y10" s="88">
        <f>$X10/$AI10</f>
        <v>2.4579018053586944E-3</v>
      </c>
      <c r="Z10" s="3">
        <v>461.54300000000001</v>
      </c>
      <c r="AA10" s="88">
        <f>$Z10/$AI10</f>
        <v>4.9327218582079649E-3</v>
      </c>
      <c r="AB10" s="56">
        <v>7256.2009999999991</v>
      </c>
      <c r="AC10" s="88">
        <f>$AB10/AI10</f>
        <v>7.755035019543248E-2</v>
      </c>
      <c r="AD10" s="101">
        <v>49343.272000000012</v>
      </c>
      <c r="AE10" s="88">
        <f>$AD10/$AI10</f>
        <v>0.52735419310855347</v>
      </c>
      <c r="AF10" s="3">
        <v>-81546.615999999995</v>
      </c>
      <c r="AG10" s="3">
        <v>-12020.995000000001</v>
      </c>
      <c r="AH10" s="89">
        <f>SUM(AF10,AG10)</f>
        <v>-93567.61099999999</v>
      </c>
      <c r="AI10" s="3">
        <f>((AF10+AG10)*-1)</f>
        <v>93567.61099999999</v>
      </c>
      <c r="AJ10" s="8">
        <f>AI10/($AI$224)</f>
        <v>7.1403553954742542E-3</v>
      </c>
      <c r="AK10" s="56">
        <f>AJ10*($G$260+$G$313-$B$406)</f>
        <v>12612.182840090096</v>
      </c>
      <c r="AL10" s="3">
        <v>35382.820232101018</v>
      </c>
      <c r="AM10" s="8">
        <f>AL10/AL$224</f>
        <v>7.509375438132084E-3</v>
      </c>
      <c r="AN10" s="3">
        <f>(AM10*$B$406)</f>
        <v>10209.634150985305</v>
      </c>
      <c r="AO10" s="3">
        <f>AN10+AK10</f>
        <v>22821.8169910754</v>
      </c>
      <c r="AP10" s="113">
        <f>$AO10/$AI10</f>
        <v>0.24390723186333574</v>
      </c>
      <c r="AQ10" s="3">
        <f>AB10+AD10+AH10</f>
        <v>-36968.137999999977</v>
      </c>
      <c r="AR10" s="3">
        <f>AQ10+AO10</f>
        <v>-14146.321008924577</v>
      </c>
      <c r="AS10" s="113">
        <f>AR10/AI10</f>
        <v>-0.15118822483267824</v>
      </c>
      <c r="AU10" s="77" t="s">
        <v>993</v>
      </c>
      <c r="AV10" s="78" t="s">
        <v>1339</v>
      </c>
      <c r="AW10" s="86">
        <v>102791.81</v>
      </c>
      <c r="AZ10" t="s">
        <v>1340</v>
      </c>
      <c r="BA10" s="3"/>
      <c r="BB10" s="3"/>
      <c r="BC10" s="3"/>
      <c r="BE10" s="118" t="s">
        <v>979</v>
      </c>
      <c r="BF10" s="118"/>
      <c r="BG10" s="118"/>
      <c r="BH10" s="3"/>
      <c r="BI10" s="3"/>
      <c r="BJ10" s="3"/>
      <c r="BK10" s="3"/>
      <c r="BL10" s="3"/>
      <c r="BM10" s="3"/>
      <c r="BN10" s="3"/>
      <c r="BO10" s="3"/>
      <c r="BP10" s="3"/>
    </row>
    <row r="11" spans="1:68" ht="22.2" customHeight="1" x14ac:dyDescent="0.3">
      <c r="A11" s="2" t="s">
        <v>762</v>
      </c>
      <c r="B11" s="3">
        <v>0</v>
      </c>
      <c r="C11" s="88">
        <v>0</v>
      </c>
      <c r="D11" s="3">
        <v>215</v>
      </c>
      <c r="E11" s="88">
        <v>0</v>
      </c>
      <c r="F11" s="3">
        <v>0</v>
      </c>
      <c r="G11" s="88">
        <v>0</v>
      </c>
      <c r="H11" s="3">
        <v>0</v>
      </c>
      <c r="I11" s="88">
        <v>0</v>
      </c>
      <c r="J11" s="3">
        <v>1488.5040000000001</v>
      </c>
      <c r="K11" s="88">
        <v>0</v>
      </c>
      <c r="L11" s="3"/>
      <c r="M11" s="88">
        <v>0</v>
      </c>
      <c r="N11" s="3"/>
      <c r="O11" s="88">
        <v>0</v>
      </c>
      <c r="P11" s="3"/>
      <c r="Q11" s="88">
        <v>0</v>
      </c>
      <c r="R11" s="3"/>
      <c r="S11" s="88">
        <v>0</v>
      </c>
      <c r="U11" s="88">
        <v>0</v>
      </c>
      <c r="W11" s="88">
        <v>0</v>
      </c>
      <c r="X11" s="3">
        <v>100.22999999999999</v>
      </c>
      <c r="Y11" s="88">
        <v>0</v>
      </c>
      <c r="Z11" s="3">
        <v>3.3500000000000005</v>
      </c>
      <c r="AA11" s="88">
        <v>0</v>
      </c>
      <c r="AB11" s="56">
        <v>1807.0839999999998</v>
      </c>
      <c r="AC11" s="88">
        <v>0</v>
      </c>
      <c r="AD11" s="101">
        <v>-181.214</v>
      </c>
      <c r="AE11" s="88">
        <v>0</v>
      </c>
      <c r="AF11" s="3">
        <v>0</v>
      </c>
      <c r="AG11" s="3">
        <v>0</v>
      </c>
      <c r="AH11" s="89">
        <f>SUM(AF11,AG11)</f>
        <v>0</v>
      </c>
      <c r="AI11" s="3">
        <f>((AF11+AG11)*-1)</f>
        <v>0</v>
      </c>
      <c r="AJ11" s="8">
        <f>AI11/($AI$224)</f>
        <v>0</v>
      </c>
      <c r="AK11" s="56">
        <f>AJ11*($G$260+$G$313-$B$406)</f>
        <v>0</v>
      </c>
      <c r="AL11" s="3">
        <v>0</v>
      </c>
      <c r="AM11" s="8">
        <f>AL11/AL$224</f>
        <v>0</v>
      </c>
      <c r="AN11" s="3">
        <f>(AM11*$B$406)</f>
        <v>0</v>
      </c>
      <c r="AO11" s="3">
        <f>AN11+AK11</f>
        <v>0</v>
      </c>
      <c r="AP11" s="113">
        <v>0</v>
      </c>
      <c r="AQ11" s="3">
        <f>AB11+AD11+AH11</f>
        <v>1625.87</v>
      </c>
      <c r="AR11" s="3">
        <f>AQ11+AO11</f>
        <v>1625.87</v>
      </c>
      <c r="AS11" s="113">
        <v>0</v>
      </c>
      <c r="AU11" s="79" t="s">
        <v>994</v>
      </c>
      <c r="AV11" s="80" t="s">
        <v>1338</v>
      </c>
      <c r="AW11" s="84">
        <v>52989.120000000003</v>
      </c>
      <c r="BA11" s="3"/>
      <c r="BB11" s="3"/>
      <c r="BC11" s="3"/>
      <c r="BE11" s="118"/>
      <c r="BF11" s="118"/>
      <c r="BG11" s="118"/>
      <c r="BH11" s="3"/>
      <c r="BI11" s="3"/>
      <c r="BJ11" s="3"/>
      <c r="BK11" s="3"/>
      <c r="BL11" s="3"/>
      <c r="BM11" s="3"/>
      <c r="BN11" s="3"/>
      <c r="BO11" s="3"/>
      <c r="BP11" s="3"/>
    </row>
    <row r="12" spans="1:68" ht="22.2" customHeight="1" x14ac:dyDescent="0.3">
      <c r="A12" s="2" t="s">
        <v>763</v>
      </c>
      <c r="B12" s="3">
        <v>0</v>
      </c>
      <c r="C12" s="88">
        <v>0</v>
      </c>
      <c r="D12" s="3">
        <v>215</v>
      </c>
      <c r="E12" s="88">
        <v>0</v>
      </c>
      <c r="F12" s="3">
        <v>0</v>
      </c>
      <c r="G12" s="88">
        <v>0</v>
      </c>
      <c r="H12" s="3">
        <v>0</v>
      </c>
      <c r="I12" s="88">
        <v>0</v>
      </c>
      <c r="J12" s="3">
        <v>1477.4549999999999</v>
      </c>
      <c r="K12" s="88">
        <v>0</v>
      </c>
      <c r="L12" s="3"/>
      <c r="M12" s="88">
        <v>0</v>
      </c>
      <c r="N12" s="3"/>
      <c r="O12" s="88">
        <v>0</v>
      </c>
      <c r="P12" s="3"/>
      <c r="Q12" s="88">
        <v>0</v>
      </c>
      <c r="R12" s="3">
        <v>258.20699999999999</v>
      </c>
      <c r="S12" s="88">
        <v>0</v>
      </c>
      <c r="U12" s="88">
        <v>0</v>
      </c>
      <c r="W12" s="88">
        <v>0</v>
      </c>
      <c r="X12" s="3">
        <v>85.22999999999999</v>
      </c>
      <c r="Y12" s="88">
        <v>0</v>
      </c>
      <c r="Z12" s="3">
        <v>138.37199999999999</v>
      </c>
      <c r="AA12" s="88">
        <v>0</v>
      </c>
      <c r="AB12" s="56">
        <v>2174.2639999999997</v>
      </c>
      <c r="AC12" s="88">
        <v>0</v>
      </c>
      <c r="AD12" s="101">
        <v>7697.8409999999994</v>
      </c>
      <c r="AE12" s="88">
        <v>0</v>
      </c>
      <c r="AF12" s="3">
        <v>0</v>
      </c>
      <c r="AG12" s="3">
        <v>0</v>
      </c>
      <c r="AH12" s="89">
        <f>SUM(AF12,AG12)</f>
        <v>0</v>
      </c>
      <c r="AI12" s="3">
        <f>((AF12+AG12)*-1)</f>
        <v>0</v>
      </c>
      <c r="AJ12" s="8">
        <f>AI12/($AI$224)</f>
        <v>0</v>
      </c>
      <c r="AK12" s="56">
        <f>AJ12*($G$260+$G$313-$B$406)</f>
        <v>0</v>
      </c>
      <c r="AL12" s="3">
        <v>0</v>
      </c>
      <c r="AM12" s="8">
        <f>AL12/AL$224</f>
        <v>0</v>
      </c>
      <c r="AN12" s="3">
        <f>(AM12*$B$406)</f>
        <v>0</v>
      </c>
      <c r="AO12" s="3">
        <f>AN12+AK12</f>
        <v>0</v>
      </c>
      <c r="AP12" s="113">
        <v>0</v>
      </c>
      <c r="AQ12" s="3">
        <f>AB12+AD12+AH12</f>
        <v>9872.1049999999996</v>
      </c>
      <c r="AR12" s="3">
        <f>AQ12+AO12</f>
        <v>9872.1049999999996</v>
      </c>
      <c r="AS12" s="113">
        <v>0</v>
      </c>
      <c r="AU12" s="87" t="s">
        <v>302</v>
      </c>
      <c r="AV12" s="81">
        <v>222</v>
      </c>
      <c r="AW12" s="105">
        <f>SUM(AW9:AW11)</f>
        <v>242825.55</v>
      </c>
      <c r="BA12" s="3"/>
      <c r="BB12" s="3"/>
      <c r="BC12" s="3"/>
      <c r="BE12" s="118" t="s">
        <v>981</v>
      </c>
      <c r="BF12" s="118"/>
      <c r="BG12" s="118"/>
      <c r="BH12" s="3"/>
      <c r="BI12" s="3"/>
      <c r="BJ12" s="3"/>
      <c r="BK12" s="3"/>
      <c r="BL12" s="3"/>
      <c r="BM12" s="3"/>
      <c r="BN12" s="3"/>
      <c r="BO12" s="3"/>
      <c r="BP12" s="3"/>
    </row>
    <row r="13" spans="1:68" ht="22.2" customHeight="1" x14ac:dyDescent="0.3">
      <c r="A13" s="2" t="s">
        <v>1033</v>
      </c>
      <c r="B13" s="3">
        <v>0</v>
      </c>
      <c r="C13" s="88">
        <v>0</v>
      </c>
      <c r="D13" s="3">
        <v>0</v>
      </c>
      <c r="E13" s="88">
        <v>0</v>
      </c>
      <c r="F13" s="3">
        <v>0</v>
      </c>
      <c r="G13" s="88">
        <v>0</v>
      </c>
      <c r="H13" s="3">
        <v>0</v>
      </c>
      <c r="I13" s="88">
        <v>0</v>
      </c>
      <c r="J13" s="3">
        <v>0</v>
      </c>
      <c r="K13" s="88">
        <v>0</v>
      </c>
      <c r="L13" s="3"/>
      <c r="M13" s="88">
        <v>0</v>
      </c>
      <c r="N13" s="3"/>
      <c r="O13" s="88">
        <v>0</v>
      </c>
      <c r="P13" s="3"/>
      <c r="Q13" s="88">
        <v>0</v>
      </c>
      <c r="R13" s="3">
        <v>9.74</v>
      </c>
      <c r="S13" s="88">
        <v>0</v>
      </c>
      <c r="U13" s="88">
        <v>0</v>
      </c>
      <c r="W13" s="88">
        <v>0</v>
      </c>
      <c r="Y13" s="88">
        <v>0</v>
      </c>
      <c r="Z13" s="3">
        <v>6.88</v>
      </c>
      <c r="AA13" s="88">
        <v>0</v>
      </c>
      <c r="AB13" s="56">
        <v>16.62</v>
      </c>
      <c r="AC13" s="88">
        <v>0</v>
      </c>
      <c r="AD13" s="101">
        <v>-32.067999999999998</v>
      </c>
      <c r="AE13" s="88">
        <v>0</v>
      </c>
      <c r="AF13" s="3">
        <v>0</v>
      </c>
      <c r="AG13" s="3">
        <v>0</v>
      </c>
      <c r="AH13" s="89">
        <f>SUM(AF13,AG13)</f>
        <v>0</v>
      </c>
      <c r="AI13" s="3">
        <f>((AF13+AG13)*-1)</f>
        <v>0</v>
      </c>
      <c r="AJ13" s="8">
        <f>AI13/($AI$224)</f>
        <v>0</v>
      </c>
      <c r="AK13" s="56">
        <f>AJ13*($G$260+$G$313-$B$406)</f>
        <v>0</v>
      </c>
      <c r="AL13" s="3">
        <v>0</v>
      </c>
      <c r="AM13" s="8">
        <f>AL13/AL$224</f>
        <v>0</v>
      </c>
      <c r="AN13" s="3">
        <f>(AM13*$B$406)</f>
        <v>0</v>
      </c>
      <c r="AO13" s="3">
        <f>AN13+AK13</f>
        <v>0</v>
      </c>
      <c r="AP13" s="113">
        <v>0</v>
      </c>
      <c r="AQ13" s="3">
        <f>AB13+AD13+AH13</f>
        <v>-15.447999999999997</v>
      </c>
      <c r="AR13" s="3">
        <f>AQ13+AO13</f>
        <v>-15.447999999999997</v>
      </c>
      <c r="AS13" s="113">
        <v>0</v>
      </c>
      <c r="AT13" s="70"/>
      <c r="AU13" s="70"/>
      <c r="AV13" s="70"/>
      <c r="AW13" s="3"/>
      <c r="BA13" s="3"/>
      <c r="BB13" s="3"/>
      <c r="BC13" s="3"/>
      <c r="BE13" s="118"/>
      <c r="BF13" s="118"/>
      <c r="BG13" s="118"/>
      <c r="BH13" s="3"/>
      <c r="BI13" s="3"/>
      <c r="BJ13" s="3"/>
      <c r="BK13" s="3"/>
      <c r="BL13" s="3"/>
      <c r="BM13" s="3"/>
      <c r="BN13" s="3"/>
      <c r="BO13" s="3"/>
      <c r="BP13" s="3"/>
    </row>
    <row r="14" spans="1:68" ht="22.2" customHeight="1" x14ac:dyDescent="0.3">
      <c r="A14" s="2" t="s">
        <v>764</v>
      </c>
      <c r="B14" s="3">
        <v>-3100</v>
      </c>
      <c r="C14" s="88">
        <f>$B14/$AI14</f>
        <v>-7.7263184476420568E-2</v>
      </c>
      <c r="D14" s="3">
        <v>1100</v>
      </c>
      <c r="E14" s="88">
        <f>$D14/$AI14</f>
        <v>2.741596868518149E-2</v>
      </c>
      <c r="F14" s="3">
        <v>0</v>
      </c>
      <c r="G14" s="88">
        <f>$F14/$AI14</f>
        <v>0</v>
      </c>
      <c r="H14" s="3">
        <v>0</v>
      </c>
      <c r="I14" s="88">
        <f>$H14/$AI14</f>
        <v>0</v>
      </c>
      <c r="J14" s="3">
        <v>2174.0730000000003</v>
      </c>
      <c r="K14" s="88">
        <f>$J14/$AI14</f>
        <v>5.4185742988453259E-2</v>
      </c>
      <c r="L14" s="3"/>
      <c r="M14" s="88">
        <f>$L14/$AI14</f>
        <v>0</v>
      </c>
      <c r="N14" s="3"/>
      <c r="O14" s="88">
        <f>$N14/$AI14</f>
        <v>0</v>
      </c>
      <c r="P14" s="3"/>
      <c r="Q14" s="88">
        <f>$P14/$AI14</f>
        <v>0</v>
      </c>
      <c r="R14" s="3">
        <v>54.170999999999999</v>
      </c>
      <c r="S14" s="88">
        <f>$R14/$AI14</f>
        <v>1.3501367633136059E-3</v>
      </c>
      <c r="U14" s="88">
        <f>$T14/$AI14</f>
        <v>0</v>
      </c>
      <c r="W14" s="88">
        <f>$V14/$AI14</f>
        <v>0</v>
      </c>
      <c r="X14" s="3">
        <v>40.700000000000003</v>
      </c>
      <c r="Y14" s="88">
        <f>$X14/$AI14</f>
        <v>1.0143908413517153E-3</v>
      </c>
      <c r="Z14" s="3">
        <v>41.244</v>
      </c>
      <c r="AA14" s="88">
        <f>$Z14/$AI14</f>
        <v>1.0279492840469322E-3</v>
      </c>
      <c r="AB14" s="56">
        <v>310.18799999999999</v>
      </c>
      <c r="AC14" s="88">
        <f>$AB14/AI14</f>
        <v>7.7310040859264323E-3</v>
      </c>
      <c r="AD14" s="101">
        <v>18339.909999999996</v>
      </c>
      <c r="AE14" s="88">
        <f>$AD14/$AI14</f>
        <v>0.45709672568095161</v>
      </c>
      <c r="AF14" s="3">
        <v>-35063.774999999994</v>
      </c>
      <c r="AG14" s="3">
        <v>-5058.8270000000002</v>
      </c>
      <c r="AH14" s="89">
        <f>SUM(AF14,AG14)</f>
        <v>-40122.601999999992</v>
      </c>
      <c r="AI14" s="3">
        <f>((AF14+AG14)*-1)</f>
        <v>40122.601999999992</v>
      </c>
      <c r="AJ14" s="8">
        <f>AI14/($AI$224)</f>
        <v>3.0618462372750555E-3</v>
      </c>
      <c r="AK14" s="56">
        <f>AJ14*($G$260+$G$313-$B$406)</f>
        <v>5408.213237849629</v>
      </c>
      <c r="AL14" s="3">
        <v>13621.012500042369</v>
      </c>
      <c r="AM14" s="8">
        <f>AL14/AL$224</f>
        <v>2.8908180874036168E-3</v>
      </c>
      <c r="AN14" s="3">
        <f>(AM14*$B$406)</f>
        <v>3930.3128885487558</v>
      </c>
      <c r="AO14" s="3">
        <f>AN14+AK14</f>
        <v>9338.5261263983848</v>
      </c>
      <c r="AP14" s="113">
        <f>$AO14/$AI14</f>
        <v>0.2327497634973521</v>
      </c>
      <c r="AQ14" s="3">
        <f>AB14+AD14+AH14</f>
        <v>-21472.503999999997</v>
      </c>
      <c r="AR14" s="3">
        <f>AQ14+AO14</f>
        <v>-12133.977873601612</v>
      </c>
      <c r="AS14" s="113">
        <f>AR14/AI14</f>
        <v>-0.30242250673576992</v>
      </c>
      <c r="AU14" s="114" t="s">
        <v>995</v>
      </c>
      <c r="AV14" s="114"/>
      <c r="AW14" s="114"/>
      <c r="BA14" s="3"/>
      <c r="BB14" s="3"/>
      <c r="BC14" s="3"/>
      <c r="BE14" s="118" t="s">
        <v>980</v>
      </c>
      <c r="BF14" s="118"/>
      <c r="BG14" s="118"/>
      <c r="BH14" s="3"/>
      <c r="BI14" s="3"/>
      <c r="BJ14" s="3"/>
      <c r="BK14" s="3"/>
      <c r="BL14" s="3"/>
      <c r="BM14" s="3"/>
      <c r="BN14" s="3"/>
      <c r="BO14" s="3"/>
      <c r="BP14" s="3"/>
    </row>
    <row r="15" spans="1:68" ht="22.2" customHeight="1" x14ac:dyDescent="0.3">
      <c r="A15" s="2" t="s">
        <v>765</v>
      </c>
      <c r="B15" s="3">
        <v>0</v>
      </c>
      <c r="C15" s="88">
        <f>$B15/$AI15</f>
        <v>0</v>
      </c>
      <c r="D15" s="3">
        <v>800</v>
      </c>
      <c r="E15" s="88">
        <f>$D15/$AI15</f>
        <v>1.8073194177268666E-2</v>
      </c>
      <c r="F15" s="3">
        <v>20</v>
      </c>
      <c r="G15" s="88">
        <f>$F15/$AI15</f>
        <v>4.5182985443171662E-4</v>
      </c>
      <c r="H15" s="3">
        <v>0</v>
      </c>
      <c r="I15" s="88">
        <f>$H15/$AI15</f>
        <v>0</v>
      </c>
      <c r="J15" s="3">
        <v>2448.8209999999999</v>
      </c>
      <c r="K15" s="88">
        <f>$J15/$AI15</f>
        <v>5.5322521797966533E-2</v>
      </c>
      <c r="L15" s="3"/>
      <c r="M15" s="88">
        <f>$L15/$AI15</f>
        <v>0</v>
      </c>
      <c r="N15" s="3">
        <v>10.06</v>
      </c>
      <c r="O15" s="88">
        <f>$N15/$AI15</f>
        <v>2.2727041677915346E-4</v>
      </c>
      <c r="P15" s="3">
        <v>111.93</v>
      </c>
      <c r="Q15" s="88">
        <f>$P15/$AI15</f>
        <v>2.5286657803271022E-3</v>
      </c>
      <c r="R15" s="3">
        <v>444.20499999999998</v>
      </c>
      <c r="S15" s="88">
        <f>$R15/$AI15</f>
        <v>1.0035254024392034E-2</v>
      </c>
      <c r="U15" s="88">
        <f>$T15/$AI15</f>
        <v>0</v>
      </c>
      <c r="W15" s="88">
        <f>$V15/$AI15</f>
        <v>0</v>
      </c>
      <c r="X15" s="3">
        <v>185.98000000000002</v>
      </c>
      <c r="Y15" s="88">
        <f>$X15/$AI15</f>
        <v>4.201565816360533E-3</v>
      </c>
      <c r="Z15" s="3">
        <v>44.692</v>
      </c>
      <c r="AA15" s="88">
        <f>$Z15/$AI15</f>
        <v>1.0096589927131138E-3</v>
      </c>
      <c r="AB15" s="56">
        <v>4065.6880000000001</v>
      </c>
      <c r="AC15" s="88">
        <f>$AB15/AI15</f>
        <v>9.1849960860238847E-2</v>
      </c>
      <c r="AD15" s="101">
        <v>24877.791000000005</v>
      </c>
      <c r="AE15" s="88">
        <f>$AD15/$AI15</f>
        <v>0.56202643430563359</v>
      </c>
      <c r="AF15" s="3">
        <v>-44264.450000000004</v>
      </c>
      <c r="AG15" s="3">
        <v>0</v>
      </c>
      <c r="AH15" s="89">
        <f>SUM(AF15,AG15)</f>
        <v>-44264.450000000004</v>
      </c>
      <c r="AI15" s="3">
        <f>((AF15+AG15)*-1)</f>
        <v>44264.450000000004</v>
      </c>
      <c r="AJ15" s="8">
        <f>AI15/($AI$224)</f>
        <v>3.3779199982481162E-3</v>
      </c>
      <c r="AK15" s="56">
        <f>AJ15*($G$260+$G$313-$B$406)</f>
        <v>5966.5019844957478</v>
      </c>
      <c r="AL15" s="3">
        <v>14473.401336272114</v>
      </c>
      <c r="AM15" s="8">
        <f>AL15/AL$224</f>
        <v>3.0717224853157544E-3</v>
      </c>
      <c r="AN15" s="3">
        <f>(AM15*$B$406)</f>
        <v>4176.267793081618</v>
      </c>
      <c r="AO15" s="3">
        <f>AN15+AK15</f>
        <v>10142.769777577367</v>
      </c>
      <c r="AP15" s="113">
        <f>$AO15/$AI15</f>
        <v>0.2291403096068598</v>
      </c>
      <c r="AQ15" s="3">
        <f>AB15+AD15+AH15</f>
        <v>-15320.970999999998</v>
      </c>
      <c r="AR15" s="3">
        <f>AQ15+AO15</f>
        <v>-5178.201222422631</v>
      </c>
      <c r="AS15" s="113">
        <f>AR15/AI15</f>
        <v>-0.11698329522726772</v>
      </c>
      <c r="AU15" s="75" t="s">
        <v>996</v>
      </c>
      <c r="AV15" s="76" t="s">
        <v>1325</v>
      </c>
      <c r="AW15" s="85">
        <v>199615.04</v>
      </c>
      <c r="BA15" s="3"/>
      <c r="BB15" s="3"/>
      <c r="BC15" s="3"/>
      <c r="BE15" s="118"/>
      <c r="BF15" s="118"/>
      <c r="BG15" s="118"/>
      <c r="BH15" s="3"/>
      <c r="BI15" s="3"/>
      <c r="BJ15" s="3"/>
      <c r="BK15" s="3"/>
      <c r="BL15" s="3"/>
      <c r="BM15" s="3"/>
      <c r="BN15" s="3"/>
      <c r="BO15" s="3"/>
      <c r="BP15" s="3"/>
    </row>
    <row r="16" spans="1:68" ht="22.2" customHeight="1" x14ac:dyDescent="0.3">
      <c r="A16" s="2" t="s">
        <v>766</v>
      </c>
      <c r="B16" s="3">
        <v>0</v>
      </c>
      <c r="C16" s="88">
        <f>$B16/$AI16</f>
        <v>0</v>
      </c>
      <c r="D16" s="3">
        <v>1100</v>
      </c>
      <c r="E16" s="88">
        <f>$D16/$AI16</f>
        <v>2.4345378231345454E-2</v>
      </c>
      <c r="F16" s="3">
        <v>22.5</v>
      </c>
      <c r="G16" s="88">
        <f>$F16/$AI16</f>
        <v>4.9797364564115694E-4</v>
      </c>
      <c r="H16" s="3">
        <v>47.2</v>
      </c>
      <c r="I16" s="88">
        <f>$H16/$AI16</f>
        <v>1.0446380477450049E-3</v>
      </c>
      <c r="J16" s="3">
        <v>3563.221</v>
      </c>
      <c r="K16" s="88">
        <f>$J16/$AI16</f>
        <v>7.8861784515339067E-2</v>
      </c>
      <c r="L16" s="3"/>
      <c r="M16" s="88">
        <f>$L16/$AI16</f>
        <v>0</v>
      </c>
      <c r="N16" s="3"/>
      <c r="O16" s="88">
        <f>$N16/$AI16</f>
        <v>0</v>
      </c>
      <c r="P16" s="3">
        <v>165.95</v>
      </c>
      <c r="Q16" s="88">
        <f>$P16/$AI16</f>
        <v>3.6728322886288886E-3</v>
      </c>
      <c r="R16" s="3">
        <v>117.381</v>
      </c>
      <c r="S16" s="88">
        <f>$R16/$AI16</f>
        <v>2.5978953110668735E-3</v>
      </c>
      <c r="U16" s="88">
        <f>$T16/$AI16</f>
        <v>0</v>
      </c>
      <c r="W16" s="88">
        <f>$V16/$AI16</f>
        <v>0</v>
      </c>
      <c r="X16" s="3">
        <v>310.72000000000003</v>
      </c>
      <c r="Y16" s="88">
        <f>$X16/$AI16</f>
        <v>6.8769053854942364E-3</v>
      </c>
      <c r="Z16" s="3">
        <v>32.403000000000006</v>
      </c>
      <c r="AA16" s="88">
        <f>$Z16/$AI16</f>
        <v>7.1714844620935172E-4</v>
      </c>
      <c r="AB16" s="56">
        <v>5359.375</v>
      </c>
      <c r="AC16" s="88">
        <f>$AB16/AI16</f>
        <v>0.11861455587147003</v>
      </c>
      <c r="AD16" s="101">
        <v>22589.678</v>
      </c>
      <c r="AE16" s="88">
        <f>$AD16/$AI16</f>
        <v>0.49995841366754845</v>
      </c>
      <c r="AF16" s="3">
        <v>-39774.959999999999</v>
      </c>
      <c r="AG16" s="3">
        <v>-5408.1540000000005</v>
      </c>
      <c r="AH16" s="89">
        <f>SUM(AF16,AG16)</f>
        <v>-45183.114000000001</v>
      </c>
      <c r="AI16" s="3">
        <f>((AF16+AG16)*-1)</f>
        <v>45183.114000000001</v>
      </c>
      <c r="AJ16" s="8">
        <f>AI16/($AI$224)</f>
        <v>3.4480253197255229E-3</v>
      </c>
      <c r="AK16" s="56">
        <f>AJ16*($G$260+$G$313-$B$406)</f>
        <v>6090.3307133986209</v>
      </c>
      <c r="AL16" s="3">
        <v>15150.119598227771</v>
      </c>
      <c r="AM16" s="8">
        <f>AL16/AL$224</f>
        <v>3.2153439225423679E-3</v>
      </c>
      <c r="AN16" s="3">
        <f>(AM16*$B$406)</f>
        <v>4371.5333437792888</v>
      </c>
      <c r="AO16" s="3">
        <f>AN16+AK16</f>
        <v>10461.864057177911</v>
      </c>
      <c r="AP16" s="113">
        <f>$AO16/$AI16</f>
        <v>0.23154367043355867</v>
      </c>
      <c r="AQ16" s="3">
        <f>AB16+AD16+AH16</f>
        <v>-17234.061000000002</v>
      </c>
      <c r="AR16" s="3">
        <f>AQ16+AO16</f>
        <v>-6772.1969428220909</v>
      </c>
      <c r="AS16" s="113">
        <f>AR16/AI16</f>
        <v>-0.14988336002742286</v>
      </c>
      <c r="AU16" s="77" t="s">
        <v>997</v>
      </c>
      <c r="AV16" s="78" t="s">
        <v>1326</v>
      </c>
      <c r="AW16" s="86">
        <v>468218.01</v>
      </c>
      <c r="BA16" s="3"/>
      <c r="BB16" s="3"/>
      <c r="BC16" s="3"/>
      <c r="BE16" s="119" t="s">
        <v>729</v>
      </c>
      <c r="BF16" s="119"/>
      <c r="BG16" s="119"/>
      <c r="BH16" s="3"/>
      <c r="BI16" s="3"/>
      <c r="BJ16" s="3"/>
      <c r="BK16" s="3"/>
      <c r="BL16" s="3"/>
      <c r="BM16" s="3"/>
      <c r="BN16" s="3"/>
      <c r="BO16" s="3"/>
      <c r="BP16" s="3"/>
    </row>
    <row r="17" spans="1:68" ht="22.2" customHeight="1" x14ac:dyDescent="0.3">
      <c r="A17" s="2" t="s">
        <v>767</v>
      </c>
      <c r="B17" s="3">
        <v>0</v>
      </c>
      <c r="C17" s="88">
        <f>$B17/$AI17</f>
        <v>0</v>
      </c>
      <c r="D17" s="3">
        <v>600</v>
      </c>
      <c r="E17" s="88">
        <f>$D17/$AI17</f>
        <v>1.8180168193826042E-2</v>
      </c>
      <c r="F17" s="3">
        <v>0</v>
      </c>
      <c r="G17" s="88">
        <f>$F17/$AI17</f>
        <v>0</v>
      </c>
      <c r="H17" s="3">
        <v>0</v>
      </c>
      <c r="I17" s="88">
        <f>$H17/$AI17</f>
        <v>0</v>
      </c>
      <c r="J17" s="3">
        <v>2727.4080000000004</v>
      </c>
      <c r="K17" s="88">
        <f>$J17/$AI17</f>
        <v>8.2641226955311176E-2</v>
      </c>
      <c r="L17" s="3"/>
      <c r="M17" s="88">
        <f>$L17/$AI17</f>
        <v>0</v>
      </c>
      <c r="N17" s="3"/>
      <c r="O17" s="88">
        <f>$N17/$AI17</f>
        <v>0</v>
      </c>
      <c r="P17" s="3"/>
      <c r="Q17" s="88">
        <f>$P17/$AI17</f>
        <v>0</v>
      </c>
      <c r="R17" s="3">
        <v>4273.5290000000005</v>
      </c>
      <c r="S17" s="88">
        <f>$R17/$AI17</f>
        <v>0.12948912666865539</v>
      </c>
      <c r="U17" s="88">
        <f>$T17/$AI17</f>
        <v>0</v>
      </c>
      <c r="W17" s="88">
        <f>$V17/$AI17</f>
        <v>0</v>
      </c>
      <c r="X17" s="3">
        <v>29.47</v>
      </c>
      <c r="Y17" s="88">
        <f>$X17/$AI17</f>
        <v>8.9294926112008918E-4</v>
      </c>
      <c r="Z17" s="3">
        <v>634.18600000000004</v>
      </c>
      <c r="AA17" s="88">
        <f>$Z17/$AI17</f>
        <v>1.9216013576949607E-2</v>
      </c>
      <c r="AB17" s="56">
        <v>8264.5929999999989</v>
      </c>
      <c r="AC17" s="88">
        <f>$AB17/AI17</f>
        <v>0.25041948465586222</v>
      </c>
      <c r="AD17" s="101">
        <v>17173.338</v>
      </c>
      <c r="AE17" s="88">
        <f>$AD17/$AI17</f>
        <v>0.5203569554823736</v>
      </c>
      <c r="AF17" s="3">
        <v>-28714.826000000001</v>
      </c>
      <c r="AG17" s="3">
        <v>-4288.1689999999999</v>
      </c>
      <c r="AH17" s="89">
        <f>SUM(AF17,AG17)</f>
        <v>-33002.995000000003</v>
      </c>
      <c r="AI17" s="3">
        <f>((AF17+AG17)*-1)</f>
        <v>33002.995000000003</v>
      </c>
      <c r="AJ17" s="8">
        <f>AI17/($AI$224)</f>
        <v>2.5185329720030995E-3</v>
      </c>
      <c r="AK17" s="56">
        <f>AJ17*($G$260+$G$313-$B$406)</f>
        <v>4448.5458457476207</v>
      </c>
      <c r="AL17" s="3">
        <v>12384.419841974875</v>
      </c>
      <c r="AM17" s="8">
        <f>AL17/AL$224</f>
        <v>2.6283732491303308E-3</v>
      </c>
      <c r="AN17" s="3">
        <f>(AM17*$B$406)</f>
        <v>3573.4968249945732</v>
      </c>
      <c r="AO17" s="3">
        <f>AN17+AK17</f>
        <v>8022.0426707421939</v>
      </c>
      <c r="AP17" s="113">
        <f>$AO17/$AI17</f>
        <v>0.24307014168690427</v>
      </c>
      <c r="AQ17" s="3">
        <f>AB17+AD17+AH17</f>
        <v>-7565.0640000000058</v>
      </c>
      <c r="AR17" s="3">
        <f>AQ17+AO17</f>
        <v>456.97867074218811</v>
      </c>
      <c r="AS17" s="113">
        <f>AR17/AI17</f>
        <v>1.3846581825140054E-2</v>
      </c>
      <c r="AU17" s="79" t="s">
        <v>998</v>
      </c>
      <c r="AV17" s="80" t="s">
        <v>1327</v>
      </c>
      <c r="AW17" s="84">
        <v>135782.46</v>
      </c>
      <c r="BA17" s="3"/>
      <c r="BB17" s="3"/>
      <c r="BC17" s="3"/>
      <c r="BE17" s="120" t="s">
        <v>982</v>
      </c>
      <c r="BF17" s="120"/>
      <c r="BG17" s="120"/>
      <c r="BH17" s="3"/>
      <c r="BI17" s="3"/>
      <c r="BJ17" s="3"/>
      <c r="BK17" s="3"/>
      <c r="BL17" s="3"/>
      <c r="BM17" s="3"/>
      <c r="BN17" s="3"/>
      <c r="BO17" s="3"/>
      <c r="BP17" s="3"/>
    </row>
    <row r="18" spans="1:68" ht="22.2" customHeight="1" x14ac:dyDescent="0.3">
      <c r="A18" s="2" t="s">
        <v>768</v>
      </c>
      <c r="B18" s="3">
        <v>0</v>
      </c>
      <c r="C18" s="88">
        <f>$B18/$AI18</f>
        <v>0</v>
      </c>
      <c r="D18" s="3">
        <v>350</v>
      </c>
      <c r="E18" s="88">
        <f>$D18/$AI18</f>
        <v>1.0770656804191644E-2</v>
      </c>
      <c r="F18" s="3">
        <v>0</v>
      </c>
      <c r="G18" s="88">
        <f>$F18/$AI18</f>
        <v>0</v>
      </c>
      <c r="H18" s="3">
        <v>0</v>
      </c>
      <c r="I18" s="88">
        <f>$H18/$AI18</f>
        <v>0</v>
      </c>
      <c r="J18" s="3">
        <v>2436.2930000000001</v>
      </c>
      <c r="K18" s="88">
        <f>$J18/$AI18</f>
        <v>7.4972787935584206E-2</v>
      </c>
      <c r="L18" s="3"/>
      <c r="M18" s="88">
        <f>$L18/$AI18</f>
        <v>0</v>
      </c>
      <c r="N18" s="3"/>
      <c r="O18" s="88">
        <f>$N18/$AI18</f>
        <v>0</v>
      </c>
      <c r="P18" s="3">
        <v>57.82</v>
      </c>
      <c r="Q18" s="88">
        <f>$P18/$AI18</f>
        <v>1.7793125040524596E-3</v>
      </c>
      <c r="R18" s="3">
        <v>240.77100000000002</v>
      </c>
      <c r="S18" s="88">
        <f>$R18/$AI18</f>
        <v>7.4093194554343614E-3</v>
      </c>
      <c r="U18" s="88">
        <f>$T18/$AI18</f>
        <v>0</v>
      </c>
      <c r="W18" s="88">
        <f>$V18/$AI18</f>
        <v>0</v>
      </c>
      <c r="X18" s="3">
        <v>345.33000000000004</v>
      </c>
      <c r="Y18" s="88">
        <f>$X18/$AI18</f>
        <v>1.0626945469118574E-2</v>
      </c>
      <c r="Z18" s="3">
        <v>131.11500000000001</v>
      </c>
      <c r="AA18" s="88">
        <f>$Z18/$AI18</f>
        <v>4.0348419053759643E-3</v>
      </c>
      <c r="AB18" s="56">
        <v>3561.3290000000002</v>
      </c>
      <c r="AC18" s="88">
        <f>$AB18/AI18</f>
        <v>0.10959386407375722</v>
      </c>
      <c r="AD18" s="101">
        <v>16467.36</v>
      </c>
      <c r="AE18" s="88">
        <f>$AD18/$AI18</f>
        <v>0.50675509437449517</v>
      </c>
      <c r="AF18" s="3">
        <v>-28423.280999999999</v>
      </c>
      <c r="AG18" s="3">
        <v>-4072.4160000000002</v>
      </c>
      <c r="AH18" s="89">
        <f>SUM(AF18,AG18)</f>
        <v>-32495.697</v>
      </c>
      <c r="AI18" s="3">
        <f>((AF18+AG18)*-1)</f>
        <v>32495.697</v>
      </c>
      <c r="AJ18" s="8">
        <f>AI18/($AI$224)</f>
        <v>2.4798199176384503E-3</v>
      </c>
      <c r="AK18" s="56">
        <f>AJ18*($G$260+$G$313-$B$406)</f>
        <v>4380.1660392950216</v>
      </c>
      <c r="AL18" s="3">
        <v>11290.267254033975</v>
      </c>
      <c r="AM18" s="8">
        <f>AL18/AL$224</f>
        <v>2.3961587869830276E-3</v>
      </c>
      <c r="AN18" s="3">
        <f>(AM18*$B$406)</f>
        <v>3257.7815271479762</v>
      </c>
      <c r="AO18" s="3">
        <f>AN18+AK18</f>
        <v>7637.9475664429974</v>
      </c>
      <c r="AP18" s="113">
        <f>$AO18/$AI18</f>
        <v>0.23504489121876651</v>
      </c>
      <c r="AQ18" s="3">
        <f>AB18+AD18+AH18</f>
        <v>-12467.007999999998</v>
      </c>
      <c r="AR18" s="3">
        <f>AQ18+AO18</f>
        <v>-4829.0604335570006</v>
      </c>
      <c r="AS18" s="113">
        <f>AR18/AI18</f>
        <v>-0.14860615033298102</v>
      </c>
      <c r="AU18" s="87" t="s">
        <v>302</v>
      </c>
      <c r="AV18" s="82">
        <v>222</v>
      </c>
      <c r="AW18" s="106">
        <f>SUM(AW15:AW17)</f>
        <v>803615.51</v>
      </c>
      <c r="BA18" s="3"/>
      <c r="BB18" s="3"/>
      <c r="BC18" s="3"/>
      <c r="BE18" s="120"/>
      <c r="BF18" s="120"/>
      <c r="BG18" s="120"/>
      <c r="BH18" s="3"/>
      <c r="BI18" s="3"/>
      <c r="BJ18" s="3"/>
      <c r="BK18" s="3"/>
      <c r="BL18" s="3"/>
      <c r="BM18" s="3"/>
      <c r="BN18" s="3"/>
      <c r="BO18" s="3"/>
      <c r="BP18" s="3"/>
    </row>
    <row r="19" spans="1:68" ht="22.2" customHeight="1" x14ac:dyDescent="0.3">
      <c r="A19" s="2" t="s">
        <v>769</v>
      </c>
      <c r="B19" s="3">
        <v>0</v>
      </c>
      <c r="C19" s="88">
        <f>$B19/$AI19</f>
        <v>0</v>
      </c>
      <c r="D19" s="3">
        <v>2508.33</v>
      </c>
      <c r="E19" s="88">
        <f>$D19/$AI19</f>
        <v>3.159094971362314E-2</v>
      </c>
      <c r="F19" s="3">
        <v>0</v>
      </c>
      <c r="G19" s="88">
        <f>$F19/$AI19</f>
        <v>0</v>
      </c>
      <c r="H19" s="3">
        <v>0</v>
      </c>
      <c r="I19" s="88">
        <f>$H19/$AI19</f>
        <v>0</v>
      </c>
      <c r="J19" s="3">
        <v>4308.1570000000002</v>
      </c>
      <c r="K19" s="88">
        <f>$J19/$AI19</f>
        <v>5.4258718408420559E-2</v>
      </c>
      <c r="L19" s="3"/>
      <c r="M19" s="88">
        <f>$L19/$AI19</f>
        <v>0</v>
      </c>
      <c r="N19" s="3"/>
      <c r="O19" s="88">
        <f>$N19/$AI19</f>
        <v>0</v>
      </c>
      <c r="P19" s="3">
        <v>357.02</v>
      </c>
      <c r="Q19" s="88">
        <f>$P19/$AI19</f>
        <v>4.4964581481534462E-3</v>
      </c>
      <c r="R19" s="3">
        <v>11.99</v>
      </c>
      <c r="S19" s="88">
        <f>$R19/$AI19</f>
        <v>1.5100703937135124E-4</v>
      </c>
      <c r="U19" s="88">
        <f>$T19/$AI19</f>
        <v>0</v>
      </c>
      <c r="W19" s="88">
        <f>$V19/$AI19</f>
        <v>0</v>
      </c>
      <c r="X19" s="3">
        <v>109.28999999999999</v>
      </c>
      <c r="Y19" s="88">
        <f>$X19/$AI19</f>
        <v>1.3764436474474544E-3</v>
      </c>
      <c r="Z19" s="3">
        <v>35.715000000000003</v>
      </c>
      <c r="AA19" s="88">
        <f>$Z19/$AI19</f>
        <v>4.4980954221416269E-4</v>
      </c>
      <c r="AB19" s="56">
        <v>7330.5019999999986</v>
      </c>
      <c r="AC19" s="88">
        <f>$AB19/AI19</f>
        <v>9.2323386499230095E-2</v>
      </c>
      <c r="AD19" s="101">
        <v>38567.289000000012</v>
      </c>
      <c r="AE19" s="88">
        <f>$AD19/$AI19</f>
        <v>0.48573245441778845</v>
      </c>
      <c r="AF19" s="3">
        <v>-69454.678000000014</v>
      </c>
      <c r="AG19" s="3">
        <v>-9945.5939999999991</v>
      </c>
      <c r="AH19" s="89">
        <f>SUM(AF19,AG19)</f>
        <v>-79400.272000000012</v>
      </c>
      <c r="AI19" s="3">
        <f>((AF19+AG19)*-1)</f>
        <v>79400.272000000012</v>
      </c>
      <c r="AJ19" s="8">
        <f>AI19/($AI$224)</f>
        <v>6.0592138082623858E-3</v>
      </c>
      <c r="AK19" s="56">
        <f>AJ19*($G$260+$G$313-$B$406)</f>
        <v>10702.536244266046</v>
      </c>
      <c r="AL19" s="3">
        <v>29744.15329317073</v>
      </c>
      <c r="AM19" s="8">
        <f>AL19/AL$224</f>
        <v>6.3126684843829587E-3</v>
      </c>
      <c r="AN19" s="3">
        <f>(AM19*$B$406)</f>
        <v>8582.6093358885919</v>
      </c>
      <c r="AO19" s="3">
        <f>AN19+AK19</f>
        <v>19285.14558015464</v>
      </c>
      <c r="AP19" s="113">
        <f>$AO19/$AI19</f>
        <v>0.2428851324357508</v>
      </c>
      <c r="AQ19" s="3">
        <f>AB19+AD19+AH19</f>
        <v>-33502.481</v>
      </c>
      <c r="AR19" s="3">
        <f>AQ19+AO19</f>
        <v>-14217.33541984536</v>
      </c>
      <c r="AS19" s="113">
        <f>AR19/AI19</f>
        <v>-0.17905902664723061</v>
      </c>
      <c r="AT19" s="70"/>
      <c r="AU19" s="70"/>
      <c r="AV19" s="70"/>
      <c r="AW19" s="3"/>
      <c r="BA19" s="3"/>
      <c r="BB19" s="3"/>
      <c r="BC19" s="3"/>
      <c r="BE19" s="120"/>
      <c r="BF19" s="120"/>
      <c r="BG19" s="120"/>
      <c r="BH19" s="3"/>
      <c r="BI19" s="3"/>
      <c r="BJ19" s="3"/>
      <c r="BK19" s="3"/>
      <c r="BL19" s="3"/>
      <c r="BM19" s="3"/>
      <c r="BN19" s="3"/>
      <c r="BO19" s="3"/>
      <c r="BP19" s="3"/>
    </row>
    <row r="20" spans="1:68" ht="22.2" customHeight="1" x14ac:dyDescent="0.3">
      <c r="A20" s="2" t="s">
        <v>770</v>
      </c>
      <c r="B20" s="3">
        <v>0</v>
      </c>
      <c r="C20" s="88">
        <f>$B20/$AI20</f>
        <v>0</v>
      </c>
      <c r="D20" s="3">
        <v>1030</v>
      </c>
      <c r="E20" s="88">
        <f>$D20/$AI20</f>
        <v>2.1256953371304302E-2</v>
      </c>
      <c r="F20" s="3">
        <v>66.98</v>
      </c>
      <c r="G20" s="88">
        <f>$F20/$AI20</f>
        <v>1.3823211036989925E-3</v>
      </c>
      <c r="H20" s="3">
        <v>0</v>
      </c>
      <c r="I20" s="88">
        <f>$H20/$AI20</f>
        <v>0</v>
      </c>
      <c r="J20" s="3">
        <v>3584.88</v>
      </c>
      <c r="K20" s="88">
        <f>$J20/$AI20</f>
        <v>7.398410388516638E-2</v>
      </c>
      <c r="L20" s="3"/>
      <c r="M20" s="88">
        <f>$L20/$AI20</f>
        <v>0</v>
      </c>
      <c r="N20" s="3"/>
      <c r="O20" s="88">
        <f>$N20/$AI20</f>
        <v>0</v>
      </c>
      <c r="P20" s="3">
        <v>183.06</v>
      </c>
      <c r="Q20" s="88">
        <f>$P20/$AI20</f>
        <v>3.7779591108261803E-3</v>
      </c>
      <c r="R20" s="3">
        <v>932.26799999999992</v>
      </c>
      <c r="S20" s="88">
        <f>$R20/$AI20</f>
        <v>1.9239978063649629E-2</v>
      </c>
      <c r="U20" s="88">
        <f>$T20/$AI20</f>
        <v>0</v>
      </c>
      <c r="W20" s="88">
        <f>$V20/$AI20</f>
        <v>0</v>
      </c>
      <c r="X20" s="3">
        <v>273.55</v>
      </c>
      <c r="Y20" s="88">
        <f>$X20/$AI20</f>
        <v>5.6454753346798954E-3</v>
      </c>
      <c r="Z20" s="3">
        <v>32.210999999999999</v>
      </c>
      <c r="AA20" s="88">
        <f>$Z20/$AI20</f>
        <v>6.6476478159522613E-4</v>
      </c>
      <c r="AB20" s="56">
        <v>6102.9489999999996</v>
      </c>
      <c r="AC20" s="88">
        <f>$AB20/AI20</f>
        <v>0.12595155565092059</v>
      </c>
      <c r="AD20" s="101">
        <v>23941.995999999999</v>
      </c>
      <c r="AE20" s="88">
        <f>$AD20/$AI20</f>
        <v>0.49411057532811081</v>
      </c>
      <c r="AF20" s="3">
        <v>-42456.901000000005</v>
      </c>
      <c r="AG20" s="3">
        <v>-5997.8320000000003</v>
      </c>
      <c r="AH20" s="89">
        <f>SUM(AF20,AG20)</f>
        <v>-48454.733000000007</v>
      </c>
      <c r="AI20" s="3">
        <f>((AF20+AG20)*-1)</f>
        <v>48454.733000000007</v>
      </c>
      <c r="AJ20" s="8">
        <f>AI20/($AI$224)</f>
        <v>3.6976899432947423E-3</v>
      </c>
      <c r="AK20" s="56">
        <f>AJ20*($G$260+$G$313-$B$406)</f>
        <v>6531.3193906783354</v>
      </c>
      <c r="AL20" s="3">
        <v>22349.89968361862</v>
      </c>
      <c r="AM20" s="8">
        <f>AL20/AL$224</f>
        <v>4.7433694269688178E-3</v>
      </c>
      <c r="AN20" s="3">
        <f>(AM20*$B$406)</f>
        <v>6449.0138882131396</v>
      </c>
      <c r="AO20" s="3">
        <f>AN20+AK20</f>
        <v>12980.333278891474</v>
      </c>
      <c r="AP20" s="113">
        <f>$AO20/$AI20</f>
        <v>0.26788576626542288</v>
      </c>
      <c r="AQ20" s="3">
        <f>AB20+AD20+AH20</f>
        <v>-18409.788000000008</v>
      </c>
      <c r="AR20" s="3">
        <f>AQ20+AO20</f>
        <v>-5429.4547211085337</v>
      </c>
      <c r="AS20" s="113">
        <f>AR20/AI20</f>
        <v>-0.11205210275554574</v>
      </c>
      <c r="AU20" s="114" t="s">
        <v>1002</v>
      </c>
      <c r="AV20" s="114"/>
      <c r="AW20" s="114"/>
      <c r="BA20" s="3"/>
      <c r="BB20" s="3"/>
      <c r="BC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</row>
    <row r="21" spans="1:68" ht="22.2" customHeight="1" x14ac:dyDescent="0.3">
      <c r="A21" s="2" t="s">
        <v>771</v>
      </c>
      <c r="B21" s="3">
        <v>0</v>
      </c>
      <c r="C21" s="88">
        <f>$B21/$AI21</f>
        <v>0</v>
      </c>
      <c r="D21" s="3">
        <v>700</v>
      </c>
      <c r="E21" s="88">
        <f>$D21/$AI21</f>
        <v>1.4391389968551523E-2</v>
      </c>
      <c r="F21" s="3">
        <v>239.18</v>
      </c>
      <c r="G21" s="88">
        <f>$F21/$AI21</f>
        <v>4.9173323609687904E-3</v>
      </c>
      <c r="H21" s="3">
        <v>0</v>
      </c>
      <c r="I21" s="88">
        <f>$H21/$AI21</f>
        <v>0</v>
      </c>
      <c r="J21" s="3">
        <v>3011.9650000000001</v>
      </c>
      <c r="K21" s="88">
        <f>$J21/$AI21</f>
        <v>6.1923375552326125E-2</v>
      </c>
      <c r="L21" s="3"/>
      <c r="M21" s="88">
        <f>$L21/$AI21</f>
        <v>0</v>
      </c>
      <c r="N21" s="3"/>
      <c r="O21" s="88">
        <f>$N21/$AI21</f>
        <v>0</v>
      </c>
      <c r="P21" s="3">
        <v>59.23</v>
      </c>
      <c r="Q21" s="88">
        <f>$P21/$AI21</f>
        <v>1.2177171826247238E-3</v>
      </c>
      <c r="R21" s="3">
        <v>2486.3919999999998</v>
      </c>
      <c r="S21" s="88">
        <f>$R21/$AI21</f>
        <v>5.1118052695266793E-2</v>
      </c>
      <c r="U21" s="88">
        <f>$T21/$AI21</f>
        <v>0</v>
      </c>
      <c r="W21" s="88">
        <f>$V21/$AI21</f>
        <v>0</v>
      </c>
      <c r="X21" s="3">
        <v>157.32</v>
      </c>
      <c r="Y21" s="88">
        <f>$X21/$AI21</f>
        <v>3.2343620997893219E-3</v>
      </c>
      <c r="Z21" s="3">
        <v>-43.906000000000034</v>
      </c>
      <c r="AA21" s="88">
        <f>$Z21/$AI21</f>
        <v>-9.0266909708460515E-4</v>
      </c>
      <c r="AB21" s="56">
        <v>6610.1810000000005</v>
      </c>
      <c r="AC21" s="88">
        <f>$AB21/AI21</f>
        <v>0.13589956076244269</v>
      </c>
      <c r="AD21" s="101">
        <v>24201.918999999998</v>
      </c>
      <c r="AE21" s="88">
        <f>$AD21/$AI21</f>
        <v>0.49757036330899496</v>
      </c>
      <c r="AF21" s="3">
        <v>-42637.384000000005</v>
      </c>
      <c r="AG21" s="3">
        <v>-6002.8099999999995</v>
      </c>
      <c r="AH21" s="89">
        <f>SUM(AF21,AG21)</f>
        <v>-48640.194000000003</v>
      </c>
      <c r="AI21" s="3">
        <f>((AF21+AG21)*-1)</f>
        <v>48640.194000000003</v>
      </c>
      <c r="AJ21" s="8">
        <f>AI21/($AI$224)</f>
        <v>3.7118428904294085E-3</v>
      </c>
      <c r="AK21" s="56">
        <f>AJ21*($G$260+$G$313-$B$406)</f>
        <v>6556.318084315024</v>
      </c>
      <c r="AL21" s="3">
        <v>17717.492914663406</v>
      </c>
      <c r="AM21" s="8">
        <f>AL21/AL$224</f>
        <v>3.760223330020076E-3</v>
      </c>
      <c r="AN21" s="3">
        <f>(AM21*$B$406)</f>
        <v>5112.343209071737</v>
      </c>
      <c r="AO21" s="3">
        <f>AN21+AK21</f>
        <v>11668.661293386762</v>
      </c>
      <c r="AP21" s="113">
        <f>$AO21/$AI21</f>
        <v>0.23989750726295955</v>
      </c>
      <c r="AQ21" s="3">
        <f>AB21+AD21+AH21</f>
        <v>-17828.094000000005</v>
      </c>
      <c r="AR21" s="3">
        <f>AQ21+AO21</f>
        <v>-6159.4327066132428</v>
      </c>
      <c r="AS21" s="113">
        <f>AR21/AI21</f>
        <v>-0.12663256866560282</v>
      </c>
      <c r="AU21" s="75" t="s">
        <v>999</v>
      </c>
      <c r="AV21" s="76" t="s">
        <v>1328</v>
      </c>
      <c r="AW21" s="85">
        <v>876718.67</v>
      </c>
      <c r="BA21" s="3"/>
      <c r="BB21" s="3"/>
      <c r="BC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</row>
    <row r="22" spans="1:68" ht="27.45" customHeight="1" x14ac:dyDescent="0.3">
      <c r="A22" s="2" t="s">
        <v>1034</v>
      </c>
      <c r="B22" s="3">
        <v>0</v>
      </c>
      <c r="C22" s="88">
        <f>$B22/$AI22</f>
        <v>0</v>
      </c>
      <c r="D22" s="3">
        <v>400</v>
      </c>
      <c r="E22" s="88">
        <f>$D22/$AI22</f>
        <v>0.14770612389589674</v>
      </c>
      <c r="F22" s="3">
        <v>0</v>
      </c>
      <c r="G22" s="88">
        <f>$F22/$AI22</f>
        <v>0</v>
      </c>
      <c r="H22" s="3">
        <v>0</v>
      </c>
      <c r="I22" s="88">
        <f>$H22/$AI22</f>
        <v>0</v>
      </c>
      <c r="J22" s="3">
        <v>0</v>
      </c>
      <c r="K22" s="88">
        <f>$J22/$AI22</f>
        <v>0</v>
      </c>
      <c r="L22" s="3"/>
      <c r="M22" s="88">
        <f>$L22/$AI22</f>
        <v>0</v>
      </c>
      <c r="N22" s="3">
        <v>240</v>
      </c>
      <c r="O22" s="88">
        <f>$N22/$AI22</f>
        <v>8.8623674337538053E-2</v>
      </c>
      <c r="P22" s="3">
        <v>87.56</v>
      </c>
      <c r="Q22" s="88">
        <f>$P22/$AI22</f>
        <v>3.2332870520811803E-2</v>
      </c>
      <c r="R22" s="3">
        <v>2.3149999999999999</v>
      </c>
      <c r="S22" s="88">
        <f>$R22/$AI22</f>
        <v>8.5484919204750244E-4</v>
      </c>
      <c r="U22" s="88">
        <f>$T22/$AI22</f>
        <v>0</v>
      </c>
      <c r="W22" s="88">
        <f>$V22/$AI22</f>
        <v>0</v>
      </c>
      <c r="X22" s="3">
        <v>53.98</v>
      </c>
      <c r="Y22" s="88">
        <f>$X22/$AI22</f>
        <v>1.9932941419751264E-2</v>
      </c>
      <c r="Z22" s="3">
        <v>0.151</v>
      </c>
      <c r="AA22" s="88">
        <f>$Z22/$AI22</f>
        <v>5.5759061770701021E-5</v>
      </c>
      <c r="AB22" s="56">
        <v>784.00599999999997</v>
      </c>
      <c r="AC22" s="88">
        <f>$AB22/AI22</f>
        <v>0.28950621842781604</v>
      </c>
      <c r="AD22" s="101">
        <v>815.36100000000022</v>
      </c>
      <c r="AE22" s="88">
        <f>$AD22/$AI22</f>
        <v>0.30108453221470577</v>
      </c>
      <c r="AF22" s="3">
        <v>-2366.6699999999996</v>
      </c>
      <c r="AG22" s="3">
        <v>-341.41</v>
      </c>
      <c r="AH22" s="89">
        <f>SUM(AF22,AG22)</f>
        <v>-2708.0799999999995</v>
      </c>
      <c r="AI22" s="3">
        <f>((AF22+AG22)*-1)</f>
        <v>2708.0799999999995</v>
      </c>
      <c r="AJ22" s="8">
        <f>AI22/($AI$224)</f>
        <v>2.0665969166804864E-4</v>
      </c>
      <c r="AK22" s="56">
        <f>AJ22*($G$260+$G$313-$B$406)</f>
        <v>365.02802348551131</v>
      </c>
      <c r="AL22" s="3">
        <v>1079.4016364470904</v>
      </c>
      <c r="AM22" s="8">
        <f>AL22/AL$224</f>
        <v>2.2908383456843651E-4</v>
      </c>
      <c r="AN22" s="3">
        <f>(AM22*$B$406)</f>
        <v>311.45894357232413</v>
      </c>
      <c r="AO22" s="3">
        <f>AN22+AK22</f>
        <v>676.4869670578355</v>
      </c>
      <c r="AP22" s="113">
        <f>$AO22/$AI22</f>
        <v>0.2498031694255102</v>
      </c>
      <c r="AQ22" s="3">
        <f>AB22+AD22+AH22</f>
        <v>-1108.7129999999993</v>
      </c>
      <c r="AR22" s="3">
        <f>AQ22+AO22</f>
        <v>-432.22603294216378</v>
      </c>
      <c r="AS22" s="113">
        <f>AR22/AI22</f>
        <v>-0.15960607993196799</v>
      </c>
      <c r="AU22" s="77" t="s">
        <v>1000</v>
      </c>
      <c r="AV22" s="78" t="s">
        <v>1329</v>
      </c>
      <c r="AW22" s="86">
        <v>453550.48</v>
      </c>
      <c r="BA22" s="3"/>
      <c r="BB22" s="3"/>
      <c r="BC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</row>
    <row r="23" spans="1:68" ht="24.45" customHeight="1" x14ac:dyDescent="0.3">
      <c r="A23" s="2" t="s">
        <v>772</v>
      </c>
      <c r="B23" s="3">
        <v>0</v>
      </c>
      <c r="C23" s="88">
        <f>$B23/$AI23</f>
        <v>0</v>
      </c>
      <c r="D23" s="3">
        <v>2400</v>
      </c>
      <c r="E23" s="88">
        <f>$D23/$AI23</f>
        <v>2.0077592533357495E-2</v>
      </c>
      <c r="F23" s="3">
        <v>49.76</v>
      </c>
      <c r="G23" s="88">
        <f>$F23/$AI23</f>
        <v>4.1627541852494535E-4</v>
      </c>
      <c r="H23" s="3">
        <v>0</v>
      </c>
      <c r="I23" s="88">
        <f>$H23/$AI23</f>
        <v>0</v>
      </c>
      <c r="J23" s="3">
        <v>6859.2190000000001</v>
      </c>
      <c r="K23" s="88">
        <f>$J23/$AI23</f>
        <v>5.7381918407943273E-2</v>
      </c>
      <c r="L23" s="3"/>
      <c r="M23" s="88">
        <f>$L23/$AI23</f>
        <v>0</v>
      </c>
      <c r="N23" s="3"/>
      <c r="O23" s="88">
        <f>$N23/$AI23</f>
        <v>0</v>
      </c>
      <c r="P23" s="3">
        <v>200.74</v>
      </c>
      <c r="Q23" s="88">
        <f>$P23/$AI23</f>
        <v>1.6793233021442431E-3</v>
      </c>
      <c r="R23" s="3">
        <v>804.02299999999991</v>
      </c>
      <c r="S23" s="88">
        <f>$R23/$AI23</f>
        <v>6.726185908936538E-3</v>
      </c>
      <c r="U23" s="88">
        <f>$T23/$AI23</f>
        <v>0</v>
      </c>
      <c r="W23" s="88">
        <f>$V23/$AI23</f>
        <v>0</v>
      </c>
      <c r="X23" s="3">
        <v>231.44</v>
      </c>
      <c r="Y23" s="88">
        <f>$X23/$AI23</f>
        <v>1.9361491733001076E-3</v>
      </c>
      <c r="Z23" s="3">
        <v>651.37700000000007</v>
      </c>
      <c r="AA23" s="88">
        <f>$Z23/$AI23</f>
        <v>5.4492008298336692E-3</v>
      </c>
      <c r="AB23" s="56">
        <v>11196.559000000001</v>
      </c>
      <c r="AC23" s="88">
        <f>$AB23/AI23</f>
        <v>9.366664557404028E-2</v>
      </c>
      <c r="AD23" s="101">
        <v>63765.98599999999</v>
      </c>
      <c r="AE23" s="88">
        <f>$AD23/$AI23</f>
        <v>0.53344478516490768</v>
      </c>
      <c r="AF23" s="3">
        <v>-104268.81600000002</v>
      </c>
      <c r="AG23" s="3">
        <v>-15267.428</v>
      </c>
      <c r="AH23" s="89">
        <f>SUM(AF23,AG23)</f>
        <v>-119536.24400000002</v>
      </c>
      <c r="AI23" s="3">
        <f>((AF23+AG23)*-1)</f>
        <v>119536.24400000002</v>
      </c>
      <c r="AJ23" s="8">
        <f>AI23/($AI$224)</f>
        <v>9.1220803403875214E-3</v>
      </c>
      <c r="AK23" s="56">
        <f>AJ23*($G$260+$G$313-$B$406)</f>
        <v>16112.551653644585</v>
      </c>
      <c r="AL23" s="3">
        <v>41233.125569804462</v>
      </c>
      <c r="AM23" s="8">
        <f>AL23/AL$224</f>
        <v>8.7509988847748674E-3</v>
      </c>
      <c r="AN23" s="3">
        <f>(AM23*$B$406)</f>
        <v>11897.726755749445</v>
      </c>
      <c r="AO23" s="3">
        <f>AN23+AK23</f>
        <v>28010.278409394028</v>
      </c>
      <c r="AP23" s="113">
        <f>$AO23/$AI23</f>
        <v>0.23432456527071424</v>
      </c>
      <c r="AQ23" s="3">
        <f>AB23+AD23+AH23</f>
        <v>-44573.699000000037</v>
      </c>
      <c r="AR23" s="3">
        <f>AQ23+AO23</f>
        <v>-16563.420590606009</v>
      </c>
      <c r="AS23" s="113">
        <f>AR23/AI23</f>
        <v>-0.13856400399033791</v>
      </c>
      <c r="AU23" s="79" t="s">
        <v>1001</v>
      </c>
      <c r="AV23" s="80" t="s">
        <v>1330</v>
      </c>
      <c r="AW23" s="84">
        <v>83993.31</v>
      </c>
      <c r="BA23" s="3"/>
      <c r="BB23" s="3"/>
      <c r="BC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</row>
    <row r="24" spans="1:68" ht="22.2" customHeight="1" x14ac:dyDescent="0.3">
      <c r="A24" s="2" t="s">
        <v>773</v>
      </c>
      <c r="B24" s="3">
        <v>0</v>
      </c>
      <c r="C24" s="88">
        <f>$B24/$AI24</f>
        <v>0</v>
      </c>
      <c r="D24" s="3">
        <v>600</v>
      </c>
      <c r="E24" s="88">
        <f>$D24/$AI24</f>
        <v>1.5589314273352703E-2</v>
      </c>
      <c r="F24" s="3">
        <v>26.87</v>
      </c>
      <c r="G24" s="88">
        <f>$F24/$AI24</f>
        <v>6.981414575416453E-4</v>
      </c>
      <c r="H24" s="3">
        <v>0</v>
      </c>
      <c r="I24" s="88">
        <f>$H24/$AI24</f>
        <v>0</v>
      </c>
      <c r="J24" s="3">
        <v>2970.4279999999999</v>
      </c>
      <c r="K24" s="88">
        <f>$J24/$AI24</f>
        <v>7.7178226030610877E-2</v>
      </c>
      <c r="L24" s="3"/>
      <c r="M24" s="88">
        <f>$L24/$AI24</f>
        <v>0</v>
      </c>
      <c r="N24" s="3"/>
      <c r="O24" s="88">
        <f>$N24/$AI24</f>
        <v>0</v>
      </c>
      <c r="P24" s="3">
        <v>146.84</v>
      </c>
      <c r="Q24" s="88">
        <f>$P24/$AI24</f>
        <v>3.8152248464985187E-3</v>
      </c>
      <c r="R24" s="3">
        <v>85.384999999999991</v>
      </c>
      <c r="S24" s="88">
        <f>$R24/$AI24</f>
        <v>2.2184893320503674E-3</v>
      </c>
      <c r="U24" s="88">
        <f>$T24/$AI24</f>
        <v>0</v>
      </c>
      <c r="W24" s="88">
        <f>$V24/$AI24</f>
        <v>0</v>
      </c>
      <c r="X24" s="3">
        <v>172.28</v>
      </c>
      <c r="Y24" s="88">
        <f>$X24/$AI24</f>
        <v>4.4762117716886729E-3</v>
      </c>
      <c r="Z24" s="3">
        <v>26.776999999999997</v>
      </c>
      <c r="AA24" s="88">
        <f>$Z24/$AI24</f>
        <v>6.9572511382927555E-4</v>
      </c>
      <c r="AB24" s="56">
        <v>4028.579999999999</v>
      </c>
      <c r="AC24" s="88">
        <f>$AB24/AI24</f>
        <v>0.10467133282557203</v>
      </c>
      <c r="AD24" s="101">
        <v>19262.202999999998</v>
      </c>
      <c r="AE24" s="88">
        <f>$AD24/$AI24</f>
        <v>0.50047422694019539</v>
      </c>
      <c r="AF24" s="3">
        <v>-33678.030999999995</v>
      </c>
      <c r="AG24" s="3">
        <v>-4809.8710000000001</v>
      </c>
      <c r="AH24" s="89">
        <f>SUM(AF24,AG24)</f>
        <v>-38487.901999999995</v>
      </c>
      <c r="AI24" s="3">
        <f>((AF24+AG24)*-1)</f>
        <v>38487.901999999995</v>
      </c>
      <c r="AJ24" s="8">
        <f>AI24/($AI$224)</f>
        <v>2.9370985939374292E-3</v>
      </c>
      <c r="AK24" s="56">
        <f>AJ24*($G$260+$G$313-$B$406)</f>
        <v>5187.8684511403126</v>
      </c>
      <c r="AL24" s="3">
        <v>17686.950626719681</v>
      </c>
      <c r="AM24" s="8">
        <f>AL24/AL$224</f>
        <v>3.7537412716255082E-3</v>
      </c>
      <c r="AN24" s="3">
        <f>(AM24*$B$406)</f>
        <v>5103.5302997560293</v>
      </c>
      <c r="AO24" s="3">
        <f>AN24+AK24</f>
        <v>10291.398750896342</v>
      </c>
      <c r="AP24" s="113">
        <f>$AO24/$AI24</f>
        <v>0.26739308240018755</v>
      </c>
      <c r="AQ24" s="3">
        <f>AB24+AD24+AH24</f>
        <v>-15197.118999999999</v>
      </c>
      <c r="AR24" s="3">
        <f>AQ24+AO24</f>
        <v>-4905.7202491036569</v>
      </c>
      <c r="AS24" s="113">
        <f>AR24/AI24</f>
        <v>-0.12746135783404502</v>
      </c>
      <c r="AU24" s="87" t="s">
        <v>302</v>
      </c>
      <c r="AV24" s="79">
        <v>222</v>
      </c>
      <c r="AW24" s="106">
        <f>SUM(AW21:AW23)</f>
        <v>1414262.46</v>
      </c>
      <c r="BA24" s="3"/>
      <c r="BB24" s="3"/>
      <c r="BC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</row>
    <row r="25" spans="1:68" ht="22.2" customHeight="1" x14ac:dyDescent="0.3">
      <c r="A25" s="2" t="s">
        <v>774</v>
      </c>
      <c r="B25" s="3">
        <v>0</v>
      </c>
      <c r="C25" s="88">
        <f>$B25/$AI25</f>
        <v>0</v>
      </c>
      <c r="D25" s="3">
        <v>1800</v>
      </c>
      <c r="E25" s="88">
        <f>$D25/$AI25</f>
        <v>2.6072260457594528E-2</v>
      </c>
      <c r="F25" s="3">
        <v>0</v>
      </c>
      <c r="G25" s="88">
        <f>$F25/$AI25</f>
        <v>0</v>
      </c>
      <c r="H25" s="3">
        <v>0</v>
      </c>
      <c r="I25" s="88">
        <f>$H25/$AI25</f>
        <v>0</v>
      </c>
      <c r="J25" s="3">
        <v>4635.0749999999998</v>
      </c>
      <c r="K25" s="88">
        <f>$J25/$AI25</f>
        <v>6.7137157022491636E-2</v>
      </c>
      <c r="L25" s="3"/>
      <c r="M25" s="88">
        <f>$L25/$AI25</f>
        <v>0</v>
      </c>
      <c r="N25" s="3"/>
      <c r="O25" s="88">
        <f>$N25/$AI25</f>
        <v>0</v>
      </c>
      <c r="P25" s="3">
        <v>115.02</v>
      </c>
      <c r="Q25" s="88">
        <f>$P25/$AI25</f>
        <v>1.6660174432402903E-3</v>
      </c>
      <c r="R25" s="3">
        <v>4133.5319999999992</v>
      </c>
      <c r="S25" s="88">
        <f>$R25/$AI25</f>
        <v>5.9872512729889783E-2</v>
      </c>
      <c r="U25" s="88">
        <f>$T25/$AI25</f>
        <v>0</v>
      </c>
      <c r="V25" s="3">
        <v>425</v>
      </c>
      <c r="W25" s="88">
        <f>$V25/$AI25</f>
        <v>6.1559503858209302E-3</v>
      </c>
      <c r="X25" s="3">
        <v>380.16999999999996</v>
      </c>
      <c r="Y25" s="88">
        <f>$X25/$AI25</f>
        <v>5.5066062545353952E-3</v>
      </c>
      <c r="Z25" s="3">
        <v>42.265999999999998</v>
      </c>
      <c r="AA25" s="88">
        <f>$Z25/$AI25</f>
        <v>6.122056447226057E-4</v>
      </c>
      <c r="AB25" s="56">
        <v>11531.063</v>
      </c>
      <c r="AC25" s="88">
        <f>$AB25/AI25</f>
        <v>0.16702270993829518</v>
      </c>
      <c r="AD25" s="101">
        <v>32236.413999999997</v>
      </c>
      <c r="AE25" s="88">
        <f>$AD25/$AI25</f>
        <v>0.46693121223713702</v>
      </c>
      <c r="AF25" s="3">
        <v>-60104.394000000008</v>
      </c>
      <c r="AG25" s="3">
        <v>-8934.4990000000016</v>
      </c>
      <c r="AH25" s="89">
        <f>SUM(AF25,AG25)</f>
        <v>-69038.893000000011</v>
      </c>
      <c r="AI25" s="3">
        <f>((AF25+AG25)*-1)</f>
        <v>69038.893000000011</v>
      </c>
      <c r="AJ25" s="8">
        <f>AI25/($AI$224)</f>
        <v>5.268513611297823E-3</v>
      </c>
      <c r="AK25" s="56">
        <f>AJ25*($G$260+$G$313-$B$406)</f>
        <v>9305.903317264525</v>
      </c>
      <c r="AL25" s="3">
        <v>28880.640412615718</v>
      </c>
      <c r="AM25" s="8">
        <f>AL25/AL$224</f>
        <v>6.12940320554949E-3</v>
      </c>
      <c r="AN25" s="3">
        <f>(AM25*$B$406)</f>
        <v>8333.4446130852994</v>
      </c>
      <c r="AO25" s="3">
        <f>AN25+AK25</f>
        <v>17639.347930349824</v>
      </c>
      <c r="AP25" s="113">
        <f>$AO25/$AI25</f>
        <v>0.25549870752345089</v>
      </c>
      <c r="AQ25" s="3">
        <f>AB25+AD25+AH25</f>
        <v>-25271.416000000012</v>
      </c>
      <c r="AR25" s="3">
        <f>AQ25+AO25</f>
        <v>-7632.0680696501877</v>
      </c>
      <c r="AS25" s="113">
        <f>AR25/AI25</f>
        <v>-0.11054737030111689</v>
      </c>
      <c r="AT25" s="70"/>
      <c r="AU25" s="70"/>
      <c r="AV25" s="70"/>
      <c r="AW25" s="3"/>
      <c r="BA25" s="3"/>
      <c r="BB25" s="3"/>
      <c r="BC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</row>
    <row r="26" spans="1:68" ht="22.2" customHeight="1" x14ac:dyDescent="0.3">
      <c r="A26" s="2" t="s">
        <v>775</v>
      </c>
      <c r="B26" s="3">
        <v>0</v>
      </c>
      <c r="C26" s="88">
        <f>$B26/$AI26</f>
        <v>0</v>
      </c>
      <c r="D26" s="3">
        <v>3650</v>
      </c>
      <c r="E26" s="88">
        <f>$D26/$AI26</f>
        <v>2.9540196004299208E-2</v>
      </c>
      <c r="F26" s="3">
        <v>128.54</v>
      </c>
      <c r="G26" s="88">
        <f>$F26/$AI26</f>
        <v>1.0403004916144164E-3</v>
      </c>
      <c r="H26" s="3">
        <v>0</v>
      </c>
      <c r="I26" s="88">
        <f>$H26/$AI26</f>
        <v>0</v>
      </c>
      <c r="J26" s="3">
        <v>4643.6729999999998</v>
      </c>
      <c r="K26" s="88">
        <f>$J26/$AI26</f>
        <v>3.7582194684896472E-2</v>
      </c>
      <c r="L26" s="3"/>
      <c r="M26" s="88">
        <f>$L26/$AI26</f>
        <v>0</v>
      </c>
      <c r="N26" s="3"/>
      <c r="O26" s="88">
        <f>$N26/$AI26</f>
        <v>0</v>
      </c>
      <c r="P26" s="3">
        <v>185.55</v>
      </c>
      <c r="Q26" s="88">
        <f>$P26/$AI26</f>
        <v>1.501694073588416E-3</v>
      </c>
      <c r="R26" s="3">
        <v>1208.2450000000001</v>
      </c>
      <c r="S26" s="88">
        <f>$R26/$AI26</f>
        <v>9.7785737318395894E-3</v>
      </c>
      <c r="U26" s="88">
        <f>$T26/$AI26</f>
        <v>0</v>
      </c>
      <c r="W26" s="88">
        <f>$V26/$AI26</f>
        <v>0</v>
      </c>
      <c r="X26" s="3">
        <v>385.90000000000003</v>
      </c>
      <c r="Y26" s="88">
        <f>$X26/$AI26</f>
        <v>3.123167572070977E-3</v>
      </c>
      <c r="Z26" s="3">
        <v>872.49699999999996</v>
      </c>
      <c r="AA26" s="88">
        <f>$Z26/$AI26</f>
        <v>7.0612965460720677E-3</v>
      </c>
      <c r="AB26" s="56">
        <v>11074.405000000001</v>
      </c>
      <c r="AC26" s="88">
        <f>$AB26/AI26</f>
        <v>8.9627423104381154E-2</v>
      </c>
      <c r="AD26" s="101">
        <v>69758.570999999996</v>
      </c>
      <c r="AE26" s="88">
        <f>$AD26/$AI26</f>
        <v>0.56457037269036237</v>
      </c>
      <c r="AF26" s="3">
        <v>-107646.38099999999</v>
      </c>
      <c r="AG26" s="3">
        <v>-15914.072</v>
      </c>
      <c r="AH26" s="89">
        <f>SUM(AF26,AG26)</f>
        <v>-123560.45299999999</v>
      </c>
      <c r="AI26" s="3">
        <f>((AF26+AG26)*-1)</f>
        <v>123560.45299999999</v>
      </c>
      <c r="AJ26" s="8">
        <f>AI26/($AI$224)</f>
        <v>9.4291768039882207E-3</v>
      </c>
      <c r="AK26" s="56">
        <f>AJ26*($G$260+$G$313-$B$406)</f>
        <v>16654.983582303485</v>
      </c>
      <c r="AL26" s="3">
        <v>28062.578058525734</v>
      </c>
      <c r="AM26" s="8">
        <f>AL26/AL$224</f>
        <v>5.9557839940687024E-3</v>
      </c>
      <c r="AN26" s="3">
        <f>(AM26*$B$406)</f>
        <v>8097.3945386942514</v>
      </c>
      <c r="AO26" s="3">
        <f>AN26+AK26</f>
        <v>24752.378120997735</v>
      </c>
      <c r="AP26" s="113">
        <f>$AO26/$AI26</f>
        <v>0.20032605514158916</v>
      </c>
      <c r="AQ26" s="3">
        <f>AB26+AD26+AH26</f>
        <v>-42727.476999999999</v>
      </c>
      <c r="AR26" s="3">
        <f>AQ26+AO26</f>
        <v>-17975.098879002264</v>
      </c>
      <c r="AS26" s="113">
        <f>AR26/AI26</f>
        <v>-0.14547614906366735</v>
      </c>
      <c r="AT26" s="70"/>
      <c r="AU26" s="70"/>
      <c r="AV26" s="70"/>
      <c r="AW26" s="3"/>
      <c r="BA26" s="3"/>
      <c r="BB26" s="3"/>
      <c r="BC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</row>
    <row r="27" spans="1:68" ht="22.2" customHeight="1" x14ac:dyDescent="0.3">
      <c r="A27" s="2" t="s">
        <v>776</v>
      </c>
      <c r="B27" s="3">
        <v>0</v>
      </c>
      <c r="C27" s="88">
        <f>$B27/$AI27</f>
        <v>0</v>
      </c>
      <c r="D27" s="3">
        <v>1200</v>
      </c>
      <c r="E27" s="88">
        <f>$D27/$AI27</f>
        <v>2.4557499440805271E-2</v>
      </c>
      <c r="F27" s="3">
        <v>0</v>
      </c>
      <c r="G27" s="88">
        <f>$F27/$AI27</f>
        <v>0</v>
      </c>
      <c r="H27" s="3">
        <v>0</v>
      </c>
      <c r="I27" s="88">
        <f>$H27/$AI27</f>
        <v>0</v>
      </c>
      <c r="J27" s="3">
        <v>2917.6459999999997</v>
      </c>
      <c r="K27" s="88">
        <f>$J27/$AI27</f>
        <v>5.9708408344556443E-2</v>
      </c>
      <c r="L27" s="3"/>
      <c r="M27" s="88">
        <f>$L27/$AI27</f>
        <v>0</v>
      </c>
      <c r="N27" s="3"/>
      <c r="O27" s="88">
        <f>$N27/$AI27</f>
        <v>0</v>
      </c>
      <c r="P27" s="3">
        <v>129.93</v>
      </c>
      <c r="Q27" s="88">
        <f>$P27/$AI27</f>
        <v>2.6589632519531908E-3</v>
      </c>
      <c r="R27" s="3">
        <v>309.56700000000001</v>
      </c>
      <c r="S27" s="88">
        <f>$R27/$AI27</f>
        <v>6.3351595244931381E-3</v>
      </c>
      <c r="U27" s="88">
        <f>$T27/$AI27</f>
        <v>0</v>
      </c>
      <c r="W27" s="88">
        <f>$V27/$AI27</f>
        <v>0</v>
      </c>
      <c r="X27" s="3">
        <v>184.93</v>
      </c>
      <c r="Y27" s="88">
        <f>$X27/$AI27</f>
        <v>3.784515309656766E-3</v>
      </c>
      <c r="Z27" s="3">
        <v>63.135999999999996</v>
      </c>
      <c r="AA27" s="88">
        <f>$Z27/$AI27</f>
        <v>1.2920519039122346E-3</v>
      </c>
      <c r="AB27" s="56">
        <v>4805.208999999998</v>
      </c>
      <c r="AC27" s="88">
        <f>$AB27/AI27</f>
        <v>9.833659777537701E-2</v>
      </c>
      <c r="AD27" s="101">
        <v>28294.647999999997</v>
      </c>
      <c r="AE27" s="88">
        <f>$AD27/$AI27</f>
        <v>0.57903816869815161</v>
      </c>
      <c r="AF27" s="3">
        <v>-43041.202000000005</v>
      </c>
      <c r="AG27" s="3">
        <v>-5823.7079999999996</v>
      </c>
      <c r="AH27" s="89">
        <f>SUM(AF27,AG27)</f>
        <v>-48864.91</v>
      </c>
      <c r="AI27" s="3">
        <f>((AF27+AG27)*-1)</f>
        <v>48864.91</v>
      </c>
      <c r="AJ27" s="8">
        <f>AI27/($AI$224)</f>
        <v>3.7289914751362403E-3</v>
      </c>
      <c r="AK27" s="56">
        <f>AJ27*($G$260+$G$313-$B$406)</f>
        <v>6586.60804521927</v>
      </c>
      <c r="AL27" s="3">
        <v>10395.796362428377</v>
      </c>
      <c r="AM27" s="8">
        <f>AL27/AL$224</f>
        <v>2.2063232199059503E-3</v>
      </c>
      <c r="AN27" s="3">
        <f>(AM27*$B$406)</f>
        <v>2999.6839390503042</v>
      </c>
      <c r="AO27" s="3">
        <f>AN27+AK27</f>
        <v>9586.2919842695737</v>
      </c>
      <c r="AP27" s="113">
        <f>$AO27/$AI27</f>
        <v>0.1961794667025801</v>
      </c>
      <c r="AQ27" s="3">
        <f>AB27+AD27+AH27</f>
        <v>-15765.053000000007</v>
      </c>
      <c r="AR27" s="3">
        <f>AQ27+AO27</f>
        <v>-6178.7610157304334</v>
      </c>
      <c r="AS27" s="113">
        <f>AR27/AI27</f>
        <v>-0.12644576682389128</v>
      </c>
      <c r="AU27" s="109" t="s">
        <v>1331</v>
      </c>
      <c r="AV27" s="70"/>
      <c r="AW27" s="3"/>
      <c r="BA27" s="3"/>
      <c r="BB27" s="3"/>
      <c r="BC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</row>
    <row r="28" spans="1:68" ht="22.2" customHeight="1" x14ac:dyDescent="0.3">
      <c r="A28" s="2" t="s">
        <v>777</v>
      </c>
      <c r="B28" s="3">
        <v>0</v>
      </c>
      <c r="C28" s="88">
        <f>$B28/$AI28</f>
        <v>0</v>
      </c>
      <c r="D28" s="3">
        <v>1200</v>
      </c>
      <c r="E28" s="88">
        <f>$D28/$AI28</f>
        <v>1.0757121243396998E-2</v>
      </c>
      <c r="F28" s="3">
        <v>0</v>
      </c>
      <c r="G28" s="88">
        <f>$F28/$AI28</f>
        <v>0</v>
      </c>
      <c r="H28" s="3">
        <v>0</v>
      </c>
      <c r="I28" s="88">
        <f>$H28/$AI28</f>
        <v>0</v>
      </c>
      <c r="J28" s="3">
        <v>3609.0410000000002</v>
      </c>
      <c r="K28" s="88">
        <f>$J28/$AI28</f>
        <v>3.2352409674492287E-2</v>
      </c>
      <c r="L28" s="3"/>
      <c r="M28" s="88">
        <f>$L28/$AI28</f>
        <v>0</v>
      </c>
      <c r="N28" s="3"/>
      <c r="O28" s="88">
        <f>$N28/$AI28</f>
        <v>0</v>
      </c>
      <c r="P28" s="3">
        <v>171.98</v>
      </c>
      <c r="Q28" s="88">
        <f>$P28/$AI28</f>
        <v>1.5416747595328464E-3</v>
      </c>
      <c r="R28" s="3">
        <v>102.43300000000001</v>
      </c>
      <c r="S28" s="88">
        <f>$R28/$AI28</f>
        <v>9.1823683360407065E-4</v>
      </c>
      <c r="T28" s="3">
        <v>6.57</v>
      </c>
      <c r="U28" s="88">
        <f>$T28/$AI28</f>
        <v>5.8895238807598572E-5</v>
      </c>
      <c r="W28" s="88">
        <f>$V28/$AI28</f>
        <v>0</v>
      </c>
      <c r="X28" s="3">
        <v>209.17000000000002</v>
      </c>
      <c r="Y28" s="88">
        <f>$X28/$AI28</f>
        <v>1.8750558754011253E-3</v>
      </c>
      <c r="Z28" s="3">
        <v>122.607</v>
      </c>
      <c r="AA28" s="88">
        <f>$Z28/$AI28</f>
        <v>1.0990819702409798E-3</v>
      </c>
      <c r="AB28" s="56">
        <v>5421.8010000000004</v>
      </c>
      <c r="AC28" s="88">
        <f>$AB28/AI28</f>
        <v>4.8602475595475911E-2</v>
      </c>
      <c r="AD28" s="101">
        <v>65230.390999999996</v>
      </c>
      <c r="AE28" s="88">
        <f>$AD28/$AI28</f>
        <v>0.58474268728432699</v>
      </c>
      <c r="AF28" s="3">
        <v>-97801.734000000011</v>
      </c>
      <c r="AG28" s="3">
        <v>-13752.275</v>
      </c>
      <c r="AH28" s="89">
        <f>SUM(AF28,AG28)</f>
        <v>-111554.00900000001</v>
      </c>
      <c r="AI28" s="3">
        <f>((AF28+AG28)*-1)</f>
        <v>111554.00900000001</v>
      </c>
      <c r="AJ28" s="8">
        <f>AI28/($AI$224)</f>
        <v>8.5129379871623917E-3</v>
      </c>
      <c r="AK28" s="56">
        <f>AJ28*($G$260+$G$313-$B$406)</f>
        <v>15036.608747583141</v>
      </c>
      <c r="AL28" s="3">
        <v>23517.645550363399</v>
      </c>
      <c r="AM28" s="8">
        <f>AL28/AL$224</f>
        <v>4.9912027560305248E-3</v>
      </c>
      <c r="AN28" s="3">
        <f>(AM28*$B$406)</f>
        <v>6785.9643631211011</v>
      </c>
      <c r="AO28" s="3">
        <f>AN28+AK28</f>
        <v>21822.573110704241</v>
      </c>
      <c r="AP28" s="113">
        <f>$AO28/$AI28</f>
        <v>0.1956233873289506</v>
      </c>
      <c r="AQ28" s="3">
        <f>AB28+AD28+AH28</f>
        <v>-40901.81700000001</v>
      </c>
      <c r="AR28" s="3">
        <f>AQ28+AO28</f>
        <v>-19079.243889295769</v>
      </c>
      <c r="AS28" s="113">
        <f>AR28/AI28</f>
        <v>-0.17103144979124657</v>
      </c>
      <c r="AU28" s="70" t="s">
        <v>1032</v>
      </c>
      <c r="AV28" s="70"/>
      <c r="AW28" s="3"/>
      <c r="BA28" s="3"/>
      <c r="BB28" s="3"/>
      <c r="BC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</row>
    <row r="29" spans="1:68" ht="22.2" customHeight="1" x14ac:dyDescent="0.3">
      <c r="A29" s="2" t="s">
        <v>778</v>
      </c>
      <c r="B29" s="3">
        <v>0</v>
      </c>
      <c r="C29" s="88">
        <f>$B29/$AI29</f>
        <v>0</v>
      </c>
      <c r="D29" s="3">
        <v>1000</v>
      </c>
      <c r="E29" s="88">
        <f>$D29/$AI29</f>
        <v>2.8736000467132428E-2</v>
      </c>
      <c r="F29" s="3">
        <v>0</v>
      </c>
      <c r="G29" s="88">
        <f>$F29/$AI29</f>
        <v>0</v>
      </c>
      <c r="H29" s="3">
        <v>0</v>
      </c>
      <c r="I29" s="88">
        <f>$H29/$AI29</f>
        <v>0</v>
      </c>
      <c r="J29" s="3">
        <v>2738.4539999999997</v>
      </c>
      <c r="K29" s="88">
        <f>$J29/$AI29</f>
        <v>7.8692215423220649E-2</v>
      </c>
      <c r="L29" s="3"/>
      <c r="M29" s="88">
        <f>$L29/$AI29</f>
        <v>0</v>
      </c>
      <c r="N29" s="3"/>
      <c r="O29" s="88">
        <f>$N29/$AI29</f>
        <v>0</v>
      </c>
      <c r="P29" s="3">
        <v>114.42</v>
      </c>
      <c r="Q29" s="88">
        <f>$P29/$AI29</f>
        <v>3.2879731734492923E-3</v>
      </c>
      <c r="R29" s="3">
        <v>75.61</v>
      </c>
      <c r="S29" s="88">
        <f>$R29/$AI29</f>
        <v>2.1727289953198826E-3</v>
      </c>
      <c r="U29" s="88">
        <f>$T29/$AI29</f>
        <v>0</v>
      </c>
      <c r="W29" s="88">
        <f>$V29/$AI29</f>
        <v>0</v>
      </c>
      <c r="X29" s="3">
        <v>186</v>
      </c>
      <c r="Y29" s="88">
        <f>$X29/$AI29</f>
        <v>5.3448960868866316E-3</v>
      </c>
      <c r="Z29" s="3">
        <v>27.423999999999999</v>
      </c>
      <c r="AA29" s="88">
        <f>$Z29/$AI29</f>
        <v>7.8805607681063964E-4</v>
      </c>
      <c r="AB29" s="56">
        <v>4141.9080000000004</v>
      </c>
      <c r="AC29" s="88">
        <f>$AB29/AI29</f>
        <v>0.11902187022281954</v>
      </c>
      <c r="AD29" s="101">
        <v>18863.316000000003</v>
      </c>
      <c r="AE29" s="88">
        <f>$AD29/$AI29</f>
        <v>0.54205625738766661</v>
      </c>
      <c r="AF29" s="3">
        <v>-30700.527999999998</v>
      </c>
      <c r="AG29" s="3">
        <v>-4099.0259999999998</v>
      </c>
      <c r="AH29" s="89">
        <f>SUM(AF29,AG29)</f>
        <v>-34799.553999999996</v>
      </c>
      <c r="AI29" s="3">
        <f>((AF29+AG29)*-1)</f>
        <v>34799.553999999996</v>
      </c>
      <c r="AJ29" s="8">
        <f>AI29/($AI$224)</f>
        <v>2.6556324406315952E-3</v>
      </c>
      <c r="AK29" s="56">
        <f>AJ29*($G$260+$G$313-$B$406)</f>
        <v>4690.7079609159709</v>
      </c>
      <c r="AL29" s="3">
        <v>8313.2577907843643</v>
      </c>
      <c r="AM29" s="8">
        <f>AL29/AL$224</f>
        <v>1.7643413796715713E-3</v>
      </c>
      <c r="AN29" s="3">
        <f>(AM29*$B$406)</f>
        <v>2398.772061977515</v>
      </c>
      <c r="AO29" s="3">
        <f>AN29+AK29</f>
        <v>7089.4800228934855</v>
      </c>
      <c r="AP29" s="113">
        <f>$AO29/$AI29</f>
        <v>0.2037233012495932</v>
      </c>
      <c r="AQ29" s="3">
        <f>AB29+AD29+AH29</f>
        <v>-11794.329999999994</v>
      </c>
      <c r="AR29" s="3">
        <f>AQ29+AO29</f>
        <v>-4704.849977106509</v>
      </c>
      <c r="AS29" s="113">
        <f>AR29/AI29</f>
        <v>-0.13519857113992062</v>
      </c>
      <c r="AU29" s="70" t="s">
        <v>1033</v>
      </c>
      <c r="AV29" s="70"/>
      <c r="AW29" s="3"/>
      <c r="BA29" s="3"/>
      <c r="BB29" s="3"/>
      <c r="BC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</row>
    <row r="30" spans="1:68" ht="22.2" customHeight="1" x14ac:dyDescent="0.3">
      <c r="A30" s="2" t="s">
        <v>779</v>
      </c>
      <c r="B30" s="3">
        <v>0</v>
      </c>
      <c r="C30" s="88">
        <f>$B30/$AI30</f>
        <v>0</v>
      </c>
      <c r="D30" s="3">
        <v>1200</v>
      </c>
      <c r="E30" s="88">
        <f>$D30/$AI30</f>
        <v>2.0241400630705175E-2</v>
      </c>
      <c r="F30" s="3">
        <v>0</v>
      </c>
      <c r="G30" s="88">
        <f>$F30/$AI30</f>
        <v>0</v>
      </c>
      <c r="H30" s="3">
        <v>0</v>
      </c>
      <c r="I30" s="88">
        <f>$H30/$AI30</f>
        <v>0</v>
      </c>
      <c r="J30" s="3">
        <v>2653.5659999999998</v>
      </c>
      <c r="K30" s="88">
        <f>$J30/$AI30</f>
        <v>4.4759910421681509E-2</v>
      </c>
      <c r="L30" s="3"/>
      <c r="M30" s="88">
        <f>$L30/$AI30</f>
        <v>0</v>
      </c>
      <c r="N30" s="3"/>
      <c r="O30" s="88">
        <f>$N30/$AI30</f>
        <v>0</v>
      </c>
      <c r="P30" s="3">
        <v>107.1</v>
      </c>
      <c r="Q30" s="88">
        <f>$P30/$AI30</f>
        <v>1.8065450062904368E-3</v>
      </c>
      <c r="R30" s="3">
        <v>93.32</v>
      </c>
      <c r="S30" s="88">
        <f>$R30/$AI30</f>
        <v>1.5741062557145058E-3</v>
      </c>
      <c r="T30" s="3">
        <v>6.57</v>
      </c>
      <c r="U30" s="88">
        <f>$T30/$AI30</f>
        <v>1.1082166845311084E-4</v>
      </c>
      <c r="W30" s="88">
        <f>$V30/$AI30</f>
        <v>0</v>
      </c>
      <c r="X30" s="3">
        <v>186.79000000000002</v>
      </c>
      <c r="Y30" s="88">
        <f>$X30/$AI30</f>
        <v>3.1507426865078503E-3</v>
      </c>
      <c r="Z30" s="3">
        <v>144.97299999999998</v>
      </c>
      <c r="AA30" s="88">
        <f>$Z30/$AI30</f>
        <v>2.4453804780293509E-3</v>
      </c>
      <c r="AB30" s="56">
        <v>4392.3190000000004</v>
      </c>
      <c r="AC30" s="88">
        <f>$AB30/AI30</f>
        <v>7.4088907147381949E-2</v>
      </c>
      <c r="AD30" s="101">
        <v>33010.968999999997</v>
      </c>
      <c r="AE30" s="88">
        <f>$AD30/$AI30</f>
        <v>0.55682354061399086</v>
      </c>
      <c r="AF30" s="3">
        <v>-52116.930999999997</v>
      </c>
      <c r="AG30" s="3">
        <v>-7167.5039999999999</v>
      </c>
      <c r="AH30" s="89">
        <f>SUM(AF30,AG30)</f>
        <v>-59284.434999999998</v>
      </c>
      <c r="AI30" s="3">
        <f>((AF30+AG30)*-1)</f>
        <v>59284.434999999998</v>
      </c>
      <c r="AJ30" s="8">
        <f>AI30/($AI$224)</f>
        <v>4.5241289244832032E-3</v>
      </c>
      <c r="AK30" s="56">
        <f>AJ30*($G$260+$G$313-$B$406)</f>
        <v>7991.0785986770225</v>
      </c>
      <c r="AL30" s="3">
        <v>14567.641770409649</v>
      </c>
      <c r="AM30" s="8">
        <f>AL30/AL$224</f>
        <v>3.0917233443979045E-3</v>
      </c>
      <c r="AN30" s="3">
        <f>(AM30*$B$406)</f>
        <v>4203.4606609328166</v>
      </c>
      <c r="AO30" s="3">
        <f>AN30+AK30</f>
        <v>12194.539259609839</v>
      </c>
      <c r="AP30" s="113">
        <f>$AO30/$AI30</f>
        <v>0.20569546221718804</v>
      </c>
      <c r="AQ30" s="3">
        <f>AB30+AD30+AH30</f>
        <v>-21881.146999999997</v>
      </c>
      <c r="AR30" s="3">
        <f>AQ30+AO30</f>
        <v>-9686.6077403901581</v>
      </c>
      <c r="AS30" s="113">
        <f>AR30/AI30</f>
        <v>-0.16339209002143917</v>
      </c>
      <c r="AU30" s="70" t="s">
        <v>1034</v>
      </c>
      <c r="AV30" s="70"/>
      <c r="AW30" s="3"/>
      <c r="BA30" s="3"/>
      <c r="BB30" s="3"/>
      <c r="BC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</row>
    <row r="31" spans="1:68" ht="22.2" customHeight="1" x14ac:dyDescent="0.3">
      <c r="A31" s="2" t="s">
        <v>780</v>
      </c>
      <c r="B31" s="3">
        <v>0</v>
      </c>
      <c r="C31" s="88">
        <f>$B31/$AI31</f>
        <v>0</v>
      </c>
      <c r="D31" s="3">
        <v>700</v>
      </c>
      <c r="E31" s="88">
        <f>$D31/$AI31</f>
        <v>9.5288515178827485E-3</v>
      </c>
      <c r="F31" s="3">
        <v>149.51</v>
      </c>
      <c r="G31" s="88">
        <f>$F31/$AI31</f>
        <v>2.0352265577694996E-3</v>
      </c>
      <c r="H31" s="3">
        <v>0</v>
      </c>
      <c r="I31" s="88">
        <f>$H31/$AI31</f>
        <v>0</v>
      </c>
      <c r="J31" s="3">
        <v>3383.4340000000002</v>
      </c>
      <c r="K31" s="88">
        <f>$J31/$AI31</f>
        <v>4.6057486009365857E-2</v>
      </c>
      <c r="L31" s="3"/>
      <c r="M31" s="88">
        <f>$L31/$AI31</f>
        <v>0</v>
      </c>
      <c r="N31" s="3"/>
      <c r="O31" s="88">
        <f>$N31/$AI31</f>
        <v>0</v>
      </c>
      <c r="P31" s="3">
        <v>85.36</v>
      </c>
      <c r="Q31" s="88">
        <f>$P31/$AI31</f>
        <v>1.1619753793806733E-3</v>
      </c>
      <c r="R31" s="3">
        <v>1287.0539999999999</v>
      </c>
      <c r="S31" s="88">
        <f>$R31/$AI31</f>
        <v>1.7520209230710088E-2</v>
      </c>
      <c r="U31" s="88">
        <f>$T31/$AI31</f>
        <v>0</v>
      </c>
      <c r="W31" s="88">
        <f>$V31/$AI31</f>
        <v>0</v>
      </c>
      <c r="X31" s="3">
        <v>191.87</v>
      </c>
      <c r="Y31" s="88">
        <f>$X31/$AI31</f>
        <v>2.6118582010516613E-3</v>
      </c>
      <c r="Z31" s="3">
        <v>78.073000000000008</v>
      </c>
      <c r="AA31" s="88">
        <f>$Z31/$AI31</f>
        <v>1.0627800350795141E-3</v>
      </c>
      <c r="AB31" s="56">
        <v>5875.3009999999995</v>
      </c>
      <c r="AC31" s="88">
        <f>$AB31/AI31</f>
        <v>7.9978386931240042E-2</v>
      </c>
      <c r="AD31" s="101">
        <v>35349.548999999992</v>
      </c>
      <c r="AE31" s="88">
        <f>$AD31/$AI31</f>
        <v>0.48120086235017218</v>
      </c>
      <c r="AF31" s="3">
        <v>-64164.723999999995</v>
      </c>
      <c r="AG31" s="3">
        <v>-9296.3850000000002</v>
      </c>
      <c r="AH31" s="89">
        <f>SUM(AF31,AG31)</f>
        <v>-73461.108999999997</v>
      </c>
      <c r="AI31" s="3">
        <f>((AF31+AG31)*-1)</f>
        <v>73461.108999999997</v>
      </c>
      <c r="AJ31" s="8">
        <f>AI31/($AI$224)</f>
        <v>5.6059828865960074E-3</v>
      </c>
      <c r="AK31" s="56">
        <f>AJ31*($G$260+$G$313-$B$406)</f>
        <v>9901.9834795588431</v>
      </c>
      <c r="AL31" s="3">
        <v>24410.196369760215</v>
      </c>
      <c r="AM31" s="8">
        <f>AL31/AL$224</f>
        <v>5.1806308218685969E-3</v>
      </c>
      <c r="AN31" s="3">
        <f>(AM31*$B$406)</f>
        <v>7043.5079186496741</v>
      </c>
      <c r="AO31" s="3">
        <f>AN31+AK31</f>
        <v>16945.491398208516</v>
      </c>
      <c r="AP31" s="113">
        <f>$AO31/$AI31</f>
        <v>0.23067295918726896</v>
      </c>
      <c r="AQ31" s="3">
        <f>AB31+AD31+AH31</f>
        <v>-32236.259000000005</v>
      </c>
      <c r="AR31" s="3">
        <f>AQ31+AO31</f>
        <v>-15290.767601791489</v>
      </c>
      <c r="AS31" s="113">
        <f>AR31/AI31</f>
        <v>-0.20814779153131882</v>
      </c>
      <c r="AU31" s="70" t="s">
        <v>1040</v>
      </c>
      <c r="AV31" s="70"/>
      <c r="AW31" s="3"/>
      <c r="BA31" s="3"/>
      <c r="BB31" s="3"/>
      <c r="BC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</row>
    <row r="32" spans="1:68" ht="22.2" customHeight="1" x14ac:dyDescent="0.3">
      <c r="A32" s="2" t="s">
        <v>781</v>
      </c>
      <c r="B32" s="3">
        <v>0</v>
      </c>
      <c r="C32" s="88">
        <f>$B32/$AI32</f>
        <v>0</v>
      </c>
      <c r="D32" s="3">
        <v>2600</v>
      </c>
      <c r="E32" s="88">
        <f>$D32/$AI32</f>
        <v>1.534089220788174E-2</v>
      </c>
      <c r="F32" s="3">
        <v>0</v>
      </c>
      <c r="G32" s="88">
        <f>$F32/$AI32</f>
        <v>0</v>
      </c>
      <c r="H32" s="3">
        <v>0</v>
      </c>
      <c r="I32" s="88">
        <f>$H32/$AI32</f>
        <v>0</v>
      </c>
      <c r="J32" s="3">
        <v>11218.025000000001</v>
      </c>
      <c r="K32" s="88">
        <f>$J32/$AI32</f>
        <v>6.6190197042431759E-2</v>
      </c>
      <c r="L32" s="3"/>
      <c r="M32" s="88">
        <f>$L32/$AI32</f>
        <v>0</v>
      </c>
      <c r="N32" s="3">
        <v>228.45</v>
      </c>
      <c r="O32" s="88">
        <f>$N32/$AI32</f>
        <v>1.3479333941886858E-3</v>
      </c>
      <c r="P32" s="3">
        <v>150.84</v>
      </c>
      <c r="Q32" s="88">
        <f>$P32/$AI32</f>
        <v>8.9000776178341603E-4</v>
      </c>
      <c r="R32" s="3">
        <v>1163.7450000000001</v>
      </c>
      <c r="S32" s="88">
        <f>$R32/$AI32</f>
        <v>6.8664948471005138E-3</v>
      </c>
      <c r="U32" s="88">
        <f>$T32/$AI32</f>
        <v>0</v>
      </c>
      <c r="W32" s="88">
        <f>$V32/$AI32</f>
        <v>0</v>
      </c>
      <c r="X32" s="3">
        <v>352.56399999999996</v>
      </c>
      <c r="Y32" s="88">
        <f>$X32/$AI32</f>
        <v>2.080248584761391E-3</v>
      </c>
      <c r="Z32" s="3">
        <v>171.07499999999999</v>
      </c>
      <c r="AA32" s="88">
        <f>$Z32/$AI32</f>
        <v>1.0094012055628339E-3</v>
      </c>
      <c r="AB32" s="56">
        <v>15884.699000000004</v>
      </c>
      <c r="AC32" s="88">
        <f>$AB32/AI32</f>
        <v>9.3725175043710349E-2</v>
      </c>
      <c r="AD32" s="101">
        <v>84387.512999999992</v>
      </c>
      <c r="AE32" s="88">
        <f>$AD32/$AI32</f>
        <v>0.49791528485546876</v>
      </c>
      <c r="AF32" s="3">
        <v>-147246.171</v>
      </c>
      <c r="AG32" s="3">
        <v>-22235.496999999999</v>
      </c>
      <c r="AH32" s="89">
        <f>SUM(AF32,AG32)</f>
        <v>-169481.66800000001</v>
      </c>
      <c r="AI32" s="3">
        <f>((AF32+AG32)*-1)</f>
        <v>169481.66800000001</v>
      </c>
      <c r="AJ32" s="8">
        <f>AI32/($AI$224)</f>
        <v>1.2933528275481741E-2</v>
      </c>
      <c r="AK32" s="56">
        <f>AJ32*($G$260+$G$313-$B$406)</f>
        <v>22844.804543096085</v>
      </c>
      <c r="AL32" s="3">
        <v>66747.561351711047</v>
      </c>
      <c r="AM32" s="8">
        <f>AL32/AL$224</f>
        <v>1.4165984918155584E-2</v>
      </c>
      <c r="AN32" s="3">
        <f>(AM32*$B$406)</f>
        <v>19259.860502955467</v>
      </c>
      <c r="AO32" s="3">
        <f>AN32+AK32</f>
        <v>42104.665046051552</v>
      </c>
      <c r="AP32" s="113">
        <f>$AO32/$AI32</f>
        <v>0.24843197227709343</v>
      </c>
      <c r="AQ32" s="3">
        <f>AB32+AD32+AH32</f>
        <v>-69209.456000000006</v>
      </c>
      <c r="AR32" s="3">
        <f>AQ32+AO32</f>
        <v>-27104.790953948454</v>
      </c>
      <c r="AS32" s="113">
        <f>AR32/AI32</f>
        <v>-0.15992756782372741</v>
      </c>
      <c r="AT32" s="70"/>
      <c r="AU32" s="2" t="s">
        <v>754</v>
      </c>
      <c r="AV32" s="70"/>
      <c r="AW32" s="3"/>
      <c r="BA32" s="3"/>
      <c r="BB32" s="3"/>
      <c r="BC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</row>
    <row r="33" spans="1:68" ht="22.2" customHeight="1" x14ac:dyDescent="0.3">
      <c r="A33" s="2" t="s">
        <v>782</v>
      </c>
      <c r="B33" s="3">
        <v>0</v>
      </c>
      <c r="C33" s="88">
        <f>$B33/$AI33</f>
        <v>0</v>
      </c>
      <c r="D33" s="3">
        <v>1000</v>
      </c>
      <c r="E33" s="88">
        <f>$D33/$AI33</f>
        <v>1.1708941977309874E-2</v>
      </c>
      <c r="F33" s="3">
        <v>50.28</v>
      </c>
      <c r="G33" s="88">
        <f>$F33/$AI33</f>
        <v>5.8872560261914047E-4</v>
      </c>
      <c r="H33" s="3">
        <v>0</v>
      </c>
      <c r="I33" s="88">
        <f>$H33/$AI33</f>
        <v>0</v>
      </c>
      <c r="J33" s="3">
        <v>3940.9569999999994</v>
      </c>
      <c r="K33" s="88">
        <f>$J33/$AI33</f>
        <v>4.6144436848073185E-2</v>
      </c>
      <c r="L33" s="3"/>
      <c r="M33" s="88">
        <f>$L33/$AI33</f>
        <v>0</v>
      </c>
      <c r="N33" s="3"/>
      <c r="O33" s="88">
        <f>$N33/$AI33</f>
        <v>0</v>
      </c>
      <c r="P33" s="3">
        <v>183.4</v>
      </c>
      <c r="Q33" s="88">
        <f>$P33/$AI33</f>
        <v>2.147419958638631E-3</v>
      </c>
      <c r="R33" s="3">
        <v>2068.9520000000002</v>
      </c>
      <c r="S33" s="88">
        <f>$R33/$AI33</f>
        <v>2.4225238921839223E-2</v>
      </c>
      <c r="U33" s="88">
        <f>$T33/$AI33</f>
        <v>0</v>
      </c>
      <c r="W33" s="88">
        <f>$V33/$AI33</f>
        <v>0</v>
      </c>
      <c r="X33" s="3">
        <v>114.69</v>
      </c>
      <c r="Y33" s="88">
        <f>$X33/$AI33</f>
        <v>1.3428985553776696E-3</v>
      </c>
      <c r="Z33" s="3">
        <v>16.533999999999999</v>
      </c>
      <c r="AA33" s="88">
        <f>$Z33/$AI33</f>
        <v>1.9359564665284145E-4</v>
      </c>
      <c r="AB33" s="56">
        <v>7374.8129999999974</v>
      </c>
      <c r="AC33" s="88">
        <f>$AB33/AI33</f>
        <v>8.6351257510510537E-2</v>
      </c>
      <c r="AD33" s="101">
        <v>43333.13</v>
      </c>
      <c r="AE33" s="88">
        <f>$AD33/$AI33</f>
        <v>0.50738510486522581</v>
      </c>
      <c r="AF33" s="3">
        <v>-74464.668999999994</v>
      </c>
      <c r="AG33" s="3">
        <v>-10940.144</v>
      </c>
      <c r="AH33" s="89">
        <f>SUM(AF33,AG33)</f>
        <v>-85404.812999999995</v>
      </c>
      <c r="AI33" s="3">
        <f>((AF33+AG33)*-1)</f>
        <v>85404.812999999995</v>
      </c>
      <c r="AJ33" s="8">
        <f>AI33/($AI$224)</f>
        <v>6.5174338725397163E-3</v>
      </c>
      <c r="AK33" s="56">
        <f>AJ33*($G$260+$G$313-$B$406)</f>
        <v>11511.901452519758</v>
      </c>
      <c r="AL33" s="3">
        <v>29725.608533056537</v>
      </c>
      <c r="AM33" s="8">
        <f>AL33/AL$224</f>
        <v>6.3087326882764281E-3</v>
      </c>
      <c r="AN33" s="3">
        <f>(AM33*$B$406)</f>
        <v>8577.2582865674322</v>
      </c>
      <c r="AO33" s="3">
        <f>AN33+AK33</f>
        <v>20089.15973908719</v>
      </c>
      <c r="AP33" s="113">
        <f>$AO33/$AI33</f>
        <v>0.23522280575788149</v>
      </c>
      <c r="AQ33" s="3">
        <f>AB33+AD33+AH33</f>
        <v>-34696.870000000003</v>
      </c>
      <c r="AR33" s="3">
        <f>AQ33+AO33</f>
        <v>-14607.710260912812</v>
      </c>
      <c r="AS33" s="113">
        <f>AR33/AI33</f>
        <v>-0.17104083186638219</v>
      </c>
      <c r="AT33" s="70"/>
      <c r="AU33" s="70"/>
      <c r="AV33" s="70"/>
      <c r="AW33" s="3"/>
      <c r="BA33" s="3"/>
      <c r="BB33" s="3"/>
      <c r="BC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</row>
    <row r="34" spans="1:68" ht="22.2" customHeight="1" x14ac:dyDescent="0.3">
      <c r="A34" s="2" t="s">
        <v>783</v>
      </c>
      <c r="B34" s="3">
        <v>0</v>
      </c>
      <c r="C34" s="88">
        <f>$B34/$AI34</f>
        <v>0</v>
      </c>
      <c r="D34" s="3">
        <v>500</v>
      </c>
      <c r="E34" s="88">
        <f>$D34/$AI34</f>
        <v>1.9421878271979557E-2</v>
      </c>
      <c r="F34" s="3">
        <v>45.47</v>
      </c>
      <c r="G34" s="88">
        <f>$F34/$AI34</f>
        <v>1.766225610053821E-3</v>
      </c>
      <c r="H34" s="3">
        <v>0</v>
      </c>
      <c r="I34" s="88">
        <f>$H34/$AI34</f>
        <v>0</v>
      </c>
      <c r="J34" s="3">
        <v>2559.0830000000001</v>
      </c>
      <c r="K34" s="88">
        <f>$J34/$AI34</f>
        <v>9.940439702778453E-2</v>
      </c>
      <c r="L34" s="3"/>
      <c r="M34" s="88">
        <f>$L34/$AI34</f>
        <v>0</v>
      </c>
      <c r="N34" s="3"/>
      <c r="O34" s="88">
        <f>$N34/$AI34</f>
        <v>0</v>
      </c>
      <c r="P34" s="3">
        <v>22.67</v>
      </c>
      <c r="Q34" s="88">
        <f>$P34/$AI34</f>
        <v>8.8058796085155322E-4</v>
      </c>
      <c r="R34" s="3">
        <v>1804.9459999999999</v>
      </c>
      <c r="S34" s="88">
        <f>$R34/$AI34</f>
        <v>7.0110882998992832E-2</v>
      </c>
      <c r="U34" s="88">
        <f>$T34/$AI34</f>
        <v>0</v>
      </c>
      <c r="W34" s="88">
        <f>$V34/$AI34</f>
        <v>0</v>
      </c>
      <c r="X34" s="3">
        <v>93.039999999999992</v>
      </c>
      <c r="Y34" s="88">
        <f>$X34/$AI34</f>
        <v>3.6140231088499556E-3</v>
      </c>
      <c r="Z34" s="3">
        <v>179.762</v>
      </c>
      <c r="AA34" s="88">
        <f>$Z34/$AI34</f>
        <v>6.9826313638551782E-3</v>
      </c>
      <c r="AB34" s="56">
        <v>5204.9710000000005</v>
      </c>
      <c r="AC34" s="88">
        <f>$AB34/AI34</f>
        <v>0.20218062634236744</v>
      </c>
      <c r="AD34" s="101">
        <v>12712.480000000001</v>
      </c>
      <c r="AE34" s="88">
        <f>$AD34/$AI34</f>
        <v>0.49380047818994943</v>
      </c>
      <c r="AF34" s="3">
        <v>-22404.080999999998</v>
      </c>
      <c r="AG34" s="3">
        <v>-3340.0819999999999</v>
      </c>
      <c r="AH34" s="89">
        <f>SUM(AF34,AG34)</f>
        <v>-25744.162999999997</v>
      </c>
      <c r="AI34" s="3">
        <f>((AF34+AG34)*-1)</f>
        <v>25744.162999999997</v>
      </c>
      <c r="AJ34" s="8">
        <f>AI34/($AI$224)</f>
        <v>1.9645951330211761E-3</v>
      </c>
      <c r="AK34" s="56">
        <f>AJ34*($G$260+$G$313-$B$406)</f>
        <v>3470.1120115280314</v>
      </c>
      <c r="AL34" s="3">
        <v>8589.9372163407097</v>
      </c>
      <c r="AM34" s="8">
        <f>AL34/AL$224</f>
        <v>1.8230616758175618E-3</v>
      </c>
      <c r="AN34" s="3">
        <f>(AM34*$B$406)</f>
        <v>2478.6072953903754</v>
      </c>
      <c r="AO34" s="3">
        <f>AN34+AK34</f>
        <v>5948.7193069184068</v>
      </c>
      <c r="AP34" s="113">
        <f>$AO34/$AI34</f>
        <v>0.2310706045062878</v>
      </c>
      <c r="AQ34" s="3">
        <f>AB34+AD34+AH34</f>
        <v>-7826.7119999999959</v>
      </c>
      <c r="AR34" s="3">
        <f>AQ34+AO34</f>
        <v>-1877.9926930815891</v>
      </c>
      <c r="AS34" s="113">
        <f>AR34/AI34</f>
        <v>-7.2948290961395379E-2</v>
      </c>
      <c r="AT34" s="70"/>
      <c r="AU34" s="70"/>
      <c r="AV34" s="70"/>
      <c r="AW34" s="3"/>
      <c r="BA34" s="3"/>
      <c r="BB34" s="3"/>
      <c r="BC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</row>
    <row r="35" spans="1:68" ht="22.2" customHeight="1" x14ac:dyDescent="0.3">
      <c r="A35" s="2" t="s">
        <v>784</v>
      </c>
      <c r="B35" s="3">
        <v>0</v>
      </c>
      <c r="C35" s="88">
        <f>$B35/$AI35</f>
        <v>0</v>
      </c>
      <c r="D35" s="3">
        <v>600</v>
      </c>
      <c r="E35" s="88">
        <f>$D35/$AI35</f>
        <v>1.4626037095725363E-2</v>
      </c>
      <c r="F35" s="3">
        <v>70</v>
      </c>
      <c r="G35" s="88">
        <f>$F35/$AI35</f>
        <v>1.7063709945012925E-3</v>
      </c>
      <c r="H35" s="3">
        <v>0</v>
      </c>
      <c r="I35" s="88">
        <f>$H35/$AI35</f>
        <v>0</v>
      </c>
      <c r="J35" s="3">
        <v>3951.3490000000002</v>
      </c>
      <c r="K35" s="88">
        <f>$J35/$AI35</f>
        <v>9.6320961753595544E-2</v>
      </c>
      <c r="L35" s="3"/>
      <c r="M35" s="88">
        <f>$L35/$AI35</f>
        <v>0</v>
      </c>
      <c r="N35" s="3"/>
      <c r="O35" s="88">
        <f>$N35/$AI35</f>
        <v>0</v>
      </c>
      <c r="P35" s="3">
        <v>26.68</v>
      </c>
      <c r="Q35" s="88">
        <f>$P35/$AI35</f>
        <v>6.5037111618992114E-4</v>
      </c>
      <c r="R35" s="3">
        <v>629.40299999999991</v>
      </c>
      <c r="S35" s="88">
        <f>$R35/$AI35</f>
        <v>1.5342786043601384E-2</v>
      </c>
      <c r="U35" s="88">
        <f>$T35/$AI35</f>
        <v>0</v>
      </c>
      <c r="W35" s="88">
        <f>$V35/$AI35</f>
        <v>0</v>
      </c>
      <c r="X35" s="3">
        <v>45.9</v>
      </c>
      <c r="Y35" s="88">
        <f>$X35/$AI35</f>
        <v>1.1188918378229904E-3</v>
      </c>
      <c r="Z35" s="3">
        <v>93.4</v>
      </c>
      <c r="AA35" s="88">
        <f>$Z35/$AI35</f>
        <v>2.2767864412345817E-3</v>
      </c>
      <c r="AB35" s="56">
        <v>5416.732</v>
      </c>
      <c r="AC35" s="88">
        <f>$AB35/AI35</f>
        <v>0.13204220528267108</v>
      </c>
      <c r="AD35" s="101">
        <v>18104.009000000002</v>
      </c>
      <c r="AE35" s="88">
        <f>$AD35/$AI35</f>
        <v>0.44131651202557648</v>
      </c>
      <c r="AF35" s="3">
        <v>-36012.324000000001</v>
      </c>
      <c r="AG35" s="3">
        <v>-5010.4080000000004</v>
      </c>
      <c r="AH35" s="89">
        <f>SUM(AF35,AG35)</f>
        <v>-41022.732000000004</v>
      </c>
      <c r="AI35" s="3">
        <f>((AF35+AG35)*-1)</f>
        <v>41022.732000000004</v>
      </c>
      <c r="AJ35" s="8">
        <f>AI35/($AI$224)</f>
        <v>3.1305371874172827E-3</v>
      </c>
      <c r="AK35" s="56">
        <f>AJ35*($G$260+$G$313-$B$406)</f>
        <v>5529.5437283742876</v>
      </c>
      <c r="AL35" s="3">
        <v>15263.331705777138</v>
      </c>
      <c r="AM35" s="8">
        <f>AL35/AL$224</f>
        <v>3.2393711824994214E-3</v>
      </c>
      <c r="AN35" s="3">
        <f>(AM35*$B$406)</f>
        <v>4404.2004458350029</v>
      </c>
      <c r="AO35" s="3">
        <f>AN35+AK35</f>
        <v>9933.7441742092906</v>
      </c>
      <c r="AP35" s="113">
        <f>$AO35/$AI35</f>
        <v>0.24215218465238467</v>
      </c>
      <c r="AQ35" s="3">
        <f>AB35+AD35+AH35</f>
        <v>-17501.991000000002</v>
      </c>
      <c r="AR35" s="3">
        <f>AQ35+AO35</f>
        <v>-7568.2468257907112</v>
      </c>
      <c r="AS35" s="113">
        <f>AR35/AI35</f>
        <v>-0.1844890980393678</v>
      </c>
      <c r="AT35" s="70"/>
      <c r="AU35" s="70"/>
      <c r="AV35" s="70"/>
      <c r="AW35" s="3"/>
      <c r="BA35" s="3"/>
      <c r="BB35" s="3"/>
      <c r="BC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</row>
    <row r="36" spans="1:68" ht="22.2" customHeight="1" x14ac:dyDescent="0.3">
      <c r="A36" s="2" t="s">
        <v>785</v>
      </c>
      <c r="B36" s="3">
        <v>0</v>
      </c>
      <c r="C36" s="88">
        <f>$B36/$AI36</f>
        <v>0</v>
      </c>
      <c r="D36" s="3">
        <v>1007</v>
      </c>
      <c r="E36" s="88">
        <f>$D36/$AI36</f>
        <v>1.3376157049207535E-2</v>
      </c>
      <c r="F36" s="3">
        <v>24.51</v>
      </c>
      <c r="G36" s="88">
        <f>$F36/$AI36</f>
        <v>3.2557061497127775E-4</v>
      </c>
      <c r="H36" s="3">
        <v>0</v>
      </c>
      <c r="I36" s="88">
        <f>$H36/$AI36</f>
        <v>0</v>
      </c>
      <c r="J36" s="3">
        <v>6370.228000000001</v>
      </c>
      <c r="K36" s="88">
        <f>$J36/$AI36</f>
        <v>8.461685220184631E-2</v>
      </c>
      <c r="L36" s="3"/>
      <c r="M36" s="88">
        <f>$L36/$AI36</f>
        <v>0</v>
      </c>
      <c r="N36" s="3">
        <v>291.2</v>
      </c>
      <c r="O36" s="88">
        <f>$N36/$AI36</f>
        <v>3.8680605091650786E-3</v>
      </c>
      <c r="P36" s="3">
        <v>161.59</v>
      </c>
      <c r="Q36" s="88">
        <f>$P36/$AI36</f>
        <v>2.1464282200411577E-3</v>
      </c>
      <c r="R36" s="3">
        <v>1725.395</v>
      </c>
      <c r="S36" s="88">
        <f>$R36/$AI36</f>
        <v>2.2918723427921981E-2</v>
      </c>
      <c r="U36" s="88">
        <f>$T36/$AI36</f>
        <v>0</v>
      </c>
      <c r="W36" s="88">
        <f>$V36/$AI36</f>
        <v>0</v>
      </c>
      <c r="X36" s="3">
        <v>123.68</v>
      </c>
      <c r="Y36" s="88">
        <f>$X36/$AI36</f>
        <v>1.6428630624091241E-3</v>
      </c>
      <c r="Z36" s="3">
        <v>28.607999999999997</v>
      </c>
      <c r="AA36" s="88">
        <f>$Z36/$AI36</f>
        <v>3.8000506540588789E-4</v>
      </c>
      <c r="AB36" s="56">
        <v>9732.2109999999993</v>
      </c>
      <c r="AC36" s="88">
        <f>$AB36/AI36</f>
        <v>0.12927466015096833</v>
      </c>
      <c r="AD36" s="101">
        <v>36033.336999999992</v>
      </c>
      <c r="AE36" s="88">
        <f>$AD36/$AI36</f>
        <v>0.47863711491461824</v>
      </c>
      <c r="AF36" s="3">
        <v>-65915.318999999989</v>
      </c>
      <c r="AG36" s="3">
        <v>-9367.8880000000008</v>
      </c>
      <c r="AH36" s="89">
        <f>SUM(AF36,AG36)</f>
        <v>-75283.206999999995</v>
      </c>
      <c r="AI36" s="3">
        <f>((AF36+AG36)*-1)</f>
        <v>75283.206999999995</v>
      </c>
      <c r="AJ36" s="8">
        <f>AI36/($AI$224)</f>
        <v>5.7450312939063414E-3</v>
      </c>
      <c r="AK36" s="56">
        <f>AJ36*($G$260+$G$313-$B$406)</f>
        <v>10147.588052369434</v>
      </c>
      <c r="AL36" s="3">
        <v>27392.171050009889</v>
      </c>
      <c r="AM36" s="8">
        <f>AL36/AL$224</f>
        <v>5.813502008340128E-3</v>
      </c>
      <c r="AN36" s="3">
        <f>(AM36*$B$406)</f>
        <v>7903.9500861518982</v>
      </c>
      <c r="AO36" s="3">
        <f>AN36+AK36</f>
        <v>18051.538138521333</v>
      </c>
      <c r="AP36" s="113">
        <f>$AO36/$AI36</f>
        <v>0.23978173696188759</v>
      </c>
      <c r="AQ36" s="3">
        <f>AB36+AD36+AH36</f>
        <v>-29517.659</v>
      </c>
      <c r="AR36" s="3">
        <f>AQ36+AO36</f>
        <v>-11466.120861478666</v>
      </c>
      <c r="AS36" s="113">
        <f>AR36/AI36</f>
        <v>-0.15230648797252577</v>
      </c>
      <c r="AT36" s="70"/>
      <c r="AU36" s="70"/>
      <c r="AV36" s="70"/>
      <c r="AW36" s="3"/>
      <c r="BA36" s="3"/>
      <c r="BB36" s="3"/>
      <c r="BC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</row>
    <row r="37" spans="1:68" ht="22.2" customHeight="1" x14ac:dyDescent="0.3">
      <c r="A37" s="2" t="s">
        <v>786</v>
      </c>
      <c r="B37" s="3">
        <v>0</v>
      </c>
      <c r="C37" s="88">
        <f>$B37/$AI37</f>
        <v>0</v>
      </c>
      <c r="D37" s="3">
        <v>2212.9699999999998</v>
      </c>
      <c r="E37" s="88">
        <f>$D37/$AI37</f>
        <v>4.6472404761358763E-2</v>
      </c>
      <c r="F37" s="3">
        <v>11.43</v>
      </c>
      <c r="G37" s="88">
        <f>$F37/$AI37</f>
        <v>2.4003017954257432E-4</v>
      </c>
      <c r="H37" s="3">
        <v>0</v>
      </c>
      <c r="I37" s="88">
        <f>$H37/$AI37</f>
        <v>0</v>
      </c>
      <c r="J37" s="3">
        <v>3744.306</v>
      </c>
      <c r="K37" s="88">
        <f>$J37/$AI37</f>
        <v>7.8630484815602655E-2</v>
      </c>
      <c r="L37" s="3"/>
      <c r="M37" s="88">
        <f>$L37/$AI37</f>
        <v>0</v>
      </c>
      <c r="N37" s="3">
        <v>29.14</v>
      </c>
      <c r="O37" s="88">
        <f>$N37/$AI37</f>
        <v>6.1194045773146249E-4</v>
      </c>
      <c r="P37" s="3">
        <v>482.9</v>
      </c>
      <c r="Q37" s="88">
        <f>$P37/$AI37</f>
        <v>1.0140907585398875E-2</v>
      </c>
      <c r="R37" s="3">
        <v>153.69200000000001</v>
      </c>
      <c r="S37" s="88">
        <f>$R37/$AI37</f>
        <v>3.2275344141957422E-3</v>
      </c>
      <c r="U37" s="88">
        <f>$T37/$AI37</f>
        <v>0</v>
      </c>
      <c r="W37" s="88">
        <f>$V37/$AI37</f>
        <v>0</v>
      </c>
      <c r="X37" s="3">
        <v>976.26</v>
      </c>
      <c r="Y37" s="88">
        <f>$X37/$AI37</f>
        <v>2.0501475335103554E-2</v>
      </c>
      <c r="Z37" s="3">
        <v>279.31099999999998</v>
      </c>
      <c r="AA37" s="88">
        <f>$Z37/$AI37</f>
        <v>5.8655353874204697E-3</v>
      </c>
      <c r="AB37" s="56">
        <v>7890.009</v>
      </c>
      <c r="AC37" s="88">
        <f>$AB37/AI37</f>
        <v>0.16569031293635408</v>
      </c>
      <c r="AD37" s="101">
        <v>20686.388000000003</v>
      </c>
      <c r="AE37" s="88">
        <f>$AD37/$AI37</f>
        <v>0.43441447294202584</v>
      </c>
      <c r="AF37" s="3">
        <v>-41597.092999999993</v>
      </c>
      <c r="AG37" s="3">
        <v>-6021.9189999999999</v>
      </c>
      <c r="AH37" s="89">
        <f>SUM(AF37,AG37)</f>
        <v>-47619.011999999995</v>
      </c>
      <c r="AI37" s="3">
        <f>((AF37+AG37)*-1)</f>
        <v>47619.011999999995</v>
      </c>
      <c r="AJ37" s="8">
        <f>AI37/($AI$224)</f>
        <v>3.6339141891883215E-3</v>
      </c>
      <c r="AK37" s="56">
        <f>AJ37*($G$260+$G$313-$B$406)</f>
        <v>6418.6707300718026</v>
      </c>
      <c r="AL37" s="3">
        <v>16151.28850686795</v>
      </c>
      <c r="AM37" s="8">
        <f>AL37/AL$224</f>
        <v>3.4278242495102908E-3</v>
      </c>
      <c r="AN37" s="3">
        <f>(AM37*$B$406)</f>
        <v>4660.4184075901139</v>
      </c>
      <c r="AO37" s="3">
        <f>AN37+AK37</f>
        <v>11079.089137661917</v>
      </c>
      <c r="AP37" s="113">
        <f>$AO37/$AI37</f>
        <v>0.23266104592136261</v>
      </c>
      <c r="AQ37" s="3">
        <f>AB37+AD37+AH37</f>
        <v>-19042.614999999991</v>
      </c>
      <c r="AR37" s="3">
        <f>AQ37+AO37</f>
        <v>-7963.5258623380741</v>
      </c>
      <c r="AS37" s="113">
        <f>AR37/AI37</f>
        <v>-0.16723416820025738</v>
      </c>
      <c r="AT37" s="70"/>
      <c r="AU37" s="70"/>
      <c r="AV37" s="70"/>
      <c r="AW37" s="3"/>
      <c r="BA37" s="3"/>
      <c r="BB37" s="3"/>
      <c r="BC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</row>
    <row r="38" spans="1:68" ht="22.2" customHeight="1" x14ac:dyDescent="0.3">
      <c r="A38" s="2" t="s">
        <v>787</v>
      </c>
      <c r="B38" s="3">
        <v>0</v>
      </c>
      <c r="C38" s="88">
        <f>$B38/$AI38</f>
        <v>0</v>
      </c>
      <c r="D38" s="3">
        <v>575</v>
      </c>
      <c r="E38" s="88">
        <f>$D38/$AI38</f>
        <v>1.2508857358736712E-2</v>
      </c>
      <c r="F38" s="3">
        <v>67.5</v>
      </c>
      <c r="G38" s="88">
        <f>$F38/$AI38</f>
        <v>1.4684310812430055E-3</v>
      </c>
      <c r="H38" s="3">
        <v>0</v>
      </c>
      <c r="I38" s="88">
        <f>$H38/$AI38</f>
        <v>0</v>
      </c>
      <c r="J38" s="3">
        <v>2136.5070000000001</v>
      </c>
      <c r="K38" s="88">
        <f>$J38/$AI38</f>
        <v>4.6478715319899999E-2</v>
      </c>
      <c r="L38" s="3"/>
      <c r="M38" s="88">
        <f>$L38/$AI38</f>
        <v>0</v>
      </c>
      <c r="N38" s="3"/>
      <c r="O38" s="88">
        <f>$N38/$AI38</f>
        <v>0</v>
      </c>
      <c r="P38" s="3"/>
      <c r="Q38" s="88">
        <f>$P38/$AI38</f>
        <v>0</v>
      </c>
      <c r="R38" s="3">
        <v>714.85299999999995</v>
      </c>
      <c r="S38" s="88">
        <f>$R38/$AI38</f>
        <v>1.5551294277330459E-2</v>
      </c>
      <c r="U38" s="88">
        <f>$T38/$AI38</f>
        <v>0</v>
      </c>
      <c r="W38" s="88">
        <f>$V38/$AI38</f>
        <v>0</v>
      </c>
      <c r="X38" s="3">
        <v>69.650000000000006</v>
      </c>
      <c r="Y38" s="88">
        <f>$X38/$AI38</f>
        <v>1.5152033304974123E-3</v>
      </c>
      <c r="Z38" s="3">
        <v>112.768</v>
      </c>
      <c r="AA38" s="88">
        <f>$Z38/$AI38</f>
        <v>2.4532153506609073E-3</v>
      </c>
      <c r="AB38" s="56">
        <v>3676.2780000000002</v>
      </c>
      <c r="AC38" s="88">
        <f>$AB38/AI38</f>
        <v>7.9975716718368506E-2</v>
      </c>
      <c r="AD38" s="101">
        <v>25348.269</v>
      </c>
      <c r="AE38" s="88">
        <f>$AD38/$AI38</f>
        <v>0.55143979341197857</v>
      </c>
      <c r="AF38" s="3">
        <v>-40119.565999999999</v>
      </c>
      <c r="AG38" s="3">
        <v>-5847.8620000000001</v>
      </c>
      <c r="AH38" s="89">
        <f>SUM(AF38,AG38)</f>
        <v>-45967.428</v>
      </c>
      <c r="AI38" s="3">
        <f>((AF38+AG38)*-1)</f>
        <v>45967.428</v>
      </c>
      <c r="AJ38" s="8">
        <f>AI38/($AI$224)</f>
        <v>3.5078780897363549E-3</v>
      </c>
      <c r="AK38" s="56">
        <f>AJ38*($G$260+$G$313-$B$406)</f>
        <v>6196.0501120914278</v>
      </c>
      <c r="AL38" s="3">
        <v>14810.769622077429</v>
      </c>
      <c r="AM38" s="8">
        <f>AL38/AL$224</f>
        <v>3.1433229146318074E-3</v>
      </c>
      <c r="AN38" s="3">
        <f>(AM38*$B$406)</f>
        <v>4273.6146622577608</v>
      </c>
      <c r="AO38" s="3">
        <f>AN38+AK38</f>
        <v>10469.664774349189</v>
      </c>
      <c r="AP38" s="113">
        <f>$AO38/$AI38</f>
        <v>0.22776268392369459</v>
      </c>
      <c r="AQ38" s="3">
        <f>AB38+AD38+AH38</f>
        <v>-16942.881000000001</v>
      </c>
      <c r="AR38" s="3">
        <f>AQ38+AO38</f>
        <v>-6473.2162256508127</v>
      </c>
      <c r="AS38" s="113">
        <f>AR38/AI38</f>
        <v>-0.14082180594595836</v>
      </c>
      <c r="AT38" s="70"/>
      <c r="AU38" s="70"/>
      <c r="AV38" s="70"/>
      <c r="AW38" s="3"/>
      <c r="BA38" s="3"/>
      <c r="BB38" s="3"/>
      <c r="BC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</row>
    <row r="39" spans="1:68" ht="22.2" customHeight="1" x14ac:dyDescent="0.3">
      <c r="A39" s="2" t="s">
        <v>788</v>
      </c>
      <c r="B39" s="3">
        <v>0</v>
      </c>
      <c r="C39" s="88">
        <f>$B39/$AI39</f>
        <v>0</v>
      </c>
      <c r="D39" s="3">
        <v>1200</v>
      </c>
      <c r="E39" s="88">
        <f>$D39/$AI39</f>
        <v>1.8084440320857157E-2</v>
      </c>
      <c r="F39" s="3">
        <v>0</v>
      </c>
      <c r="G39" s="88">
        <f>$F39/$AI39</f>
        <v>0</v>
      </c>
      <c r="H39" s="3">
        <v>0</v>
      </c>
      <c r="I39" s="88">
        <f>$H39/$AI39</f>
        <v>0</v>
      </c>
      <c r="J39" s="3">
        <v>2388.4139999999998</v>
      </c>
      <c r="K39" s="88">
        <f>$J39/$AI39</f>
        <v>3.5994275370416433E-2</v>
      </c>
      <c r="L39" s="3"/>
      <c r="M39" s="88">
        <f>$L39/$AI39</f>
        <v>0</v>
      </c>
      <c r="N39" s="3"/>
      <c r="O39" s="88">
        <f>$N39/$AI39</f>
        <v>0</v>
      </c>
      <c r="P39" s="3">
        <v>126.27</v>
      </c>
      <c r="Q39" s="88">
        <f>$P39/$AI39</f>
        <v>1.9029352327621942E-3</v>
      </c>
      <c r="R39" s="3">
        <v>731.87699999999995</v>
      </c>
      <c r="S39" s="88">
        <f>$R39/$AI39</f>
        <v>1.1029654940589976E-2</v>
      </c>
      <c r="U39" s="88">
        <f>$T39/$AI39</f>
        <v>0</v>
      </c>
      <c r="W39" s="88">
        <f>$V39/$AI39</f>
        <v>0</v>
      </c>
      <c r="X39" s="3">
        <v>356.42999999999995</v>
      </c>
      <c r="Y39" s="88">
        <f>$X39/$AI39</f>
        <v>5.3715308863025958E-3</v>
      </c>
      <c r="Z39" s="3">
        <v>516.13799999999992</v>
      </c>
      <c r="AA39" s="88">
        <f>$Z39/$AI39</f>
        <v>7.7783890486054739E-3</v>
      </c>
      <c r="AB39" s="56">
        <v>5319.128999999999</v>
      </c>
      <c r="AC39" s="88">
        <f>$AB39/AI39</f>
        <v>8.0161225799533817E-2</v>
      </c>
      <c r="AD39" s="101">
        <v>34707.770000000004</v>
      </c>
      <c r="AE39" s="88">
        <f>$AD39/$AI39</f>
        <v>0.52305882936253034</v>
      </c>
      <c r="AF39" s="3">
        <v>-59060.347000000002</v>
      </c>
      <c r="AG39" s="3">
        <v>-7295.0379999999996</v>
      </c>
      <c r="AH39" s="89">
        <f>SUM(AF39,AG39)</f>
        <v>-66355.384999999995</v>
      </c>
      <c r="AI39" s="3">
        <f>((AF39+AG39)*-1)</f>
        <v>66355.384999999995</v>
      </c>
      <c r="AJ39" s="8">
        <f>AI39/($AI$224)</f>
        <v>5.0637290643609726E-3</v>
      </c>
      <c r="AK39" s="56">
        <f>AJ39*($G$260+$G$313-$B$406)</f>
        <v>8944.1874073772378</v>
      </c>
      <c r="AL39" s="3">
        <v>27201.270850499553</v>
      </c>
      <c r="AM39" s="8">
        <f>AL39/AL$224</f>
        <v>5.7729868300718671E-3</v>
      </c>
      <c r="AN39" s="3">
        <f>(AM39*$B$406)</f>
        <v>7848.8662577977539</v>
      </c>
      <c r="AO39" s="3">
        <f>AN39+AK39</f>
        <v>16793.053665174994</v>
      </c>
      <c r="AP39" s="113">
        <f>$AO39/$AI39</f>
        <v>0.25307748067734059</v>
      </c>
      <c r="AQ39" s="3">
        <f>AB39+AD39+AH39</f>
        <v>-26328.48599999999</v>
      </c>
      <c r="AR39" s="3">
        <f>AQ39+AO39</f>
        <v>-9535.4323348249964</v>
      </c>
      <c r="AS39" s="113">
        <f>AR39/AI39</f>
        <v>-0.14370246416059521</v>
      </c>
      <c r="AT39" s="70"/>
      <c r="AU39" s="70"/>
      <c r="AV39" s="70"/>
      <c r="AW39" s="3"/>
      <c r="BA39" s="3"/>
      <c r="BB39" s="3"/>
      <c r="BC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</row>
    <row r="40" spans="1:68" ht="22.2" customHeight="1" x14ac:dyDescent="0.3">
      <c r="A40" s="2" t="s">
        <v>789</v>
      </c>
      <c r="B40" s="3">
        <v>0</v>
      </c>
      <c r="C40" s="88">
        <f>$B40/$AI40</f>
        <v>0</v>
      </c>
      <c r="D40" s="3">
        <v>600</v>
      </c>
      <c r="E40" s="88">
        <f>$D40/$AI40</f>
        <v>1.3295815791258705E-2</v>
      </c>
      <c r="F40" s="3">
        <v>0</v>
      </c>
      <c r="G40" s="88">
        <f>$F40/$AI40</f>
        <v>0</v>
      </c>
      <c r="H40" s="3">
        <v>0</v>
      </c>
      <c r="I40" s="88">
        <f>$H40/$AI40</f>
        <v>0</v>
      </c>
      <c r="J40" s="3">
        <v>3274.3940000000002</v>
      </c>
      <c r="K40" s="88">
        <f>$J40/$AI40</f>
        <v>7.255956575333794E-2</v>
      </c>
      <c r="L40" s="3"/>
      <c r="M40" s="88">
        <f>$L40/$AI40</f>
        <v>0</v>
      </c>
      <c r="N40" s="3"/>
      <c r="O40" s="88">
        <f>$N40/$AI40</f>
        <v>0</v>
      </c>
      <c r="P40" s="3">
        <v>83.51</v>
      </c>
      <c r="Q40" s="88">
        <f>$P40/$AI40</f>
        <v>1.8505559612133576E-3</v>
      </c>
      <c r="R40" s="3">
        <v>1135.9589999999998</v>
      </c>
      <c r="S40" s="88">
        <f>$R40/$AI40</f>
        <v>2.5172502684037409E-2</v>
      </c>
      <c r="U40" s="88">
        <f>$T40/$AI40</f>
        <v>0</v>
      </c>
      <c r="W40" s="88">
        <f>$V40/$AI40</f>
        <v>0</v>
      </c>
      <c r="X40" s="3">
        <v>69.7</v>
      </c>
      <c r="Y40" s="88">
        <f>$X40/$AI40</f>
        <v>1.5445306010845531E-3</v>
      </c>
      <c r="Z40" s="3">
        <v>42.724999999999994</v>
      </c>
      <c r="AA40" s="88">
        <f>$Z40/$AI40</f>
        <v>9.4677288280254691E-4</v>
      </c>
      <c r="AB40" s="56">
        <v>5206.2880000000005</v>
      </c>
      <c r="AC40" s="88">
        <f>$AB40/AI40</f>
        <v>0.11536974367373452</v>
      </c>
      <c r="AD40" s="101">
        <v>22041.84</v>
      </c>
      <c r="AE40" s="88">
        <f>$AD40/$AI40</f>
        <v>0.48844040723399634</v>
      </c>
      <c r="AF40" s="3">
        <v>-39411.241999999998</v>
      </c>
      <c r="AG40" s="3">
        <v>-5715.7370000000001</v>
      </c>
      <c r="AH40" s="89">
        <f>SUM(AF40,AG40)</f>
        <v>-45126.978999999999</v>
      </c>
      <c r="AI40" s="3">
        <f>((AF40+AG40)*-1)</f>
        <v>45126.978999999999</v>
      </c>
      <c r="AJ40" s="8">
        <f>AI40/($AI$224)</f>
        <v>3.4437415312880372E-3</v>
      </c>
      <c r="AK40" s="56">
        <f>AJ40*($G$260+$G$313-$B$406)</f>
        <v>6082.7641540287505</v>
      </c>
      <c r="AL40" s="3">
        <v>17926.35424361267</v>
      </c>
      <c r="AM40" s="8">
        <f>AL40/AL$224</f>
        <v>3.8045504391453198E-3</v>
      </c>
      <c r="AN40" s="3">
        <f>(AM40*$B$406)</f>
        <v>5172.6096814126258</v>
      </c>
      <c r="AO40" s="3">
        <f>AN40+AK40</f>
        <v>11255.373835441376</v>
      </c>
      <c r="AP40" s="113">
        <f>$AO40/$AI40</f>
        <v>0.24941562862963587</v>
      </c>
      <c r="AQ40" s="3">
        <f>AB40+AD40+AH40</f>
        <v>-17878.850999999999</v>
      </c>
      <c r="AR40" s="3">
        <f>AQ40+AO40</f>
        <v>-6623.4771645586225</v>
      </c>
      <c r="AS40" s="113">
        <f>AR40/AI40</f>
        <v>-0.14677422046263328</v>
      </c>
      <c r="AT40" s="70"/>
      <c r="AU40" s="70"/>
      <c r="AV40" s="70"/>
      <c r="AW40" s="3"/>
      <c r="BA40" s="3"/>
      <c r="BB40" s="3"/>
      <c r="BC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</row>
    <row r="41" spans="1:68" ht="22.2" customHeight="1" x14ac:dyDescent="0.3">
      <c r="A41" s="2" t="s">
        <v>790</v>
      </c>
      <c r="B41" s="3">
        <v>0</v>
      </c>
      <c r="C41" s="88">
        <f>$B41/$AI41</f>
        <v>0</v>
      </c>
      <c r="D41" s="3">
        <v>1800</v>
      </c>
      <c r="E41" s="88">
        <f>$D41/$AI41</f>
        <v>6.0494296883357349E-2</v>
      </c>
      <c r="F41" s="3">
        <v>0</v>
      </c>
      <c r="G41" s="88">
        <f>$F41/$AI41</f>
        <v>0</v>
      </c>
      <c r="H41" s="3">
        <v>0</v>
      </c>
      <c r="I41" s="88">
        <f>$H41/$AI41</f>
        <v>0</v>
      </c>
      <c r="J41" s="3">
        <v>2134.2460000000001</v>
      </c>
      <c r="K41" s="88">
        <f>$J41/$AI41</f>
        <v>7.1727617303398827E-2</v>
      </c>
      <c r="L41" s="3"/>
      <c r="M41" s="88">
        <f>$L41/$AI41</f>
        <v>0</v>
      </c>
      <c r="N41" s="3"/>
      <c r="O41" s="88">
        <f>$N41/$AI41</f>
        <v>0</v>
      </c>
      <c r="P41" s="3">
        <v>65.989999999999995</v>
      </c>
      <c r="Q41" s="88">
        <f>$P41/$AI41</f>
        <v>2.2177881396293064E-3</v>
      </c>
      <c r="R41" s="3">
        <v>36.282000000000004</v>
      </c>
      <c r="S41" s="88">
        <f>$R41/$AI41</f>
        <v>1.2193633775122064E-3</v>
      </c>
      <c r="U41" s="88">
        <f>$T41/$AI41</f>
        <v>0</v>
      </c>
      <c r="W41" s="88">
        <f>$V41/$AI41</f>
        <v>0</v>
      </c>
      <c r="X41" s="3">
        <v>241.42999999999998</v>
      </c>
      <c r="Y41" s="88">
        <f>$X41/$AI41</f>
        <v>8.1139656091938697E-3</v>
      </c>
      <c r="Z41" s="3">
        <v>347.35699999999997</v>
      </c>
      <c r="AA41" s="88">
        <f>$Z41/$AI41</f>
        <v>1.167395415695131E-2</v>
      </c>
      <c r="AB41" s="56">
        <v>4625.3049999999994</v>
      </c>
      <c r="AC41" s="88">
        <f>$AB41/AI41</f>
        <v>0.15544698547004285</v>
      </c>
      <c r="AD41" s="101">
        <v>13100.161000000002</v>
      </c>
      <c r="AE41" s="88">
        <f>$AD41/$AI41</f>
        <v>0.44026946041876647</v>
      </c>
      <c r="AF41" s="3">
        <v>-25910.513999999999</v>
      </c>
      <c r="AG41" s="3">
        <v>-3844.357</v>
      </c>
      <c r="AH41" s="89">
        <f>SUM(AF41,AG41)</f>
        <v>-29754.870999999999</v>
      </c>
      <c r="AI41" s="3">
        <f>((AF41+AG41)*-1)</f>
        <v>29754.870999999999</v>
      </c>
      <c r="AJ41" s="8">
        <f>AI41/($AI$224)</f>
        <v>2.2706613048663862E-3</v>
      </c>
      <c r="AK41" s="56">
        <f>AJ41*($G$260+$G$313-$B$406)</f>
        <v>4010.7241108816434</v>
      </c>
      <c r="AL41" s="3">
        <v>16305.290181840086</v>
      </c>
      <c r="AM41" s="8">
        <f>AL41/AL$224</f>
        <v>3.4605083710099603E-3</v>
      </c>
      <c r="AN41" s="3">
        <f>(AM41*$B$406)</f>
        <v>4704.8552486839162</v>
      </c>
      <c r="AO41" s="3">
        <f>AN41+AK41</f>
        <v>8715.5793595655596</v>
      </c>
      <c r="AP41" s="113">
        <f>$AO41/$AI41</f>
        <v>0.29291269182667806</v>
      </c>
      <c r="AQ41" s="3">
        <f>AB41+AD41+AH41</f>
        <v>-12029.404999999999</v>
      </c>
      <c r="AR41" s="3">
        <f>AQ41+AO41</f>
        <v>-3313.8256404344393</v>
      </c>
      <c r="AS41" s="113">
        <f>AR41/AI41</f>
        <v>-0.11137086228451265</v>
      </c>
      <c r="AT41" s="70"/>
      <c r="AU41" s="70"/>
      <c r="AV41" s="70"/>
      <c r="AW41" s="3"/>
      <c r="BA41" s="3"/>
      <c r="BB41" s="3"/>
      <c r="BC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</row>
    <row r="42" spans="1:68" ht="22.2" customHeight="1" x14ac:dyDescent="0.3">
      <c r="A42" s="2" t="s">
        <v>791</v>
      </c>
      <c r="B42" s="3">
        <v>0</v>
      </c>
      <c r="C42" s="88">
        <f>$B42/$AI42</f>
        <v>0</v>
      </c>
      <c r="D42" s="3">
        <v>3100</v>
      </c>
      <c r="E42" s="88">
        <f>$D42/$AI42</f>
        <v>5.7756406913561154E-2</v>
      </c>
      <c r="F42" s="3">
        <v>0</v>
      </c>
      <c r="G42" s="88">
        <f>$F42/$AI42</f>
        <v>0</v>
      </c>
      <c r="H42" s="3">
        <v>0</v>
      </c>
      <c r="I42" s="88">
        <f>$H42/$AI42</f>
        <v>0</v>
      </c>
      <c r="J42" s="3">
        <v>4919.6589999999997</v>
      </c>
      <c r="K42" s="88">
        <f>$J42/$AI42</f>
        <v>9.1658653896762365E-2</v>
      </c>
      <c r="L42" s="3"/>
      <c r="M42" s="88">
        <f>$L42/$AI42</f>
        <v>0</v>
      </c>
      <c r="N42" s="3"/>
      <c r="O42" s="88">
        <f>$N42/$AI42</f>
        <v>0</v>
      </c>
      <c r="P42" s="3">
        <v>44.79</v>
      </c>
      <c r="Q42" s="88">
        <f>$P42/$AI42</f>
        <v>8.3448692440593673E-4</v>
      </c>
      <c r="R42" s="3">
        <v>1308.567</v>
      </c>
      <c r="S42" s="88">
        <f>$R42/$AI42</f>
        <v>2.4380041330857413E-2</v>
      </c>
      <c r="U42" s="88">
        <f>$T42/$AI42</f>
        <v>0</v>
      </c>
      <c r="W42" s="88">
        <f>$V42/$AI42</f>
        <v>0</v>
      </c>
      <c r="X42" s="3">
        <v>498.49</v>
      </c>
      <c r="Y42" s="88">
        <f>$X42/$AI42</f>
        <v>9.2874165426906768E-3</v>
      </c>
      <c r="Z42" s="3">
        <v>80.06</v>
      </c>
      <c r="AA42" s="88">
        <f>$Z42/$AI42</f>
        <v>1.4916057862902278E-3</v>
      </c>
      <c r="AB42" s="56">
        <v>9951.5659999999971</v>
      </c>
      <c r="AC42" s="88">
        <f>$AB42/AI42</f>
        <v>0.18540861139456771</v>
      </c>
      <c r="AD42" s="101">
        <v>24757.957999999999</v>
      </c>
      <c r="AE42" s="88">
        <f>$AD42/$AI42</f>
        <v>0.46126796664414726</v>
      </c>
      <c r="AF42" s="3">
        <v>-46814.933999999994</v>
      </c>
      <c r="AG42" s="3">
        <v>-6858.7650000000003</v>
      </c>
      <c r="AH42" s="89">
        <f>SUM(AF42,AG42)</f>
        <v>-53673.698999999993</v>
      </c>
      <c r="AI42" s="3">
        <f>((AF42+AG42)*-1)</f>
        <v>53673.698999999993</v>
      </c>
      <c r="AJ42" s="8">
        <f>AI42/($AI$224)</f>
        <v>4.0959610078076169E-3</v>
      </c>
      <c r="AK42" s="56">
        <f>AJ42*($G$260+$G$313-$B$406)</f>
        <v>7234.7952272924967</v>
      </c>
      <c r="AL42" s="3">
        <v>23225.524442821017</v>
      </c>
      <c r="AM42" s="8">
        <f>AL42/AL$224</f>
        <v>4.9292052370213269E-3</v>
      </c>
      <c r="AN42" s="3">
        <f>(AM42*$B$406)</f>
        <v>6701.6734666853627</v>
      </c>
      <c r="AO42" s="3">
        <f>AN42+AK42</f>
        <v>13936.468693977858</v>
      </c>
      <c r="AP42" s="113">
        <f>$AO42/$AI42</f>
        <v>0.25965172800886821</v>
      </c>
      <c r="AQ42" s="3">
        <f>AB42+AD42+AH42</f>
        <v>-18964.174999999996</v>
      </c>
      <c r="AR42" s="3">
        <f>AQ42+AO42</f>
        <v>-5027.7063060221371</v>
      </c>
      <c r="AS42" s="113">
        <f>AR42/AI42</f>
        <v>-9.3671693952416771E-2</v>
      </c>
      <c r="AT42" s="70"/>
      <c r="AU42" s="70"/>
      <c r="AV42" s="70"/>
      <c r="AW42" s="3"/>
      <c r="BA42" s="3"/>
      <c r="BB42" s="3"/>
      <c r="BC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</row>
    <row r="43" spans="1:68" ht="22.2" customHeight="1" x14ac:dyDescent="0.3">
      <c r="A43" s="2" t="s">
        <v>792</v>
      </c>
      <c r="B43" s="3">
        <v>0</v>
      </c>
      <c r="C43" s="88">
        <f>$B43/$AI43</f>
        <v>0</v>
      </c>
      <c r="D43" s="3">
        <v>450</v>
      </c>
      <c r="E43" s="88">
        <f>$D43/$AI43</f>
        <v>7.5823484747271977E-3</v>
      </c>
      <c r="F43" s="3">
        <v>72.5</v>
      </c>
      <c r="G43" s="88">
        <f>$F43/$AI43</f>
        <v>1.2216005875949373E-3</v>
      </c>
      <c r="H43" s="3">
        <v>0</v>
      </c>
      <c r="I43" s="88">
        <f>$H43/$AI43</f>
        <v>0</v>
      </c>
      <c r="J43" s="3">
        <v>4393.9449999999997</v>
      </c>
      <c r="K43" s="88">
        <f>$J43/$AI43</f>
        <v>7.4036493708411547E-2</v>
      </c>
      <c r="L43" s="3"/>
      <c r="M43" s="88">
        <f>$L43/$AI43</f>
        <v>0</v>
      </c>
      <c r="N43" s="3"/>
      <c r="O43" s="88">
        <f>$N43/$AI43</f>
        <v>0</v>
      </c>
      <c r="P43" s="3">
        <v>92.75</v>
      </c>
      <c r="Q43" s="88">
        <f>$P43/$AI43</f>
        <v>1.5628062689576614E-3</v>
      </c>
      <c r="R43" s="3">
        <v>81.716000000000008</v>
      </c>
      <c r="S43" s="88">
        <f>$R43/$AI43</f>
        <v>1.3768870843573506E-3</v>
      </c>
      <c r="U43" s="88">
        <f>$T43/$AI43</f>
        <v>0</v>
      </c>
      <c r="W43" s="88">
        <f>$V43/$AI43</f>
        <v>0</v>
      </c>
      <c r="X43" s="3">
        <v>162.11000000000001</v>
      </c>
      <c r="Y43" s="88">
        <f>$X43/$AI43</f>
        <v>2.7314989138622803E-3</v>
      </c>
      <c r="Z43" s="3">
        <v>12.992000000000001</v>
      </c>
      <c r="AA43" s="88">
        <f>$Z43/$AI43</f>
        <v>2.1891082529701281E-4</v>
      </c>
      <c r="AB43" s="56">
        <v>5266.0129999999999</v>
      </c>
      <c r="AC43" s="88">
        <f>$AB43/AI43</f>
        <v>8.8730545863207985E-2</v>
      </c>
      <c r="AD43" s="101">
        <v>28645.457999999999</v>
      </c>
      <c r="AE43" s="88">
        <f>$AD43/$AI43</f>
        <v>0.48266632172036</v>
      </c>
      <c r="AF43" s="3">
        <v>-51880.448000000004</v>
      </c>
      <c r="AG43" s="3">
        <v>-7467.9189999999999</v>
      </c>
      <c r="AH43" s="89">
        <f>SUM(AF43,AG43)</f>
        <v>-59348.367000000006</v>
      </c>
      <c r="AI43" s="3">
        <f>((AF43+AG43)*-1)</f>
        <v>59348.367000000006</v>
      </c>
      <c r="AJ43" s="8">
        <f>AI43/($AI$224)</f>
        <v>4.5290077195733495E-3</v>
      </c>
      <c r="AK43" s="56">
        <f>AJ43*($G$260+$G$313-$B$406)</f>
        <v>7999.6961327223526</v>
      </c>
      <c r="AL43" s="3">
        <v>16868.37151311589</v>
      </c>
      <c r="AM43" s="8">
        <f>AL43/AL$224</f>
        <v>3.5800123871120187E-3</v>
      </c>
      <c r="AN43" s="3">
        <f>(AM43*$B$406)</f>
        <v>4867.3311155556048</v>
      </c>
      <c r="AO43" s="3">
        <f>AN43+AK43</f>
        <v>12867.027248277958</v>
      </c>
      <c r="AP43" s="113">
        <f>$AO43/$AI43</f>
        <v>0.21680507651167483</v>
      </c>
      <c r="AQ43" s="3">
        <f>AB43+AD43+AH43</f>
        <v>-25436.896000000008</v>
      </c>
      <c r="AR43" s="3">
        <f>AQ43+AO43</f>
        <v>-12569.86875172205</v>
      </c>
      <c r="AS43" s="113">
        <f>AR43/AI43</f>
        <v>-0.21179805590475723</v>
      </c>
      <c r="AT43" s="70"/>
      <c r="AU43" s="70"/>
      <c r="AV43" s="70"/>
      <c r="AW43" s="3"/>
      <c r="BA43" s="3"/>
      <c r="BB43" s="3"/>
      <c r="BC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</row>
    <row r="44" spans="1:68" ht="22.2" customHeight="1" x14ac:dyDescent="0.3">
      <c r="A44" s="2" t="s">
        <v>793</v>
      </c>
      <c r="B44" s="3">
        <v>0</v>
      </c>
      <c r="C44" s="88">
        <f>$B44/$AI44</f>
        <v>0</v>
      </c>
      <c r="D44" s="3">
        <v>0</v>
      </c>
      <c r="E44" s="88">
        <f>$D44/$AI44</f>
        <v>0</v>
      </c>
      <c r="F44" s="3">
        <v>0</v>
      </c>
      <c r="G44" s="88">
        <f>$F44/$AI44</f>
        <v>0</v>
      </c>
      <c r="H44" s="3">
        <v>0</v>
      </c>
      <c r="I44" s="88">
        <f>$H44/$AI44</f>
        <v>0</v>
      </c>
      <c r="J44" s="3">
        <v>0</v>
      </c>
      <c r="K44" s="88">
        <f>$J44/$AI44</f>
        <v>0</v>
      </c>
      <c r="L44" s="3"/>
      <c r="M44" s="88">
        <f>$L44/$AI44</f>
        <v>0</v>
      </c>
      <c r="N44" s="3"/>
      <c r="O44" s="88">
        <f>$N44/$AI44</f>
        <v>0</v>
      </c>
      <c r="P44" s="3"/>
      <c r="Q44" s="88">
        <f>$P44/$AI44</f>
        <v>0</v>
      </c>
      <c r="R44" s="3">
        <v>406.73</v>
      </c>
      <c r="S44" s="88">
        <f>$R44/$AI44</f>
        <v>6.9222802865718178E-2</v>
      </c>
      <c r="U44" s="88">
        <f>$T44/$AI44</f>
        <v>0</v>
      </c>
      <c r="W44" s="88">
        <f>$V44/$AI44</f>
        <v>0</v>
      </c>
      <c r="X44" s="3">
        <v>401.58</v>
      </c>
      <c r="Y44" s="88">
        <f>$X44/$AI44</f>
        <v>6.8346306332985288E-2</v>
      </c>
      <c r="AA44" s="88">
        <f>$Z44/$AI44</f>
        <v>0</v>
      </c>
      <c r="AB44" s="56">
        <v>808.31</v>
      </c>
      <c r="AC44" s="88">
        <f>$AB44/AI44</f>
        <v>0.13756910919870347</v>
      </c>
      <c r="AD44" s="101">
        <v>2363.826</v>
      </c>
      <c r="AE44" s="88">
        <f>$AD44/$AI44</f>
        <v>0.40230782388036079</v>
      </c>
      <c r="AF44" s="3">
        <v>-3726.1849999999999</v>
      </c>
      <c r="AG44" s="3">
        <v>-2149.48</v>
      </c>
      <c r="AH44" s="89">
        <f>SUM(AF44,AG44)</f>
        <v>-5875.665</v>
      </c>
      <c r="AI44" s="3">
        <f>((AF44+AG44)*-1)</f>
        <v>5875.665</v>
      </c>
      <c r="AJ44" s="8">
        <f>AI44/($AI$224)</f>
        <v>4.4838524609492529E-4</v>
      </c>
      <c r="AK44" s="56">
        <f>AJ44*($G$260+$G$313-$B$406)</f>
        <v>791.99373047066456</v>
      </c>
      <c r="AL44" s="3">
        <v>0</v>
      </c>
      <c r="AM44" s="8">
        <f>AL44/AL$224</f>
        <v>0</v>
      </c>
      <c r="AN44" s="3">
        <f>(AM44*$B$406)</f>
        <v>0</v>
      </c>
      <c r="AO44" s="3">
        <f>AN44+AK44</f>
        <v>791.99373047066456</v>
      </c>
      <c r="AP44" s="113">
        <f>$AO44/$AI44</f>
        <v>0.13479218615606312</v>
      </c>
      <c r="AQ44" s="3">
        <f>AB44+AD44+AH44</f>
        <v>-2703.529</v>
      </c>
      <c r="AR44" s="3">
        <f>AQ44+AO44</f>
        <v>-1911.5352695293354</v>
      </c>
      <c r="AS44" s="113">
        <f>AR44/AI44</f>
        <v>-0.32533088076487265</v>
      </c>
      <c r="AT44" s="70"/>
      <c r="AU44" s="70"/>
      <c r="AV44" s="70"/>
      <c r="AW44" s="3"/>
      <c r="BA44" s="3"/>
      <c r="BB44" s="3"/>
      <c r="BC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</row>
    <row r="45" spans="1:68" ht="22.2" customHeight="1" x14ac:dyDescent="0.3">
      <c r="A45" s="2" t="s">
        <v>794</v>
      </c>
      <c r="B45" s="3">
        <v>0</v>
      </c>
      <c r="C45" s="88">
        <f>$B45/$AI45</f>
        <v>0</v>
      </c>
      <c r="D45" s="3">
        <v>0</v>
      </c>
      <c r="E45" s="88">
        <f>$D45/$AI45</f>
        <v>0</v>
      </c>
      <c r="F45" s="3">
        <v>0</v>
      </c>
      <c r="G45" s="88">
        <f>$F45/$AI45</f>
        <v>0</v>
      </c>
      <c r="H45" s="3">
        <v>0</v>
      </c>
      <c r="I45" s="88">
        <f>$H45/$AI45</f>
        <v>0</v>
      </c>
      <c r="J45" s="3">
        <v>0</v>
      </c>
      <c r="K45" s="88">
        <f>$J45/$AI45</f>
        <v>0</v>
      </c>
      <c r="L45" s="3"/>
      <c r="M45" s="88">
        <f>$L45/$AI45</f>
        <v>0</v>
      </c>
      <c r="N45" s="3"/>
      <c r="O45" s="88">
        <f>$N45/$AI45</f>
        <v>0</v>
      </c>
      <c r="P45" s="3"/>
      <c r="Q45" s="88">
        <f>$P45/$AI45</f>
        <v>0</v>
      </c>
      <c r="R45" s="3"/>
      <c r="S45" s="88">
        <f>$R45/$AI45</f>
        <v>0</v>
      </c>
      <c r="U45" s="88">
        <f>$T45/$AI45</f>
        <v>0</v>
      </c>
      <c r="W45" s="88">
        <f>$V45/$AI45</f>
        <v>0</v>
      </c>
      <c r="Y45" s="88">
        <f>$X45/$AI45</f>
        <v>0</v>
      </c>
      <c r="AA45" s="88">
        <f>$Z45/$AI45</f>
        <v>0</v>
      </c>
      <c r="AB45" s="56">
        <v>0</v>
      </c>
      <c r="AC45" s="88">
        <f>$AB45/AI45</f>
        <v>0</v>
      </c>
      <c r="AD45" s="101">
        <v>266.303</v>
      </c>
      <c r="AE45" s="88">
        <f>$AD45/$AI45</f>
        <v>0.20460985496912834</v>
      </c>
      <c r="AF45" s="3">
        <v>-1124.1369999999999</v>
      </c>
      <c r="AG45" s="3">
        <v>-177.37899999999999</v>
      </c>
      <c r="AH45" s="89">
        <f>SUM(AF45,AG45)</f>
        <v>-1301.5159999999998</v>
      </c>
      <c r="AI45" s="3">
        <f>((AF45+AG45)*-1)</f>
        <v>1301.5159999999998</v>
      </c>
      <c r="AJ45" s="8">
        <f>AI45/($AI$224)</f>
        <v>9.932162094954064E-5</v>
      </c>
      <c r="AK45" s="56">
        <f>AJ45*($G$260+$G$313-$B$406)</f>
        <v>175.4341869570946</v>
      </c>
      <c r="AL45" s="3">
        <v>567.95747870787091</v>
      </c>
      <c r="AM45" s="8">
        <f>AL45/AL$224</f>
        <v>1.2053889182759069E-4</v>
      </c>
      <c r="AN45" s="3">
        <f>(AM45*$B$406)</f>
        <v>163.88286837753486</v>
      </c>
      <c r="AO45" s="3">
        <f>AN45+AK45</f>
        <v>339.31705533462946</v>
      </c>
      <c r="AP45" s="113">
        <f>$AO45/$AI45</f>
        <v>0.26070909257714042</v>
      </c>
      <c r="AQ45" s="3">
        <f>AB45+AD45+AH45</f>
        <v>-1035.2129999999997</v>
      </c>
      <c r="AR45" s="3">
        <f>AQ45+AO45</f>
        <v>-695.89594466537028</v>
      </c>
      <c r="AS45" s="113">
        <f>AR45/AI45</f>
        <v>-0.53468105245373121</v>
      </c>
      <c r="AT45" s="70"/>
      <c r="AU45" s="70"/>
      <c r="AV45" s="70"/>
      <c r="AW45" s="3"/>
      <c r="BA45" s="3"/>
      <c r="BB45" s="3"/>
      <c r="BC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</row>
    <row r="46" spans="1:68" ht="22.2" customHeight="1" x14ac:dyDescent="0.3">
      <c r="A46" s="2" t="s">
        <v>795</v>
      </c>
      <c r="B46" s="3">
        <v>0</v>
      </c>
      <c r="C46" s="88">
        <f>$B46/$AI46</f>
        <v>0</v>
      </c>
      <c r="D46" s="3">
        <v>2000</v>
      </c>
      <c r="E46" s="88">
        <f>$D46/$AI46</f>
        <v>4.0722943004739089E-2</v>
      </c>
      <c r="F46" s="3">
        <v>0</v>
      </c>
      <c r="G46" s="88">
        <f>$F46/$AI46</f>
        <v>0</v>
      </c>
      <c r="H46" s="3">
        <v>0</v>
      </c>
      <c r="I46" s="88">
        <f>$H46/$AI46</f>
        <v>0</v>
      </c>
      <c r="J46" s="3">
        <v>2412.6289999999999</v>
      </c>
      <c r="K46" s="88">
        <f>$J46/$AI46</f>
        <v>4.9124676629290334E-2</v>
      </c>
      <c r="L46" s="3"/>
      <c r="M46" s="88">
        <f>$L46/$AI46</f>
        <v>0</v>
      </c>
      <c r="N46" s="3"/>
      <c r="O46" s="88">
        <f>$N46/$AI46</f>
        <v>0</v>
      </c>
      <c r="P46" s="3">
        <v>90.87</v>
      </c>
      <c r="Q46" s="88">
        <f>$P46/$AI46</f>
        <v>1.8502469154203208E-3</v>
      </c>
      <c r="R46" s="3">
        <v>62.542000000000002</v>
      </c>
      <c r="S46" s="88">
        <f>$R46/$AI46</f>
        <v>1.2734471507011961E-3</v>
      </c>
      <c r="U46" s="88">
        <f>$T46/$AI46</f>
        <v>0</v>
      </c>
      <c r="W46" s="88">
        <f>$V46/$AI46</f>
        <v>0</v>
      </c>
      <c r="X46" s="3">
        <v>289.01000000000005</v>
      </c>
      <c r="Y46" s="88">
        <f>$X46/$AI46</f>
        <v>5.8846688788998236E-3</v>
      </c>
      <c r="Z46" s="3">
        <v>192.80700000000002</v>
      </c>
      <c r="AA46" s="88">
        <f>$Z46/$AI46</f>
        <v>3.9258342359573652E-3</v>
      </c>
      <c r="AB46" s="56">
        <v>5047.8580000000011</v>
      </c>
      <c r="AC46" s="88">
        <f>$AB46/AI46</f>
        <v>0.10278181681500816</v>
      </c>
      <c r="AD46" s="101">
        <v>19736.182000000004</v>
      </c>
      <c r="AE46" s="88">
        <f>$AD46/$AI46</f>
        <v>0.40185770735857884</v>
      </c>
      <c r="AF46" s="3">
        <v>-42880.256000000001</v>
      </c>
      <c r="AG46" s="3">
        <v>-6232.1080000000002</v>
      </c>
      <c r="AH46" s="89">
        <f>SUM(AF46,AG46)</f>
        <v>-49112.364000000001</v>
      </c>
      <c r="AI46" s="3">
        <f>((AF46+AG46)*-1)</f>
        <v>49112.364000000001</v>
      </c>
      <c r="AJ46" s="8">
        <f>AI46/($AI$224)</f>
        <v>3.747875247898502E-3</v>
      </c>
      <c r="AK46" s="56">
        <f>AJ46*($G$260+$G$313-$B$406)</f>
        <v>6619.9629108523322</v>
      </c>
      <c r="AL46" s="3">
        <v>22160.282377336469</v>
      </c>
      <c r="AM46" s="8">
        <f>AL46/AL$224</f>
        <v>4.7031265200128559E-3</v>
      </c>
      <c r="AN46" s="3">
        <f>(AM46*$B$406)</f>
        <v>6394.3002358491676</v>
      </c>
      <c r="AO46" s="3">
        <f>AN46+AK46</f>
        <v>13014.2631467015</v>
      </c>
      <c r="AP46" s="113">
        <f>$AO46/$AI46</f>
        <v>0.26498954818590081</v>
      </c>
      <c r="AQ46" s="3">
        <f>AB46+AD46+AH46</f>
        <v>-24328.323999999997</v>
      </c>
      <c r="AR46" s="3">
        <f>AQ46+AO46</f>
        <v>-11314.060853298497</v>
      </c>
      <c r="AS46" s="113">
        <f>AR46/AI46</f>
        <v>-0.2303709276405122</v>
      </c>
      <c r="AT46" s="70"/>
      <c r="AU46" s="70"/>
      <c r="AV46" s="70"/>
      <c r="AW46" s="3"/>
      <c r="BA46" s="3"/>
      <c r="BB46" s="3"/>
      <c r="BC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</row>
    <row r="47" spans="1:68" ht="22.2" customHeight="1" x14ac:dyDescent="0.3">
      <c r="A47" s="2" t="s">
        <v>796</v>
      </c>
      <c r="B47" s="3">
        <v>0</v>
      </c>
      <c r="C47" s="88">
        <f>$B47/$AI47</f>
        <v>0</v>
      </c>
      <c r="D47" s="3">
        <v>400</v>
      </c>
      <c r="E47" s="88">
        <f>$D47/$AI47</f>
        <v>1.9158366264569283E-2</v>
      </c>
      <c r="F47" s="3">
        <v>0</v>
      </c>
      <c r="G47" s="88">
        <f>$F47/$AI47</f>
        <v>0</v>
      </c>
      <c r="H47" s="3">
        <v>0</v>
      </c>
      <c r="I47" s="88">
        <f>$H47/$AI47</f>
        <v>0</v>
      </c>
      <c r="J47" s="3">
        <v>2691.1170000000002</v>
      </c>
      <c r="K47" s="88">
        <f>$J47/$AI47</f>
        <v>0.12889351286702225</v>
      </c>
      <c r="L47" s="3"/>
      <c r="M47" s="88">
        <f>$L47/$AI47</f>
        <v>0</v>
      </c>
      <c r="N47" s="3">
        <v>167.68</v>
      </c>
      <c r="O47" s="88">
        <f>$N47/$AI47</f>
        <v>8.0311871381074443E-3</v>
      </c>
      <c r="P47" s="3">
        <v>108.55</v>
      </c>
      <c r="Q47" s="88">
        <f>$P47/$AI47</f>
        <v>5.1991016450474888E-3</v>
      </c>
      <c r="R47" s="3">
        <v>434.31700000000001</v>
      </c>
      <c r="S47" s="88">
        <f>$R47/$AI47</f>
        <v>2.0802010402322341E-2</v>
      </c>
      <c r="U47" s="88">
        <f>$T47/$AI47</f>
        <v>0</v>
      </c>
      <c r="W47" s="88">
        <f>$V47/$AI47</f>
        <v>0</v>
      </c>
      <c r="X47" s="3">
        <v>55.29</v>
      </c>
      <c r="Y47" s="88">
        <f>$X47/$AI47</f>
        <v>2.6481651769200889E-3</v>
      </c>
      <c r="Z47" s="3">
        <v>138.721</v>
      </c>
      <c r="AA47" s="88">
        <f>$Z47/$AI47</f>
        <v>6.6441693164682883E-3</v>
      </c>
      <c r="AB47" s="56">
        <v>3995.6749999999997</v>
      </c>
      <c r="AC47" s="88">
        <f>$AB47/AI47</f>
        <v>0.19137651281045714</v>
      </c>
      <c r="AD47" s="101">
        <v>10575.546</v>
      </c>
      <c r="AE47" s="88">
        <f>$AD47/$AI47</f>
        <v>0.50652545928950155</v>
      </c>
      <c r="AF47" s="3">
        <v>-18154.254999999997</v>
      </c>
      <c r="AG47" s="3">
        <v>-2724.3519999999999</v>
      </c>
      <c r="AH47" s="89">
        <f>SUM(AF47,AG47)</f>
        <v>-20878.606999999996</v>
      </c>
      <c r="AI47" s="3">
        <f>((AF47+AG47)*-1)</f>
        <v>20878.606999999996</v>
      </c>
      <c r="AJ47" s="8">
        <f>AI47/($AI$224)</f>
        <v>1.5932935825671186E-3</v>
      </c>
      <c r="AK47" s="56">
        <f>AJ47*($G$260+$G$313-$B$406)</f>
        <v>2814.2730814232818</v>
      </c>
      <c r="AL47" s="3">
        <v>6894.6023365137034</v>
      </c>
      <c r="AM47" s="8">
        <f>AL47/AL$224</f>
        <v>1.4632569450903194E-3</v>
      </c>
      <c r="AN47" s="3">
        <f>(AM47*$B$406)</f>
        <v>1989.4221831551718</v>
      </c>
      <c r="AO47" s="3">
        <f>AN47+AK47</f>
        <v>4803.6952645784531</v>
      </c>
      <c r="AP47" s="113">
        <f>$AO47/$AI47</f>
        <v>0.23007738325542762</v>
      </c>
      <c r="AQ47" s="3">
        <f>AB47+AD47+AH47</f>
        <v>-6307.3859999999968</v>
      </c>
      <c r="AR47" s="3">
        <f>AQ47+AO47</f>
        <v>-1503.6907354215436</v>
      </c>
      <c r="AS47" s="113">
        <f>AR47/AI47</f>
        <v>-7.2020644644613691E-2</v>
      </c>
      <c r="AT47" s="70"/>
      <c r="AU47" s="70"/>
      <c r="AV47" s="70"/>
      <c r="AW47" s="3"/>
      <c r="BA47" s="3"/>
      <c r="BB47" s="3"/>
      <c r="BC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</row>
    <row r="48" spans="1:68" ht="22.2" customHeight="1" x14ac:dyDescent="0.3">
      <c r="A48" s="2" t="s">
        <v>797</v>
      </c>
      <c r="B48" s="3">
        <v>0</v>
      </c>
      <c r="C48" s="88">
        <f>$B48/$AI48</f>
        <v>0</v>
      </c>
      <c r="D48" s="3">
        <v>510</v>
      </c>
      <c r="E48" s="88">
        <f>$D48/$AI48</f>
        <v>8.4640406643050441E-3</v>
      </c>
      <c r="F48" s="3">
        <v>20</v>
      </c>
      <c r="G48" s="88">
        <f>$F48/$AI48</f>
        <v>3.3192316330608017E-4</v>
      </c>
      <c r="H48" s="3">
        <v>0</v>
      </c>
      <c r="I48" s="88">
        <f>$H48/$AI48</f>
        <v>0</v>
      </c>
      <c r="J48" s="3">
        <v>3473.7479999999996</v>
      </c>
      <c r="K48" s="88">
        <f>$J48/$AI48</f>
        <v>5.7650871234408464E-2</v>
      </c>
      <c r="L48" s="3"/>
      <c r="M48" s="88">
        <f>$L48/$AI48</f>
        <v>0</v>
      </c>
      <c r="N48" s="3"/>
      <c r="O48" s="88">
        <f>$N48/$AI48</f>
        <v>0</v>
      </c>
      <c r="P48" s="3">
        <v>92.18</v>
      </c>
      <c r="Q48" s="88">
        <f>$P48/$AI48</f>
        <v>1.5298338596777237E-3</v>
      </c>
      <c r="R48" s="3">
        <v>109.47400000000002</v>
      </c>
      <c r="S48" s="88">
        <f>$R48/$AI48</f>
        <v>1.8168478189884913E-3</v>
      </c>
      <c r="U48" s="88">
        <f>$T48/$AI48</f>
        <v>0</v>
      </c>
      <c r="W48" s="88">
        <f>$V48/$AI48</f>
        <v>0</v>
      </c>
      <c r="X48" s="3">
        <v>138.49</v>
      </c>
      <c r="Y48" s="88">
        <f>$X48/$AI48</f>
        <v>2.2984019443129523E-3</v>
      </c>
      <c r="Z48" s="3">
        <v>47.106999999999999</v>
      </c>
      <c r="AA48" s="88">
        <f>$Z48/$AI48</f>
        <v>7.8179522269297588E-4</v>
      </c>
      <c r="AB48" s="56">
        <v>4390.9989999999998</v>
      </c>
      <c r="AC48" s="88">
        <f>$AB48/AI48</f>
        <v>7.2873713907691734E-2</v>
      </c>
      <c r="AD48" s="101">
        <v>28951.562000000002</v>
      </c>
      <c r="AE48" s="88">
        <f>$AD48/$AI48</f>
        <v>0.48048470208460531</v>
      </c>
      <c r="AF48" s="3">
        <v>-53224.148999999998</v>
      </c>
      <c r="AG48" s="3">
        <v>-7030.76</v>
      </c>
      <c r="AH48" s="89">
        <f>SUM(AF48,AG48)</f>
        <v>-60254.909</v>
      </c>
      <c r="AI48" s="3">
        <f>((AF48+AG48)*-1)</f>
        <v>60254.909</v>
      </c>
      <c r="AJ48" s="8">
        <f>AI48/($AI$224)</f>
        <v>4.5981879838949856E-3</v>
      </c>
      <c r="AK48" s="56">
        <f>AJ48*($G$260+$G$313-$B$406)</f>
        <v>8121.8909107446425</v>
      </c>
      <c r="AL48" s="3">
        <v>21574.33761609959</v>
      </c>
      <c r="AM48" s="8">
        <f>AL48/AL$224</f>
        <v>4.5787701467992136E-3</v>
      </c>
      <c r="AN48" s="3">
        <f>(AM48*$B$406)</f>
        <v>6225.2271770688631</v>
      </c>
      <c r="AO48" s="3">
        <f>AN48+AK48</f>
        <v>14347.118087813506</v>
      </c>
      <c r="AP48" s="113">
        <f>$AO48/$AI48</f>
        <v>0.23810704100164695</v>
      </c>
      <c r="AQ48" s="3">
        <f>AB48+AD48+AH48</f>
        <v>-26912.347999999998</v>
      </c>
      <c r="AR48" s="3">
        <f>AQ48+AO48</f>
        <v>-12565.229912186493</v>
      </c>
      <c r="AS48" s="113">
        <f>AR48/AI48</f>
        <v>-0.20853454300605603</v>
      </c>
      <c r="AT48" s="70"/>
      <c r="AU48" s="70"/>
      <c r="AV48" s="70"/>
      <c r="AW48" s="3"/>
      <c r="BA48" s="3"/>
      <c r="BB48" s="3"/>
      <c r="BC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</row>
    <row r="49" spans="1:68" ht="22.2" customHeight="1" x14ac:dyDescent="0.3">
      <c r="A49" s="2" t="s">
        <v>798</v>
      </c>
      <c r="B49" s="3">
        <v>0</v>
      </c>
      <c r="C49" s="88">
        <f>$B49/$AI49</f>
        <v>0</v>
      </c>
      <c r="D49" s="3">
        <v>2680</v>
      </c>
      <c r="E49" s="88">
        <f>$D49/$AI49</f>
        <v>1.7047376459332551E-2</v>
      </c>
      <c r="F49" s="3">
        <v>22.13</v>
      </c>
      <c r="G49" s="88">
        <f>$F49/$AI49</f>
        <v>1.4076807501680198E-4</v>
      </c>
      <c r="H49" s="3">
        <v>0</v>
      </c>
      <c r="I49" s="88">
        <f>$H49/$AI49</f>
        <v>0</v>
      </c>
      <c r="J49" s="3">
        <v>4711.3720000000003</v>
      </c>
      <c r="K49" s="88">
        <f>$J49/$AI49</f>
        <v>2.9968855270133776E-2</v>
      </c>
      <c r="L49" s="3"/>
      <c r="M49" s="88">
        <f>$L49/$AI49</f>
        <v>0</v>
      </c>
      <c r="N49" s="3"/>
      <c r="O49" s="88">
        <f>$N49/$AI49</f>
        <v>0</v>
      </c>
      <c r="P49" s="3">
        <v>426.49</v>
      </c>
      <c r="Q49" s="88">
        <f>$P49/$AI49</f>
        <v>2.7128864127390819E-3</v>
      </c>
      <c r="R49" s="3">
        <v>3007.2579999999998</v>
      </c>
      <c r="S49" s="88">
        <f>$R49/$AI49</f>
        <v>1.9129051953858014E-2</v>
      </c>
      <c r="U49" s="88">
        <f>$T49/$AI49</f>
        <v>0</v>
      </c>
      <c r="W49" s="88">
        <f>$V49/$AI49</f>
        <v>0</v>
      </c>
      <c r="X49" s="3">
        <v>163.27000000000001</v>
      </c>
      <c r="Y49" s="88">
        <f>$X49/$AI49</f>
        <v>1.0385541621325469E-3</v>
      </c>
      <c r="Z49" s="3">
        <v>256.72899999999998</v>
      </c>
      <c r="AA49" s="88">
        <f>$Z49/$AI49</f>
        <v>1.6330432503835768E-3</v>
      </c>
      <c r="AB49" s="56">
        <v>11267.248999999998</v>
      </c>
      <c r="AC49" s="88">
        <f>$AB49/AI49</f>
        <v>7.1670535583596331E-2</v>
      </c>
      <c r="AD49" s="101">
        <v>82692.782000000007</v>
      </c>
      <c r="AE49" s="88">
        <f>$AD49/$AI49</f>
        <v>0.52600559150131287</v>
      </c>
      <c r="AF49" s="3">
        <v>-138038.52600000001</v>
      </c>
      <c r="AG49" s="3">
        <v>-19170.415000000001</v>
      </c>
      <c r="AH49" s="89">
        <f>SUM(AF49,AG49)</f>
        <v>-157208.94100000002</v>
      </c>
      <c r="AI49" s="3">
        <f>((AF49+AG49)*-1)</f>
        <v>157208.94100000002</v>
      </c>
      <c r="AJ49" s="8">
        <f>AI49/($AI$224)</f>
        <v>1.199696880244323E-2</v>
      </c>
      <c r="AK49" s="56">
        <f>AJ49*($G$260+$G$313-$B$406)</f>
        <v>21190.536840669545</v>
      </c>
      <c r="AL49" s="3">
        <v>52989.882364077326</v>
      </c>
      <c r="AM49" s="8">
        <f>AL49/AL$224</f>
        <v>1.1246161795019876E-2</v>
      </c>
      <c r="AN49" s="3">
        <f>(AM49*$B$406)</f>
        <v>15290.112803109732</v>
      </c>
      <c r="AO49" s="3">
        <f>AN49+AK49</f>
        <v>36480.649643779281</v>
      </c>
      <c r="AP49" s="113">
        <f>$AO49/$AI49</f>
        <v>0.23205200296959749</v>
      </c>
      <c r="AQ49" s="3">
        <f>AB49+AD49+AH49</f>
        <v>-63248.910000000018</v>
      </c>
      <c r="AR49" s="3">
        <f>AQ49+AO49</f>
        <v>-26768.260356220737</v>
      </c>
      <c r="AS49" s="113">
        <f>AR49/AI49</f>
        <v>-0.17027186994549331</v>
      </c>
      <c r="AT49" s="70"/>
      <c r="AU49" s="70"/>
      <c r="AV49" s="70"/>
      <c r="AW49" s="3"/>
      <c r="BA49" s="3"/>
      <c r="BB49" s="3"/>
      <c r="BC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</row>
    <row r="50" spans="1:68" ht="22.2" customHeight="1" x14ac:dyDescent="0.3">
      <c r="A50" s="2" t="s">
        <v>799</v>
      </c>
      <c r="B50" s="3">
        <v>0</v>
      </c>
      <c r="C50" s="88">
        <f>$B50/$AI50</f>
        <v>0</v>
      </c>
      <c r="D50" s="3">
        <v>1200</v>
      </c>
      <c r="E50" s="88">
        <f>$D50/$AI50</f>
        <v>2.1309274121063922E-2</v>
      </c>
      <c r="F50" s="3">
        <v>0</v>
      </c>
      <c r="G50" s="88">
        <f>$F50/$AI50</f>
        <v>0</v>
      </c>
      <c r="H50" s="3">
        <v>0</v>
      </c>
      <c r="I50" s="88">
        <f>$H50/$AI50</f>
        <v>0</v>
      </c>
      <c r="J50" s="3">
        <v>3298.2069999999999</v>
      </c>
      <c r="K50" s="88">
        <f>$J50/$AI50</f>
        <v>5.8568664225843226E-2</v>
      </c>
      <c r="L50" s="3"/>
      <c r="M50" s="88">
        <f>$L50/$AI50</f>
        <v>0</v>
      </c>
      <c r="N50" s="3"/>
      <c r="O50" s="88">
        <f>$N50/$AI50</f>
        <v>0</v>
      </c>
      <c r="P50" s="3">
        <v>88.18</v>
      </c>
      <c r="Q50" s="88">
        <f>$P50/$AI50</f>
        <v>1.5658764933295139E-3</v>
      </c>
      <c r="R50" s="3">
        <v>99.373000000000005</v>
      </c>
      <c r="S50" s="88">
        <f>$R50/$AI50</f>
        <v>1.7646387476937377E-3</v>
      </c>
      <c r="U50" s="88">
        <f>$T50/$AI50</f>
        <v>0</v>
      </c>
      <c r="W50" s="88">
        <f>$V50/$AI50</f>
        <v>0</v>
      </c>
      <c r="X50" s="3">
        <v>300.26</v>
      </c>
      <c r="Y50" s="88">
        <f>$X50/$AI50</f>
        <v>5.3319355396588769E-3</v>
      </c>
      <c r="Z50" s="3">
        <v>57.969000000000001</v>
      </c>
      <c r="AA50" s="88">
        <f>$Z50/$AI50</f>
        <v>1.0293977596032954E-3</v>
      </c>
      <c r="AB50" s="56">
        <v>5043.9889999999996</v>
      </c>
      <c r="AC50" s="88">
        <f>$AB50/AI50</f>
        <v>8.9569786887192568E-2</v>
      </c>
      <c r="AD50" s="101">
        <v>27746.663000000004</v>
      </c>
      <c r="AE50" s="88">
        <f>$AD50/$AI50</f>
        <v>0.49271770650981828</v>
      </c>
      <c r="AF50" s="3">
        <v>-49919.489999999991</v>
      </c>
      <c r="AG50" s="3">
        <v>-6394.0190000000002</v>
      </c>
      <c r="AH50" s="89">
        <f>SUM(AF50,AG50)</f>
        <v>-56313.508999999991</v>
      </c>
      <c r="AI50" s="3">
        <f>((AF50+AG50)*-1)</f>
        <v>56313.508999999991</v>
      </c>
      <c r="AJ50" s="8">
        <f>AI50/($AI$224)</f>
        <v>4.2974108618230936E-3</v>
      </c>
      <c r="AK50" s="56">
        <f>AJ50*($G$260+$G$313-$B$406)</f>
        <v>7590.6209882291341</v>
      </c>
      <c r="AL50" s="3">
        <v>18650.024293457922</v>
      </c>
      <c r="AM50" s="8">
        <f>AL50/AL$224</f>
        <v>3.9581365598098757E-3</v>
      </c>
      <c r="AN50" s="3">
        <f>(AM50*$B$406)</f>
        <v>5381.423066170526</v>
      </c>
      <c r="AO50" s="3">
        <f>AN50+AK50</f>
        <v>12972.044054399659</v>
      </c>
      <c r="AP50" s="113">
        <f>$AO50/$AI50</f>
        <v>0.23035403555476647</v>
      </c>
      <c r="AQ50" s="3">
        <f>AB50+AD50+AH50</f>
        <v>-23522.856999999989</v>
      </c>
      <c r="AR50" s="3">
        <f>AQ50+AO50</f>
        <v>-10550.81294560033</v>
      </c>
      <c r="AS50" s="113">
        <f>AR50/AI50</f>
        <v>-0.18735847104822276</v>
      </c>
      <c r="AT50" s="70"/>
      <c r="AU50" s="70"/>
      <c r="AV50" s="70"/>
      <c r="AW50" s="3"/>
      <c r="BA50" s="3"/>
      <c r="BB50" s="3"/>
      <c r="BC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</row>
    <row r="51" spans="1:68" ht="22.2" customHeight="1" x14ac:dyDescent="0.3">
      <c r="A51" s="2" t="s">
        <v>800</v>
      </c>
      <c r="B51" s="3">
        <v>0</v>
      </c>
      <c r="C51" s="88">
        <f>$B51/$AI51</f>
        <v>0</v>
      </c>
      <c r="D51" s="3">
        <v>1108.01</v>
      </c>
      <c r="E51" s="88">
        <f>$D51/$AI51</f>
        <v>1.1104121991268595E-2</v>
      </c>
      <c r="F51" s="3">
        <v>0</v>
      </c>
      <c r="G51" s="88">
        <f>$F51/$AI51</f>
        <v>0</v>
      </c>
      <c r="H51" s="3">
        <v>0</v>
      </c>
      <c r="I51" s="88">
        <f>$H51/$AI51</f>
        <v>0</v>
      </c>
      <c r="J51" s="3">
        <v>5141.2629999999999</v>
      </c>
      <c r="K51" s="88">
        <f>$J51/$AI51</f>
        <v>5.152409413380344E-2</v>
      </c>
      <c r="L51" s="3"/>
      <c r="M51" s="88">
        <f>$L51/$AI51</f>
        <v>0</v>
      </c>
      <c r="N51" s="3"/>
      <c r="O51" s="88">
        <f>$N51/$AI51</f>
        <v>0</v>
      </c>
      <c r="P51" s="3">
        <v>77.05</v>
      </c>
      <c r="Q51" s="88">
        <f>$P51/$AI51</f>
        <v>7.7217046725863952E-4</v>
      </c>
      <c r="R51" s="3">
        <v>941.14200000000005</v>
      </c>
      <c r="S51" s="88">
        <f>$R51/$AI51</f>
        <v>9.4318242426571133E-3</v>
      </c>
      <c r="U51" s="88">
        <f>$T51/$AI51</f>
        <v>0</v>
      </c>
      <c r="W51" s="88">
        <f>$V51/$AI51</f>
        <v>0</v>
      </c>
      <c r="X51" s="3">
        <v>194.31</v>
      </c>
      <c r="Y51" s="88">
        <f>$X51/$AI51</f>
        <v>1.9473126994552401E-3</v>
      </c>
      <c r="Z51" s="3">
        <v>147.98499999999999</v>
      </c>
      <c r="AA51" s="88">
        <f>$Z51/$AI51</f>
        <v>1.4830583594713791E-3</v>
      </c>
      <c r="AB51" s="56">
        <v>7609.76</v>
      </c>
      <c r="AC51" s="88">
        <f>$AB51/AI51</f>
        <v>7.6262581893914411E-2</v>
      </c>
      <c r="AD51" s="101">
        <v>47243.147999999994</v>
      </c>
      <c r="AE51" s="88">
        <f>$AD51/$AI51</f>
        <v>0.47345572570965683</v>
      </c>
      <c r="AF51" s="3">
        <v>-87100.304999999964</v>
      </c>
      <c r="AG51" s="3">
        <v>-12683.361000000001</v>
      </c>
      <c r="AH51" s="89">
        <f>SUM(AF51,AG51)</f>
        <v>-99783.665999999968</v>
      </c>
      <c r="AI51" s="3">
        <f>((AF51+AG51)*-1)</f>
        <v>99783.665999999968</v>
      </c>
      <c r="AJ51" s="8">
        <f>AI51/($AI$224)</f>
        <v>7.6147165700671867E-3</v>
      </c>
      <c r="AK51" s="56">
        <f>AJ51*($G$260+$G$313-$B$406)</f>
        <v>13450.05848280642</v>
      </c>
      <c r="AL51" s="3">
        <v>34385.264059297901</v>
      </c>
      <c r="AM51" s="8">
        <f>AL51/AL$224</f>
        <v>7.2976618502081751E-3</v>
      </c>
      <c r="AN51" s="3">
        <f>(AM51*$B$406)</f>
        <v>9921.7915340721156</v>
      </c>
      <c r="AO51" s="3">
        <f>AN51+AK51</f>
        <v>23371.850016878536</v>
      </c>
      <c r="AP51" s="113">
        <f>$AO51/$AI51</f>
        <v>0.234225208932277</v>
      </c>
      <c r="AQ51" s="3">
        <f>AB51+AD51+AH51</f>
        <v>-44930.757999999973</v>
      </c>
      <c r="AR51" s="3">
        <f>AQ51+AO51</f>
        <v>-21558.907983121437</v>
      </c>
      <c r="AS51" s="113">
        <f>AR51/AI51</f>
        <v>-0.21605648346415177</v>
      </c>
      <c r="AT51" s="70"/>
      <c r="AU51" s="70"/>
      <c r="AV51" s="70"/>
      <c r="AW51" s="3"/>
      <c r="BA51" s="3"/>
      <c r="BB51" s="3"/>
      <c r="BC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</row>
    <row r="52" spans="1:68" ht="22.2" customHeight="1" x14ac:dyDescent="0.3">
      <c r="A52" s="2" t="s">
        <v>801</v>
      </c>
      <c r="B52" s="3">
        <v>0</v>
      </c>
      <c r="C52" s="88">
        <f>$B52/$AI52</f>
        <v>0</v>
      </c>
      <c r="D52" s="3">
        <v>3500</v>
      </c>
      <c r="E52" s="88">
        <f>$D52/$AI52</f>
        <v>6.4240393867766185E-2</v>
      </c>
      <c r="F52" s="3">
        <v>0</v>
      </c>
      <c r="G52" s="88">
        <f>$F52/$AI52</f>
        <v>0</v>
      </c>
      <c r="H52" s="3">
        <v>47.2</v>
      </c>
      <c r="I52" s="88">
        <f>$H52/$AI52</f>
        <v>8.6632759730244683E-4</v>
      </c>
      <c r="J52" s="3">
        <v>1571.0909999999999</v>
      </c>
      <c r="K52" s="88">
        <f>$J52/$AI52</f>
        <v>2.8836429897743609E-2</v>
      </c>
      <c r="L52" s="3"/>
      <c r="M52" s="88">
        <f>$L52/$AI52</f>
        <v>0</v>
      </c>
      <c r="N52" s="3"/>
      <c r="O52" s="88">
        <f>$N52/$AI52</f>
        <v>0</v>
      </c>
      <c r="P52" s="3">
        <v>40</v>
      </c>
      <c r="Q52" s="88">
        <f>$P52/$AI52</f>
        <v>7.3417592991732771E-4</v>
      </c>
      <c r="R52" s="3">
        <v>6061.7610000000004</v>
      </c>
      <c r="S52" s="88">
        <f>$R52/$AI52</f>
        <v>0.11125997547778978</v>
      </c>
      <c r="U52" s="88">
        <f>$T52/$AI52</f>
        <v>0</v>
      </c>
      <c r="W52" s="88">
        <f>$V52/$AI52</f>
        <v>0</v>
      </c>
      <c r="X52" s="3">
        <v>100</v>
      </c>
      <c r="Y52" s="88">
        <f>$X52/$AI52</f>
        <v>1.8354398247933195E-3</v>
      </c>
      <c r="Z52" s="3">
        <v>695.32600000000002</v>
      </c>
      <c r="AA52" s="88">
        <f>$Z52/$AI52</f>
        <v>1.2762290316142396E-2</v>
      </c>
      <c r="AB52" s="56">
        <v>12015.377999999999</v>
      </c>
      <c r="AC52" s="88">
        <f>$AB52/AI52</f>
        <v>0.22053503291145501</v>
      </c>
      <c r="AD52" s="101">
        <v>30474.522000000001</v>
      </c>
      <c r="AE52" s="88">
        <f>$AD52/$AI52</f>
        <v>0.55934151320340164</v>
      </c>
      <c r="AF52" s="3">
        <v>-47645.74</v>
      </c>
      <c r="AG52" s="3">
        <v>-6837.1139999999996</v>
      </c>
      <c r="AH52" s="89">
        <f>SUM(AF52,AG52)</f>
        <v>-54482.853999999999</v>
      </c>
      <c r="AI52" s="3">
        <f>((AF52+AG52)*-1)</f>
        <v>54482.853999999999</v>
      </c>
      <c r="AJ52" s="8">
        <f>AI52/($AI$224)</f>
        <v>4.157709450546259E-3</v>
      </c>
      <c r="AK52" s="56">
        <f>AJ52*($G$260+$G$313-$B$406)</f>
        <v>7343.8629986816077</v>
      </c>
      <c r="AL52" s="3">
        <v>13155.668599998282</v>
      </c>
      <c r="AM52" s="8">
        <f>AL52/AL$224</f>
        <v>2.7920571059342728E-3</v>
      </c>
      <c r="AN52" s="3">
        <f>(AM52*$B$406)</f>
        <v>3796.038940268837</v>
      </c>
      <c r="AO52" s="3">
        <f>AN52+AK52</f>
        <v>11139.901938950445</v>
      </c>
      <c r="AP52" s="113">
        <f>$AO52/$AI52</f>
        <v>0.20446619663041962</v>
      </c>
      <c r="AQ52" s="3">
        <f>AB52+AD52+AH52</f>
        <v>-11992.953999999998</v>
      </c>
      <c r="AR52" s="3">
        <f>AQ52+AO52</f>
        <v>-853.05206104955323</v>
      </c>
      <c r="AS52" s="113">
        <f>AR52/AI52</f>
        <v>-1.5657257254723719E-2</v>
      </c>
      <c r="AT52" s="70"/>
      <c r="AU52" s="70"/>
      <c r="AV52" s="70"/>
      <c r="AW52" s="3"/>
      <c r="BA52" s="3"/>
      <c r="BB52" s="3"/>
      <c r="BC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</row>
    <row r="53" spans="1:68" ht="22.2" customHeight="1" x14ac:dyDescent="0.3">
      <c r="A53" s="2" t="s">
        <v>802</v>
      </c>
      <c r="B53" s="3">
        <v>0</v>
      </c>
      <c r="C53" s="88">
        <f>$B53/$AI53</f>
        <v>0</v>
      </c>
      <c r="D53" s="3">
        <v>2000</v>
      </c>
      <c r="E53" s="88">
        <f>$D53/$AI53</f>
        <v>1.4884895660044464E-2</v>
      </c>
      <c r="F53" s="3">
        <v>0</v>
      </c>
      <c r="G53" s="88">
        <f>$F53/$AI53</f>
        <v>0</v>
      </c>
      <c r="H53" s="3">
        <v>0</v>
      </c>
      <c r="I53" s="88">
        <f>$H53/$AI53</f>
        <v>0</v>
      </c>
      <c r="J53" s="3">
        <v>8208.9579999999987</v>
      </c>
      <c r="K53" s="88">
        <f>$J53/$AI53</f>
        <v>6.1094741653843633E-2</v>
      </c>
      <c r="L53" s="3"/>
      <c r="M53" s="88">
        <f>$L53/$AI53</f>
        <v>0</v>
      </c>
      <c r="N53" s="3"/>
      <c r="O53" s="88">
        <f>$N53/$AI53</f>
        <v>0</v>
      </c>
      <c r="P53" s="3">
        <v>183.27</v>
      </c>
      <c r="Q53" s="88">
        <f>$P53/$AI53</f>
        <v>1.3639774138081745E-3</v>
      </c>
      <c r="R53" s="3">
        <v>4397.0300000000007</v>
      </c>
      <c r="S53" s="88">
        <f>$R53/$AI53</f>
        <v>3.2724666382042661E-2</v>
      </c>
      <c r="U53" s="88">
        <f>$T53/$AI53</f>
        <v>0</v>
      </c>
      <c r="W53" s="88">
        <f>$V53/$AI53</f>
        <v>0</v>
      </c>
      <c r="X53" s="3">
        <v>118.17</v>
      </c>
      <c r="Y53" s="88">
        <f>$X53/$AI53</f>
        <v>8.7947406007372723E-4</v>
      </c>
      <c r="Z53" s="3">
        <v>676.5680000000001</v>
      </c>
      <c r="AA53" s="88">
        <f>$Z53/$AI53</f>
        <v>5.0353220434624828E-3</v>
      </c>
      <c r="AB53" s="56">
        <v>15583.996000000001</v>
      </c>
      <c r="AC53" s="88">
        <f>$AB53/AI53</f>
        <v>0.11598307721327515</v>
      </c>
      <c r="AD53" s="101">
        <v>71880.751999999979</v>
      </c>
      <c r="AE53" s="88">
        <f>$AD53/$AI53</f>
        <v>0.53496874674276607</v>
      </c>
      <c r="AF53" s="3">
        <v>-117329.44099999999</v>
      </c>
      <c r="AG53" s="3">
        <v>-17034.953999999998</v>
      </c>
      <c r="AH53" s="89">
        <f>SUM(AF53,AG53)</f>
        <v>-134364.39499999999</v>
      </c>
      <c r="AI53" s="3">
        <f>((AF53+AG53)*-1)</f>
        <v>134364.39499999999</v>
      </c>
      <c r="AJ53" s="8">
        <f>AI53/($AI$224)</f>
        <v>1.0253649981486477E-2</v>
      </c>
      <c r="AK53" s="56">
        <f>AJ53*($G$260+$G$313-$B$406)</f>
        <v>18111.270543586794</v>
      </c>
      <c r="AL53" s="3">
        <v>56254.536661717277</v>
      </c>
      <c r="AM53" s="8">
        <f>AL53/AL$224</f>
        <v>1.193902671183191E-2</v>
      </c>
      <c r="AN53" s="3">
        <f>(AM53*$B$406)</f>
        <v>16232.121546044993</v>
      </c>
      <c r="AO53" s="3">
        <f>AN53+AK53</f>
        <v>34343.392089631787</v>
      </c>
      <c r="AP53" s="113">
        <f>$AO53/$AI53</f>
        <v>0.25559890393308277</v>
      </c>
      <c r="AQ53" s="3">
        <f>AB53+AD53+AH53</f>
        <v>-46899.647000000012</v>
      </c>
      <c r="AR53" s="3">
        <f>AQ53+AO53</f>
        <v>-12556.254910368225</v>
      </c>
      <c r="AS53" s="113">
        <f>AR53/AI53</f>
        <v>-9.3449272110875989E-2</v>
      </c>
      <c r="AT53" s="70"/>
      <c r="AU53" s="70"/>
      <c r="AV53" s="70"/>
      <c r="AW53" s="3"/>
      <c r="BA53" s="3"/>
      <c r="BB53" s="3"/>
      <c r="BC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</row>
    <row r="54" spans="1:68" ht="22.2" customHeight="1" x14ac:dyDescent="0.3">
      <c r="A54" s="2" t="s">
        <v>803</v>
      </c>
      <c r="B54" s="3">
        <v>-676.16600000000005</v>
      </c>
      <c r="C54" s="88">
        <f>$B54/$AI54</f>
        <v>-1.331516902243648E-2</v>
      </c>
      <c r="D54" s="3">
        <v>2000</v>
      </c>
      <c r="E54" s="88">
        <f>$D54/$AI54</f>
        <v>3.9384319893151915E-2</v>
      </c>
      <c r="F54" s="3">
        <v>0</v>
      </c>
      <c r="G54" s="88">
        <f>$F54/$AI54</f>
        <v>0</v>
      </c>
      <c r="H54" s="3">
        <v>0</v>
      </c>
      <c r="I54" s="88">
        <f>$H54/$AI54</f>
        <v>0</v>
      </c>
      <c r="J54" s="3">
        <v>2443.835</v>
      </c>
      <c r="K54" s="88">
        <f>$J54/$AI54</f>
        <v>4.8124389703040456E-2</v>
      </c>
      <c r="L54" s="3"/>
      <c r="M54" s="88">
        <f>$L54/$AI54</f>
        <v>0</v>
      </c>
      <c r="N54" s="3">
        <v>120</v>
      </c>
      <c r="O54" s="88">
        <f>$N54/$AI54</f>
        <v>2.363059193589115E-3</v>
      </c>
      <c r="P54" s="3">
        <v>124.14</v>
      </c>
      <c r="Q54" s="88">
        <f>$P54/$AI54</f>
        <v>2.4445847357679393E-3</v>
      </c>
      <c r="R54" s="3">
        <v>12321.671000000002</v>
      </c>
      <c r="S54" s="88">
        <f>$R54/$AI54</f>
        <v>0.24264031614108655</v>
      </c>
      <c r="U54" s="88">
        <f>$T54/$AI54</f>
        <v>0</v>
      </c>
      <c r="W54" s="88">
        <f>$V54/$AI54</f>
        <v>0</v>
      </c>
      <c r="X54" s="3">
        <v>126.76</v>
      </c>
      <c r="Y54" s="88">
        <f>$X54/$AI54</f>
        <v>2.4961781948279684E-3</v>
      </c>
      <c r="Z54" s="3">
        <v>267.447</v>
      </c>
      <c r="AA54" s="88">
        <f>$Z54/$AI54</f>
        <v>5.2666091012318998E-3</v>
      </c>
      <c r="AB54" s="56">
        <v>16727.687000000005</v>
      </c>
      <c r="AC54" s="88">
        <f>$AB54/AI54</f>
        <v>0.32940428794025944</v>
      </c>
      <c r="AD54" s="101">
        <v>25911.398999999998</v>
      </c>
      <c r="AE54" s="88">
        <f>$AD54/$AI54</f>
        <v>0.51025141354754822</v>
      </c>
      <c r="AF54" s="3">
        <v>-44452.949000000001</v>
      </c>
      <c r="AG54" s="3">
        <v>-6328.6819999999998</v>
      </c>
      <c r="AH54" s="89">
        <f>SUM(AF54,AG54)</f>
        <v>-50781.631000000001</v>
      </c>
      <c r="AI54" s="3">
        <f>((AF54+AG54)*-1)</f>
        <v>50781.631000000001</v>
      </c>
      <c r="AJ54" s="8">
        <f>AI54/($AI$224)</f>
        <v>3.8752607769565977E-3</v>
      </c>
      <c r="AK54" s="56">
        <f>AJ54*($G$260+$G$313-$B$406)</f>
        <v>6844.9670590605056</v>
      </c>
      <c r="AL54" s="3">
        <v>22182.916616399569</v>
      </c>
      <c r="AM54" s="8">
        <f>AL54/AL$224</f>
        <v>4.7079302354252036E-3</v>
      </c>
      <c r="AN54" s="3">
        <f>(AM54*$B$406)</f>
        <v>6400.8312952334772</v>
      </c>
      <c r="AO54" s="3">
        <f>AN54+AK54</f>
        <v>13245.798354293984</v>
      </c>
      <c r="AP54" s="113">
        <f>$AO54/$AI54</f>
        <v>0.26083837981284974</v>
      </c>
      <c r="AQ54" s="3">
        <f>AB54+AD54+AH54</f>
        <v>-8142.5449999999983</v>
      </c>
      <c r="AR54" s="3">
        <f>AQ54+AO54</f>
        <v>5103.2533542939855</v>
      </c>
      <c r="AS54" s="113">
        <f>AR54/AI54</f>
        <v>0.10049408130065743</v>
      </c>
      <c r="AT54" s="70"/>
      <c r="AU54" s="70"/>
      <c r="AV54" s="70"/>
      <c r="AW54" s="3"/>
      <c r="BA54" s="3"/>
      <c r="BB54" s="3"/>
      <c r="BC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</row>
    <row r="55" spans="1:68" ht="22.2" customHeight="1" x14ac:dyDescent="0.3">
      <c r="A55" s="2" t="s">
        <v>804</v>
      </c>
      <c r="B55" s="3">
        <v>0</v>
      </c>
      <c r="C55" s="88">
        <f>$B55/$AI55</f>
        <v>0</v>
      </c>
      <c r="D55" s="3">
        <v>1650</v>
      </c>
      <c r="E55" s="88">
        <f>$D55/$AI55</f>
        <v>1.6164841886244247E-2</v>
      </c>
      <c r="F55" s="3">
        <v>10.220000000000001</v>
      </c>
      <c r="G55" s="88">
        <f>$F55/$AI55</f>
        <v>1.0012405095600984E-4</v>
      </c>
      <c r="H55" s="3">
        <v>0</v>
      </c>
      <c r="I55" s="88">
        <f>$H55/$AI55</f>
        <v>0</v>
      </c>
      <c r="J55" s="3">
        <v>5426.3150000000005</v>
      </c>
      <c r="K55" s="88">
        <f>$J55/$AI55</f>
        <v>5.3160923636336649E-2</v>
      </c>
      <c r="L55" s="3"/>
      <c r="M55" s="88">
        <f>$L55/$AI55</f>
        <v>0</v>
      </c>
      <c r="N55" s="3">
        <v>129.52000000000001</v>
      </c>
      <c r="O55" s="88">
        <f>$N55/$AI55</f>
        <v>1.2688911037008214E-3</v>
      </c>
      <c r="P55" s="3">
        <v>136.61000000000001</v>
      </c>
      <c r="Q55" s="88">
        <f>$P55/$AI55</f>
        <v>1.3383509394423194E-3</v>
      </c>
      <c r="R55" s="3">
        <v>485.40500000000003</v>
      </c>
      <c r="S55" s="88">
        <f>$R55/$AI55</f>
        <v>4.7554515610862972E-3</v>
      </c>
      <c r="U55" s="88">
        <f>$T55/$AI55</f>
        <v>0</v>
      </c>
      <c r="W55" s="88">
        <f>$V55/$AI55</f>
        <v>0</v>
      </c>
      <c r="X55" s="3">
        <v>348.93999999999994</v>
      </c>
      <c r="Y55" s="88">
        <f>$X55/$AI55</f>
        <v>3.4185211683551925E-3</v>
      </c>
      <c r="Z55" s="3">
        <v>82.643999999999991</v>
      </c>
      <c r="AA55" s="88">
        <f>$Z55/$AI55</f>
        <v>8.0965284414955734E-4</v>
      </c>
      <c r="AB55" s="56">
        <v>8269.6540000000023</v>
      </c>
      <c r="AC55" s="88">
        <f>$AB55/AI55</f>
        <v>8.1016757190271113E-2</v>
      </c>
      <c r="AD55" s="101">
        <v>48175.151000000005</v>
      </c>
      <c r="AE55" s="88">
        <f>$AD55/$AI55</f>
        <v>0.47196587803693429</v>
      </c>
      <c r="AF55" s="3">
        <v>-90917.191999999981</v>
      </c>
      <c r="AG55" s="3">
        <v>-11156.184999999999</v>
      </c>
      <c r="AH55" s="89">
        <f>SUM(AF55,AG55)</f>
        <v>-102073.37699999998</v>
      </c>
      <c r="AI55" s="3">
        <f>((AF55+AG55)*-1)</f>
        <v>102073.37699999998</v>
      </c>
      <c r="AJ55" s="8">
        <f>AI55/($AI$224)</f>
        <v>7.7894495799003313E-3</v>
      </c>
      <c r="AK55" s="56">
        <f>AJ55*($G$260+$G$313-$B$406)</f>
        <v>13758.693634162008</v>
      </c>
      <c r="AL55" s="3">
        <v>36908.13257436276</v>
      </c>
      <c r="AM55" s="8">
        <f>AL55/AL$224</f>
        <v>7.8330959036948689E-3</v>
      </c>
      <c r="AN55" s="3">
        <f>(AM55*$B$406)</f>
        <v>10649.759637826697</v>
      </c>
      <c r="AO55" s="3">
        <f>AN55+AK55</f>
        <v>24408.453271988707</v>
      </c>
      <c r="AP55" s="113">
        <f>$AO55/$AI55</f>
        <v>0.23912653807847184</v>
      </c>
      <c r="AQ55" s="3">
        <f>AB55+AD55+AH55</f>
        <v>-45628.571999999971</v>
      </c>
      <c r="AR55" s="3">
        <f>AQ55+AO55</f>
        <v>-21220.118728011264</v>
      </c>
      <c r="AS55" s="113">
        <f>AR55/AI55</f>
        <v>-0.20789082669432274</v>
      </c>
      <c r="AT55" s="70"/>
      <c r="AU55" s="70"/>
      <c r="AV55" s="70"/>
      <c r="AW55" s="3"/>
      <c r="BA55" s="3"/>
      <c r="BB55" s="3"/>
      <c r="BC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</row>
    <row r="56" spans="1:68" ht="22.2" customHeight="1" x14ac:dyDescent="0.3">
      <c r="A56" s="2" t="s">
        <v>805</v>
      </c>
      <c r="B56" s="3">
        <v>0</v>
      </c>
      <c r="C56" s="88">
        <f>$B56/$AI56</f>
        <v>0</v>
      </c>
      <c r="D56" s="3">
        <v>0</v>
      </c>
      <c r="E56" s="88">
        <f>$D56/$AI56</f>
        <v>0</v>
      </c>
      <c r="F56" s="3">
        <v>212.51</v>
      </c>
      <c r="G56" s="88">
        <f>$F56/$AI56</f>
        <v>3.0733554601621266E-3</v>
      </c>
      <c r="H56" s="3">
        <v>0</v>
      </c>
      <c r="I56" s="88">
        <f>$H56/$AI56</f>
        <v>0</v>
      </c>
      <c r="J56" s="3">
        <v>8750.8179999999993</v>
      </c>
      <c r="K56" s="88">
        <f>$J56/$AI56</f>
        <v>0.12655580575589392</v>
      </c>
      <c r="L56" s="3"/>
      <c r="M56" s="88">
        <f>$L56/$AI56</f>
        <v>0</v>
      </c>
      <c r="N56" s="3"/>
      <c r="O56" s="88">
        <f>$N56/$AI56</f>
        <v>0</v>
      </c>
      <c r="P56" s="3">
        <v>79.680000000000007</v>
      </c>
      <c r="Q56" s="88">
        <f>$P56/$AI56</f>
        <v>1.1523455981634664E-3</v>
      </c>
      <c r="R56" s="3">
        <v>2760.4429999999998</v>
      </c>
      <c r="S56" s="88">
        <f>$R56/$AI56</f>
        <v>3.9921992219266483E-2</v>
      </c>
      <c r="U56" s="88">
        <f>$T56/$AI56</f>
        <v>0</v>
      </c>
      <c r="W56" s="88">
        <f>$V56/$AI56</f>
        <v>0</v>
      </c>
      <c r="X56" s="3">
        <v>950.1400000000001</v>
      </c>
      <c r="Y56" s="88">
        <f>$X56/$AI56</f>
        <v>1.3741084922678665E-2</v>
      </c>
      <c r="Z56" s="3">
        <v>29.535</v>
      </c>
      <c r="AA56" s="88">
        <f>$Z56/$AI56</f>
        <v>4.2714015112648069E-4</v>
      </c>
      <c r="AB56" s="56">
        <v>12783.126000000002</v>
      </c>
      <c r="AC56" s="88">
        <f>$AB56/AI56</f>
        <v>0.18487172410729119</v>
      </c>
      <c r="AD56" s="101">
        <v>35442.021000000001</v>
      </c>
      <c r="AE56" s="88">
        <f>$AD56/$AI56</f>
        <v>0.51256848505731845</v>
      </c>
      <c r="AF56" s="3">
        <v>-60112.355000000003</v>
      </c>
      <c r="AG56" s="3">
        <v>-9033.5679999999993</v>
      </c>
      <c r="AH56" s="89">
        <f>SUM(AF56,AG56)</f>
        <v>-69145.92300000001</v>
      </c>
      <c r="AI56" s="3">
        <f>((AF56+AG56)*-1)</f>
        <v>69145.92300000001</v>
      </c>
      <c r="AJ56" s="8">
        <f>AI56/($AI$224)</f>
        <v>5.2766813119563081E-3</v>
      </c>
      <c r="AK56" s="56">
        <f>AJ56*($G$260+$G$313-$B$406)</f>
        <v>9320.3301249488068</v>
      </c>
      <c r="AL56" s="3">
        <v>18294.676459931692</v>
      </c>
      <c r="AM56" s="8">
        <f>AL56/AL$224</f>
        <v>3.8827202906834713E-3</v>
      </c>
      <c r="AN56" s="3">
        <f>(AM56*$B$406)</f>
        <v>5278.8882384533008</v>
      </c>
      <c r="AO56" s="3">
        <f>AN56+AK56</f>
        <v>14599.218363402108</v>
      </c>
      <c r="AP56" s="113">
        <f>$AO56/$AI56</f>
        <v>0.21113635815378595</v>
      </c>
      <c r="AQ56" s="3">
        <f>AB56+AD56+AH56</f>
        <v>-20920.776000000005</v>
      </c>
      <c r="AR56" s="3">
        <f>AQ56+AO56</f>
        <v>-6321.5576365978977</v>
      </c>
      <c r="AS56" s="113">
        <f>AR56/AI56</f>
        <v>-9.1423432681604341E-2</v>
      </c>
      <c r="AT56" s="70"/>
      <c r="AU56" s="70"/>
      <c r="AV56" s="70"/>
      <c r="AW56" s="3"/>
      <c r="BA56" s="3"/>
      <c r="BB56" s="3"/>
      <c r="BC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</row>
    <row r="57" spans="1:68" ht="22.2" customHeight="1" x14ac:dyDescent="0.3">
      <c r="A57" s="2" t="s">
        <v>806</v>
      </c>
      <c r="B57" s="3">
        <v>0</v>
      </c>
      <c r="C57" s="88">
        <f>$B57/$AI57</f>
        <v>0</v>
      </c>
      <c r="D57" s="3">
        <v>940</v>
      </c>
      <c r="E57" s="88">
        <f>$D57/$AI57</f>
        <v>1.351742066215977E-2</v>
      </c>
      <c r="F57" s="3">
        <v>32.36</v>
      </c>
      <c r="G57" s="88">
        <f>$F57/$AI57</f>
        <v>4.6534439641222354E-4</v>
      </c>
      <c r="H57" s="3">
        <v>0</v>
      </c>
      <c r="I57" s="88">
        <f>$H57/$AI57</f>
        <v>0</v>
      </c>
      <c r="J57" s="3">
        <v>3520.317</v>
      </c>
      <c r="K57" s="88">
        <f>$J57/$AI57</f>
        <v>5.0622984843779036E-2</v>
      </c>
      <c r="L57" s="3"/>
      <c r="M57" s="88">
        <f>$L57/$AI57</f>
        <v>0</v>
      </c>
      <c r="N57" s="3">
        <v>80</v>
      </c>
      <c r="O57" s="88">
        <f>$N57/$AI57</f>
        <v>1.1504187797582782E-3</v>
      </c>
      <c r="P57" s="3">
        <v>201.86</v>
      </c>
      <c r="Q57" s="88">
        <f>$P57/$AI57</f>
        <v>2.9027941860250758E-3</v>
      </c>
      <c r="R57" s="3">
        <v>171.78400000000002</v>
      </c>
      <c r="S57" s="88">
        <f>$R57/$AI57</f>
        <v>2.4702942457749512E-3</v>
      </c>
      <c r="U57" s="88">
        <f>$T57/$AI57</f>
        <v>0</v>
      </c>
      <c r="W57" s="88">
        <f>$V57/$AI57</f>
        <v>0</v>
      </c>
      <c r="X57" s="3">
        <v>92.3</v>
      </c>
      <c r="Y57" s="88">
        <f>$X57/$AI57</f>
        <v>1.3272956671461136E-3</v>
      </c>
      <c r="Z57" s="3">
        <v>46.680999999999997</v>
      </c>
      <c r="AA57" s="88">
        <f>$Z57/$AI57</f>
        <v>6.7128373822370228E-4</v>
      </c>
      <c r="AB57" s="56">
        <v>5085.3019999999997</v>
      </c>
      <c r="AC57" s="88">
        <f>$AB57/AI57</f>
        <v>7.3127836519279149E-2</v>
      </c>
      <c r="AD57" s="101">
        <v>35552.532999999996</v>
      </c>
      <c r="AE57" s="88">
        <f>$AD57/$AI57</f>
        <v>0.51125377038969899</v>
      </c>
      <c r="AF57" s="3">
        <v>-61465.545999999988</v>
      </c>
      <c r="AG57" s="3">
        <v>-8074.348</v>
      </c>
      <c r="AH57" s="89">
        <f>SUM(AF57,AG57)</f>
        <v>-69539.893999999986</v>
      </c>
      <c r="AI57" s="3">
        <f>((AF57+AG57)*-1)</f>
        <v>69539.893999999986</v>
      </c>
      <c r="AJ57" s="8">
        <f>AI57/($AI$224)</f>
        <v>5.3067461273923911E-3</v>
      </c>
      <c r="AK57" s="56">
        <f>AJ57*($G$260+$G$313-$B$406)</f>
        <v>9373.434337320894</v>
      </c>
      <c r="AL57" s="3">
        <v>27408.169221032422</v>
      </c>
      <c r="AM57" s="8">
        <f>AL57/AL$224</f>
        <v>5.8168973361219043E-3</v>
      </c>
      <c r="AN57" s="3">
        <f>(AM57*$B$406)</f>
        <v>7908.5663228496378</v>
      </c>
      <c r="AO57" s="3">
        <f>AN57+AK57</f>
        <v>17282.000660170532</v>
      </c>
      <c r="AP57" s="113">
        <f>$AO57/$AI57</f>
        <v>0.2485192263906893</v>
      </c>
      <c r="AQ57" s="3">
        <f>AB57+AD57+AH57</f>
        <v>-28902.058999999994</v>
      </c>
      <c r="AR57" s="3">
        <f>AQ57+AO57</f>
        <v>-11620.058339829462</v>
      </c>
      <c r="AS57" s="113">
        <f>AR57/AI57</f>
        <v>-0.16709916670033267</v>
      </c>
      <c r="AT57" s="70"/>
      <c r="AU57" s="70"/>
      <c r="AV57" s="70"/>
      <c r="AW57" s="3"/>
      <c r="BA57" s="3"/>
      <c r="BB57" s="3"/>
      <c r="BC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</row>
    <row r="58" spans="1:68" ht="22.2" customHeight="1" x14ac:dyDescent="0.3">
      <c r="A58" s="2" t="s">
        <v>807</v>
      </c>
      <c r="B58" s="3">
        <v>0</v>
      </c>
      <c r="C58" s="88">
        <f>$B58/$AI58</f>
        <v>0</v>
      </c>
      <c r="D58" s="3">
        <v>0</v>
      </c>
      <c r="E58" s="88">
        <f>$D58/$AI58</f>
        <v>0</v>
      </c>
      <c r="F58" s="3">
        <v>14.95</v>
      </c>
      <c r="G58" s="88">
        <f>$F58/$AI58</f>
        <v>9.6229265562217741E-5</v>
      </c>
      <c r="H58" s="3">
        <v>0</v>
      </c>
      <c r="I58" s="88">
        <f>$H58/$AI58</f>
        <v>0</v>
      </c>
      <c r="J58" s="3">
        <v>17860.266</v>
      </c>
      <c r="K58" s="88">
        <f>$J58/$AI58</f>
        <v>0.11496189163383601</v>
      </c>
      <c r="L58" s="3"/>
      <c r="M58" s="88">
        <f>$L58/$AI58</f>
        <v>0</v>
      </c>
      <c r="N58" s="3"/>
      <c r="O58" s="88">
        <f>$N58/$AI58</f>
        <v>0</v>
      </c>
      <c r="P58" s="3">
        <v>680.05000000000007</v>
      </c>
      <c r="Q58" s="88">
        <f>$P58/$AI58</f>
        <v>4.3773051535509148E-3</v>
      </c>
      <c r="R58" s="3">
        <v>950.41000000000008</v>
      </c>
      <c r="S58" s="88">
        <f>$R58/$AI58</f>
        <v>6.1175422262867802E-3</v>
      </c>
      <c r="U58" s="88">
        <f>$T58/$AI58</f>
        <v>0</v>
      </c>
      <c r="W58" s="88">
        <f>$V58/$AI58</f>
        <v>0</v>
      </c>
      <c r="X58" s="3">
        <v>934.84</v>
      </c>
      <c r="Y58" s="88">
        <f>$X58/$AI58</f>
        <v>6.0173221818183029E-3</v>
      </c>
      <c r="Z58" s="3">
        <v>794.221</v>
      </c>
      <c r="AA58" s="88">
        <f>$Z58/$AI58</f>
        <v>5.1121942156582027E-3</v>
      </c>
      <c r="AB58" s="56">
        <v>21234.737000000005</v>
      </c>
      <c r="AC58" s="88">
        <f>$AB58/AI58</f>
        <v>0.13668248467671246</v>
      </c>
      <c r="AD58" s="101">
        <v>72373.637000000017</v>
      </c>
      <c r="AE58" s="88">
        <f>$AD58/$AI58</f>
        <v>0.4658502966271939</v>
      </c>
      <c r="AF58" s="3">
        <v>-138029.424</v>
      </c>
      <c r="AG58" s="3">
        <v>-17328.719000000001</v>
      </c>
      <c r="AH58" s="89">
        <f>SUM(AF58,AG58)</f>
        <v>-155358.14300000001</v>
      </c>
      <c r="AI58" s="3">
        <f>((AF58+AG58)*-1)</f>
        <v>155358.14300000001</v>
      </c>
      <c r="AJ58" s="8">
        <f>AI58/($AI$224)</f>
        <v>1.1855730233412831E-2</v>
      </c>
      <c r="AK58" s="56">
        <f>AJ58*($G$260+$G$313-$B$406)</f>
        <v>20941.063732116272</v>
      </c>
      <c r="AL58" s="3">
        <v>58393.584352344027</v>
      </c>
      <c r="AM58" s="8">
        <f>AL58/AL$224</f>
        <v>1.239300160935612E-2</v>
      </c>
      <c r="AN58" s="3">
        <f>(AM58*$B$406)</f>
        <v>16849.339003826826</v>
      </c>
      <c r="AO58" s="3">
        <f>AN58+AK58</f>
        <v>37790.402735943098</v>
      </c>
      <c r="AP58" s="113">
        <f>$AO58/$AI58</f>
        <v>0.24324700338329286</v>
      </c>
      <c r="AQ58" s="3">
        <f>AB58+AD58+AH58</f>
        <v>-61749.768999999986</v>
      </c>
      <c r="AR58" s="3">
        <f>AQ58+AO58</f>
        <v>-23959.366264056887</v>
      </c>
      <c r="AS58" s="113">
        <f>AR58/AI58</f>
        <v>-0.15422021531280072</v>
      </c>
      <c r="AT58" s="70"/>
      <c r="AU58" s="70"/>
      <c r="AV58" s="70"/>
      <c r="AW58" s="3"/>
      <c r="BA58" s="3"/>
      <c r="BB58" s="3"/>
      <c r="BC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</row>
    <row r="59" spans="1:68" ht="22.2" customHeight="1" x14ac:dyDescent="0.3">
      <c r="A59" s="2" t="s">
        <v>808</v>
      </c>
      <c r="B59" s="3">
        <v>0</v>
      </c>
      <c r="C59" s="88">
        <f>$B59/$AI59</f>
        <v>0</v>
      </c>
      <c r="D59" s="3">
        <v>1500</v>
      </c>
      <c r="E59" s="88">
        <f>$D59/$AI59</f>
        <v>1.1705574735486592E-2</v>
      </c>
      <c r="F59" s="3">
        <v>399.81</v>
      </c>
      <c r="G59" s="88">
        <f>$F59/$AI59</f>
        <v>3.1200038899965961E-3</v>
      </c>
      <c r="H59" s="3">
        <v>0</v>
      </c>
      <c r="I59" s="88">
        <f>$H59/$AI59</f>
        <v>0</v>
      </c>
      <c r="J59" s="3">
        <v>5734.116</v>
      </c>
      <c r="K59" s="88">
        <f>$J59/$AI59</f>
        <v>4.4747415586632956E-2</v>
      </c>
      <c r="L59" s="3"/>
      <c r="M59" s="88">
        <f>$L59/$AI59</f>
        <v>0</v>
      </c>
      <c r="N59" s="3"/>
      <c r="O59" s="88">
        <f>$N59/$AI59</f>
        <v>0</v>
      </c>
      <c r="P59" s="3">
        <v>95.58</v>
      </c>
      <c r="Q59" s="88">
        <f>$P59/$AI59</f>
        <v>7.4587922214520562E-4</v>
      </c>
      <c r="R59" s="3">
        <v>455.50100000000003</v>
      </c>
      <c r="S59" s="88">
        <f>$R59/$AI59</f>
        <v>3.5546006650592522E-3</v>
      </c>
      <c r="U59" s="88">
        <f>$T59/$AI59</f>
        <v>0</v>
      </c>
      <c r="W59" s="88">
        <f>$V59/$AI59</f>
        <v>0</v>
      </c>
      <c r="X59" s="3">
        <v>271.39999999999998</v>
      </c>
      <c r="Y59" s="88">
        <f>$X59/$AI59</f>
        <v>2.1179286554740403E-3</v>
      </c>
      <c r="Z59" s="3">
        <v>288.39099999999996</v>
      </c>
      <c r="AA59" s="88">
        <f>$Z59/$AI59</f>
        <v>2.250521602361142E-3</v>
      </c>
      <c r="AB59" s="56">
        <v>8744.7980000000007</v>
      </c>
      <c r="AC59" s="88">
        <f>$AB59/AI59</f>
        <v>6.8241924357155787E-2</v>
      </c>
      <c r="AD59" s="101">
        <v>66640.881999999998</v>
      </c>
      <c r="AE59" s="88">
        <f>$AD59/$AI59</f>
        <v>0.52004654979316212</v>
      </c>
      <c r="AF59" s="3">
        <v>-112198.212</v>
      </c>
      <c r="AG59" s="3">
        <v>-15945.859</v>
      </c>
      <c r="AH59" s="89">
        <f>SUM(AF59,AG59)</f>
        <v>-128144.071</v>
      </c>
      <c r="AI59" s="3">
        <f>((AF59+AG59)*-1)</f>
        <v>128144.071</v>
      </c>
      <c r="AJ59" s="8">
        <f>AI59/($AI$224)</f>
        <v>9.7789630298767173E-3</v>
      </c>
      <c r="AK59" s="56">
        <f>AJ59*($G$260+$G$313-$B$406)</f>
        <v>17272.819473027768</v>
      </c>
      <c r="AL59" s="3">
        <v>55876.535044764249</v>
      </c>
      <c r="AM59" s="8">
        <f>AL59/AL$224</f>
        <v>1.1858802579348937E-2</v>
      </c>
      <c r="AN59" s="3">
        <f>(AM59*$B$406)</f>
        <v>16123.050019460745</v>
      </c>
      <c r="AO59" s="3">
        <f>AN59+AK59</f>
        <v>33395.869492488513</v>
      </c>
      <c r="AP59" s="113">
        <f>$AO59/$AI59</f>
        <v>0.26061189746725399</v>
      </c>
      <c r="AQ59" s="3">
        <f>AB59+AD59+AH59</f>
        <v>-52758.391000000003</v>
      </c>
      <c r="AR59" s="3">
        <f>AQ59+AO59</f>
        <v>-19362.52150751149</v>
      </c>
      <c r="AS59" s="113">
        <f>AR59/AI59</f>
        <v>-0.15109962838242816</v>
      </c>
      <c r="AT59" s="70"/>
      <c r="AU59" s="70"/>
      <c r="AV59" s="70"/>
      <c r="AW59" s="3"/>
      <c r="BA59" s="3"/>
      <c r="BB59" s="3"/>
      <c r="BC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</row>
    <row r="60" spans="1:68" ht="22.2" customHeight="1" x14ac:dyDescent="0.3">
      <c r="A60" s="2" t="s">
        <v>809</v>
      </c>
      <c r="B60" s="3">
        <v>0</v>
      </c>
      <c r="C60" s="88">
        <f>$B60/$AI60</f>
        <v>0</v>
      </c>
      <c r="D60" s="3">
        <v>500</v>
      </c>
      <c r="E60" s="88">
        <f>$D60/$AI60</f>
        <v>3.2928398764278852E-3</v>
      </c>
      <c r="F60" s="3">
        <v>15</v>
      </c>
      <c r="G60" s="88">
        <f>$F60/$AI60</f>
        <v>9.8785196292836556E-5</v>
      </c>
      <c r="H60" s="3">
        <v>0</v>
      </c>
      <c r="I60" s="88">
        <f>$H60/$AI60</f>
        <v>0</v>
      </c>
      <c r="J60" s="3">
        <v>4918.5209999999997</v>
      </c>
      <c r="K60" s="88">
        <f>$J60/$AI60</f>
        <v>3.2391804163695914E-2</v>
      </c>
      <c r="L60" s="3"/>
      <c r="M60" s="88">
        <f>$L60/$AI60</f>
        <v>0</v>
      </c>
      <c r="N60" s="3">
        <v>16.100000000000001</v>
      </c>
      <c r="O60" s="88">
        <f>$N60/$AI60</f>
        <v>1.060294440209779E-4</v>
      </c>
      <c r="P60" s="3">
        <v>855.8</v>
      </c>
      <c r="Q60" s="88">
        <f>$P60/$AI60</f>
        <v>5.6360247324939673E-3</v>
      </c>
      <c r="R60" s="3">
        <v>112.05099999999999</v>
      </c>
      <c r="S60" s="88">
        <f>$R60/$AI60</f>
        <v>7.3793200198724181E-4</v>
      </c>
      <c r="U60" s="88">
        <f>$T60/$AI60</f>
        <v>0</v>
      </c>
      <c r="W60" s="88">
        <f>$V60/$AI60</f>
        <v>0</v>
      </c>
      <c r="X60" s="3">
        <v>253.20000000000002</v>
      </c>
      <c r="Y60" s="88">
        <f>$X60/$AI60</f>
        <v>1.6674941134230811E-3</v>
      </c>
      <c r="Z60" s="3">
        <v>104.182</v>
      </c>
      <c r="AA60" s="88">
        <f>$Z60/$AI60</f>
        <v>6.861092880120199E-4</v>
      </c>
      <c r="AB60" s="56">
        <v>6774.8540000000003</v>
      </c>
      <c r="AC60" s="88">
        <f>$AB60/AI60</f>
        <v>4.461701881635393E-2</v>
      </c>
      <c r="AD60" s="101">
        <v>92403.5</v>
      </c>
      <c r="AE60" s="88">
        <f>$AD60/$AI60</f>
        <v>0.60853985904300811</v>
      </c>
      <c r="AF60" s="3">
        <v>-135755.57400000002</v>
      </c>
      <c r="AG60" s="3">
        <v>-16089.04</v>
      </c>
      <c r="AH60" s="89">
        <f>SUM(AF60,AG60)</f>
        <v>-151844.61400000003</v>
      </c>
      <c r="AI60" s="3">
        <f>((AF60+AG60)*-1)</f>
        <v>151844.61400000003</v>
      </c>
      <c r="AJ60" s="8">
        <f>AI60/($AI$224)</f>
        <v>1.1587604912223375E-2</v>
      </c>
      <c r="AK60" s="56">
        <f>AJ60*($G$260+$G$313-$B$406)</f>
        <v>20467.467477083552</v>
      </c>
      <c r="AL60" s="3">
        <v>49508.297954725444</v>
      </c>
      <c r="AM60" s="8">
        <f>AL60/AL$224</f>
        <v>1.0507257313187445E-2</v>
      </c>
      <c r="AN60" s="3">
        <f>(AM60*$B$406)</f>
        <v>14285.509358497698</v>
      </c>
      <c r="AO60" s="3">
        <f>AN60+AK60</f>
        <v>34752.976835581248</v>
      </c>
      <c r="AP60" s="113">
        <f>$AO60/$AI60</f>
        <v>0.22887197589755301</v>
      </c>
      <c r="AQ60" s="3">
        <f>AB60+AD60+AH60</f>
        <v>-52666.260000000024</v>
      </c>
      <c r="AR60" s="3">
        <f>AQ60+AO60</f>
        <v>-17913.283164418775</v>
      </c>
      <c r="AS60" s="113">
        <f>AR60/AI60</f>
        <v>-0.11797114624308487</v>
      </c>
      <c r="AT60" s="70"/>
      <c r="AU60" s="70"/>
      <c r="AV60" s="70"/>
      <c r="AW60" s="3"/>
      <c r="BA60" s="3"/>
      <c r="BB60" s="3"/>
      <c r="BC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</row>
    <row r="61" spans="1:68" ht="22.2" customHeight="1" x14ac:dyDescent="0.3">
      <c r="A61" s="2" t="s">
        <v>810</v>
      </c>
      <c r="B61" s="3">
        <v>0</v>
      </c>
      <c r="C61" s="88">
        <f>$B61/$AI61</f>
        <v>0</v>
      </c>
      <c r="D61" s="3">
        <v>1700</v>
      </c>
      <c r="E61" s="88">
        <f>$D61/$AI61</f>
        <v>1.1341633140465527E-2</v>
      </c>
      <c r="F61" s="3">
        <v>0</v>
      </c>
      <c r="G61" s="88">
        <f>$F61/$AI61</f>
        <v>0</v>
      </c>
      <c r="H61" s="3">
        <v>0</v>
      </c>
      <c r="I61" s="88">
        <f>$H61/$AI61</f>
        <v>0</v>
      </c>
      <c r="J61" s="3">
        <v>5507.7739999999994</v>
      </c>
      <c r="K61" s="88">
        <f>$J61/$AI61</f>
        <v>3.6745383605055512E-2</v>
      </c>
      <c r="L61" s="3"/>
      <c r="M61" s="88">
        <f>$L61/$AI61</f>
        <v>0</v>
      </c>
      <c r="N61" s="3"/>
      <c r="O61" s="88">
        <f>$N61/$AI61</f>
        <v>0</v>
      </c>
      <c r="P61" s="3">
        <v>331.92</v>
      </c>
      <c r="Q61" s="88">
        <f>$P61/$AI61</f>
        <v>2.2144205129313635E-3</v>
      </c>
      <c r="R61" s="3">
        <v>16.923000000000002</v>
      </c>
      <c r="S61" s="88">
        <f>$R61/$AI61</f>
        <v>1.1290262213888126E-4</v>
      </c>
      <c r="U61" s="88">
        <f>$T61/$AI61</f>
        <v>0</v>
      </c>
      <c r="W61" s="88">
        <f>$V61/$AI61</f>
        <v>0</v>
      </c>
      <c r="X61" s="3">
        <v>277.93</v>
      </c>
      <c r="Y61" s="88">
        <f>$X61/$AI61</f>
        <v>1.8542235874879907E-3</v>
      </c>
      <c r="Z61" s="3">
        <v>49.828000000000003</v>
      </c>
      <c r="AA61" s="88">
        <f>$Z61/$AI61</f>
        <v>3.3242993889595076E-4</v>
      </c>
      <c r="AB61" s="56">
        <v>7884.3749999999991</v>
      </c>
      <c r="AC61" s="88">
        <f>$AB61/AI61</f>
        <v>5.2600993406975223E-2</v>
      </c>
      <c r="AD61" s="101">
        <v>84520.887999999992</v>
      </c>
      <c r="AE61" s="88">
        <f>$AD61/$AI61</f>
        <v>0.56388523788375</v>
      </c>
      <c r="AF61" s="3">
        <v>-133036.47699999998</v>
      </c>
      <c r="AG61" s="3">
        <v>-16853.753000000001</v>
      </c>
      <c r="AH61" s="89">
        <f>SUM(AF61,AG61)</f>
        <v>-149890.22999999998</v>
      </c>
      <c r="AI61" s="3">
        <f>((AF61+AG61)*-1)</f>
        <v>149890.22999999998</v>
      </c>
      <c r="AJ61" s="8">
        <f>AI61/($AI$224)</f>
        <v>1.1438461461940896E-2</v>
      </c>
      <c r="AK61" s="56">
        <f>AJ61*($G$260+$G$313-$B$406)</f>
        <v>20204.031785135114</v>
      </c>
      <c r="AL61" s="3">
        <v>50936.700268160486</v>
      </c>
      <c r="AM61" s="8">
        <f>AL61/AL$224</f>
        <v>1.0810410345588991E-2</v>
      </c>
      <c r="AN61" s="3">
        <f>(AM61*$B$406)</f>
        <v>14697.671671872653</v>
      </c>
      <c r="AO61" s="3">
        <f>AN61+AK61</f>
        <v>34901.703457007767</v>
      </c>
      <c r="AP61" s="113">
        <f>$AO61/$AI61</f>
        <v>0.23284842152158797</v>
      </c>
      <c r="AQ61" s="3">
        <f>AB61+AD61+AH61</f>
        <v>-57484.96699999999</v>
      </c>
      <c r="AR61" s="3">
        <f>AQ61+AO61</f>
        <v>-22583.263542992223</v>
      </c>
      <c r="AS61" s="113">
        <f>AR61/AI61</f>
        <v>-0.15066534718768679</v>
      </c>
      <c r="AT61" s="70"/>
      <c r="AU61" s="70"/>
      <c r="AV61" s="70"/>
      <c r="AW61" s="3"/>
      <c r="BA61" s="3"/>
      <c r="BB61" s="3"/>
      <c r="BC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</row>
    <row r="62" spans="1:68" ht="22.2" customHeight="1" x14ac:dyDescent="0.3">
      <c r="A62" s="2" t="s">
        <v>811</v>
      </c>
      <c r="B62" s="3">
        <v>0</v>
      </c>
      <c r="C62" s="88">
        <f>$B62/$AI62</f>
        <v>0</v>
      </c>
      <c r="D62" s="3">
        <v>700</v>
      </c>
      <c r="E62" s="88">
        <f>$D62/$AI62</f>
        <v>1.9701648369370557E-2</v>
      </c>
      <c r="F62" s="3">
        <v>0</v>
      </c>
      <c r="G62" s="88">
        <f>$F62/$AI62</f>
        <v>0</v>
      </c>
      <c r="H62" s="3">
        <v>0</v>
      </c>
      <c r="I62" s="88">
        <f>$H62/$AI62</f>
        <v>0</v>
      </c>
      <c r="J62" s="3">
        <v>3558.1260000000002</v>
      </c>
      <c r="K62" s="88">
        <f>$J62/$AI62</f>
        <v>0.10014421043702142</v>
      </c>
      <c r="L62" s="3"/>
      <c r="M62" s="88">
        <f>$L62/$AI62</f>
        <v>0</v>
      </c>
      <c r="N62" s="3"/>
      <c r="O62" s="88">
        <f>$N62/$AI62</f>
        <v>0</v>
      </c>
      <c r="P62" s="3">
        <v>43.61</v>
      </c>
      <c r="Q62" s="88">
        <f>$P62/$AI62</f>
        <v>1.2274126934117857E-3</v>
      </c>
      <c r="R62" s="3">
        <v>227.97800000000001</v>
      </c>
      <c r="S62" s="88">
        <f>$R62/$AI62</f>
        <v>6.4164891313605163E-3</v>
      </c>
      <c r="U62" s="88">
        <f>$T62/$AI62</f>
        <v>0</v>
      </c>
      <c r="W62" s="88">
        <f>$V62/$AI62</f>
        <v>0</v>
      </c>
      <c r="X62" s="3">
        <v>80</v>
      </c>
      <c r="Y62" s="88">
        <f>$X62/$AI62</f>
        <v>2.2516169564994921E-3</v>
      </c>
      <c r="Z62" s="3">
        <v>146.85499999999999</v>
      </c>
      <c r="AA62" s="88">
        <f>$Z62/$AI62</f>
        <v>4.1332651018341614E-3</v>
      </c>
      <c r="AB62" s="56">
        <v>4756.5690000000013</v>
      </c>
      <c r="AC62" s="88">
        <f>$AB62/AI62</f>
        <v>0.13387464268949795</v>
      </c>
      <c r="AD62" s="101">
        <v>17531.842000000001</v>
      </c>
      <c r="AE62" s="88">
        <f>$AD62/$AI62</f>
        <v>0.49343740907337469</v>
      </c>
      <c r="AF62" s="3">
        <v>-31157.851999999999</v>
      </c>
      <c r="AG62" s="3">
        <v>-4372.17</v>
      </c>
      <c r="AH62" s="89">
        <f>SUM(AF62,AG62)</f>
        <v>-35530.021999999997</v>
      </c>
      <c r="AI62" s="3">
        <f>((AF62+AG62)*-1)</f>
        <v>35530.021999999997</v>
      </c>
      <c r="AJ62" s="8">
        <f>AI62/($AI$224)</f>
        <v>2.7113761009567613E-3</v>
      </c>
      <c r="AK62" s="56">
        <f>AJ62*($G$260+$G$313-$B$406)</f>
        <v>4789.1693395530174</v>
      </c>
      <c r="AL62" s="3">
        <v>14105.729870419913</v>
      </c>
      <c r="AM62" s="8">
        <f>AL62/AL$224</f>
        <v>2.993690744011322E-3</v>
      </c>
      <c r="AN62" s="3">
        <f>(AM62*$B$406)</f>
        <v>4070.1770086420597</v>
      </c>
      <c r="AO62" s="3">
        <f>AN62+AK62</f>
        <v>8859.3463481950766</v>
      </c>
      <c r="AP62" s="113">
        <f>$AO62/$AI62</f>
        <v>0.24934818076372364</v>
      </c>
      <c r="AQ62" s="3">
        <f>AB62+AD62+AH62</f>
        <v>-13241.610999999997</v>
      </c>
      <c r="AR62" s="3">
        <f>AQ62+AO62</f>
        <v>-4382.2646518049205</v>
      </c>
      <c r="AS62" s="113">
        <f>AR62/AI62</f>
        <v>-0.12333976747340378</v>
      </c>
      <c r="AT62" s="70"/>
      <c r="AU62" s="70"/>
      <c r="AV62" s="70"/>
      <c r="AW62" s="3"/>
      <c r="BA62" s="3"/>
      <c r="BB62" s="3"/>
      <c r="BC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</row>
    <row r="63" spans="1:68" ht="22.2" customHeight="1" x14ac:dyDescent="0.3">
      <c r="A63" s="2" t="s">
        <v>812</v>
      </c>
      <c r="B63" s="3">
        <v>0</v>
      </c>
      <c r="C63" s="88">
        <f>$B63/$AI63</f>
        <v>0</v>
      </c>
      <c r="D63" s="3">
        <v>600</v>
      </c>
      <c r="E63" s="88">
        <f>$D63/$AI63</f>
        <v>8.5456147109908721E-3</v>
      </c>
      <c r="F63" s="3">
        <v>25</v>
      </c>
      <c r="G63" s="88">
        <f>$F63/$AI63</f>
        <v>3.5606727962461963E-4</v>
      </c>
      <c r="H63" s="3">
        <v>0</v>
      </c>
      <c r="I63" s="88">
        <f>$H63/$AI63</f>
        <v>0</v>
      </c>
      <c r="J63" s="3">
        <v>3115.8069999999998</v>
      </c>
      <c r="K63" s="88">
        <f>$J63/$AI63</f>
        <v>4.4377476893013891E-2</v>
      </c>
      <c r="L63" s="3"/>
      <c r="M63" s="88">
        <f>$L63/$AI63</f>
        <v>0</v>
      </c>
      <c r="N63" s="3"/>
      <c r="O63" s="88">
        <f>$N63/$AI63</f>
        <v>0</v>
      </c>
      <c r="P63" s="3">
        <v>41</v>
      </c>
      <c r="Q63" s="88">
        <f>$P63/$AI63</f>
        <v>5.8395033858437621E-4</v>
      </c>
      <c r="R63" s="3">
        <v>37.936999999999998</v>
      </c>
      <c r="S63" s="88">
        <f>$R63/$AI63</f>
        <v>5.4032497548476774E-4</v>
      </c>
      <c r="U63" s="88">
        <f>$T63/$AI63</f>
        <v>0</v>
      </c>
      <c r="W63" s="88">
        <f>$V63/$AI63</f>
        <v>0</v>
      </c>
      <c r="X63" s="3">
        <v>116.88</v>
      </c>
      <c r="Y63" s="88">
        <f>$X63/$AI63</f>
        <v>1.6646857457010217E-3</v>
      </c>
      <c r="Z63" s="3">
        <v>35.985999999999997</v>
      </c>
      <c r="AA63" s="88">
        <f>$Z63/$AI63</f>
        <v>5.1253748498286244E-4</v>
      </c>
      <c r="AB63" s="56">
        <v>3972.61</v>
      </c>
      <c r="AC63" s="88">
        <f>$AB63/AI63</f>
        <v>5.6580657428382412E-2</v>
      </c>
      <c r="AD63" s="101">
        <v>32713.817000000003</v>
      </c>
      <c r="AE63" s="88">
        <f>$AD63/$AI63</f>
        <v>0.46593279301310547</v>
      </c>
      <c r="AF63" s="3">
        <v>-61382.254999999997</v>
      </c>
      <c r="AG63" s="3">
        <v>-8829.1949999999997</v>
      </c>
      <c r="AH63" s="89">
        <f>SUM(AF63,AG63)</f>
        <v>-70211.45</v>
      </c>
      <c r="AI63" s="3">
        <f>((AF63+AG63)*-1)</f>
        <v>70211.45</v>
      </c>
      <c r="AJ63" s="8">
        <f>AI63/($AI$224)</f>
        <v>5.3579940801477864E-3</v>
      </c>
      <c r="AK63" s="56">
        <f>AJ63*($G$260+$G$313-$B$406)</f>
        <v>9463.9548386871174</v>
      </c>
      <c r="AL63" s="3">
        <v>27229.345258865796</v>
      </c>
      <c r="AM63" s="8">
        <f>AL63/AL$224</f>
        <v>5.7789451248387233E-3</v>
      </c>
      <c r="AN63" s="3">
        <f>(AM63*$B$406)</f>
        <v>7856.9670659454505</v>
      </c>
      <c r="AO63" s="3">
        <f>AN63+AK63</f>
        <v>17320.921904632567</v>
      </c>
      <c r="AP63" s="113">
        <f>$AO63/$AI63</f>
        <v>0.24669654172692015</v>
      </c>
      <c r="AQ63" s="3">
        <f>AB63+AD63+AH63</f>
        <v>-33525.022999999994</v>
      </c>
      <c r="AR63" s="3">
        <f>AQ63+AO63</f>
        <v>-16204.101095367427</v>
      </c>
      <c r="AS63" s="113">
        <f>AR63/AI63</f>
        <v>-0.23079000783159195</v>
      </c>
      <c r="AT63" s="70"/>
      <c r="AU63" s="70"/>
      <c r="AV63" s="70"/>
      <c r="AW63" s="3"/>
      <c r="BA63" s="3"/>
      <c r="BB63" s="3"/>
      <c r="BC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</row>
    <row r="64" spans="1:68" ht="22.2" customHeight="1" x14ac:dyDescent="0.3">
      <c r="A64" s="2" t="s">
        <v>813</v>
      </c>
      <c r="B64" s="3">
        <v>0</v>
      </c>
      <c r="C64" s="88">
        <f>$B64/$AI64</f>
        <v>0</v>
      </c>
      <c r="D64" s="3">
        <v>1489.92</v>
      </c>
      <c r="E64" s="88">
        <f>$D64/$AI64</f>
        <v>1.3307953376074107E-2</v>
      </c>
      <c r="F64" s="3">
        <v>0</v>
      </c>
      <c r="G64" s="88">
        <f>$F64/$AI64</f>
        <v>0</v>
      </c>
      <c r="H64" s="3">
        <v>0</v>
      </c>
      <c r="I64" s="88">
        <f>$H64/$AI64</f>
        <v>0</v>
      </c>
      <c r="J64" s="3">
        <v>3827.0119999999997</v>
      </c>
      <c r="K64" s="88">
        <f>$J64/$AI64</f>
        <v>3.4182840196571702E-2</v>
      </c>
      <c r="L64" s="3"/>
      <c r="M64" s="88">
        <f>$L64/$AI64</f>
        <v>0</v>
      </c>
      <c r="N64" s="3">
        <v>24.77</v>
      </c>
      <c r="O64" s="88">
        <f>$N64/$AI64</f>
        <v>2.2124543943658425E-4</v>
      </c>
      <c r="P64" s="3">
        <v>613.49</v>
      </c>
      <c r="Q64" s="88">
        <f>$P64/$AI64</f>
        <v>5.479687712553495E-3</v>
      </c>
      <c r="R64" s="3">
        <v>96.063000000000017</v>
      </c>
      <c r="S64" s="88">
        <f>$R64/$AI64</f>
        <v>8.5803393817507454E-4</v>
      </c>
      <c r="T64" s="3">
        <v>47.37</v>
      </c>
      <c r="U64" s="88">
        <f>$T64/$AI64</f>
        <v>4.2310845644372201E-4</v>
      </c>
      <c r="W64" s="88">
        <f>$V64/$AI64</f>
        <v>0</v>
      </c>
      <c r="X64" s="3">
        <v>338.57</v>
      </c>
      <c r="Y64" s="88">
        <f>$X64/$AI64</f>
        <v>3.0241044985887897E-3</v>
      </c>
      <c r="Z64" s="3">
        <v>370.834</v>
      </c>
      <c r="AA64" s="88">
        <f>$Z64/$AI64</f>
        <v>3.3122862853462364E-3</v>
      </c>
      <c r="AB64" s="56">
        <v>6808.0289999999995</v>
      </c>
      <c r="AC64" s="88">
        <f>$AB64/AI64</f>
        <v>6.0809259903189708E-2</v>
      </c>
      <c r="AD64" s="101">
        <v>57872.627999999997</v>
      </c>
      <c r="AE64" s="88">
        <f>$AD64/$AI64</f>
        <v>0.51691784469963542</v>
      </c>
      <c r="AF64" s="3">
        <v>-98508.114000000001</v>
      </c>
      <c r="AG64" s="3">
        <v>-13448.996000000001</v>
      </c>
      <c r="AH64" s="89">
        <f>SUM(AF64,AG64)</f>
        <v>-111957.11</v>
      </c>
      <c r="AI64" s="3">
        <f>((AF64+AG64)*-1)</f>
        <v>111957.11</v>
      </c>
      <c r="AJ64" s="8">
        <f>AI64/($AI$224)</f>
        <v>8.5436995334871244E-3</v>
      </c>
      <c r="AK64" s="56">
        <f>AJ64*($G$260+$G$313-$B$406)</f>
        <v>15090.943612614836</v>
      </c>
      <c r="AL64" s="3">
        <v>36927.908740549472</v>
      </c>
      <c r="AM64" s="8">
        <f>AL64/AL$224</f>
        <v>7.8372930438789668E-3</v>
      </c>
      <c r="AN64" s="3">
        <f>(AM64*$B$406)</f>
        <v>10655.466006633675</v>
      </c>
      <c r="AO64" s="3">
        <f>AN64+AK64</f>
        <v>25746.409619248509</v>
      </c>
      <c r="AP64" s="113">
        <f>$AO64/$AI64</f>
        <v>0.22996672224969461</v>
      </c>
      <c r="AQ64" s="3">
        <f>AB64+AD64+AH64</f>
        <v>-47276.453000000001</v>
      </c>
      <c r="AR64" s="3">
        <f>AQ64+AO64</f>
        <v>-21530.043380751493</v>
      </c>
      <c r="AS64" s="113">
        <f>AR64/AI64</f>
        <v>-0.19230617314748025</v>
      </c>
      <c r="AT64" s="70"/>
      <c r="AU64" s="70"/>
      <c r="AV64" s="70"/>
      <c r="AW64" s="3"/>
      <c r="BA64" s="3"/>
      <c r="BB64" s="3"/>
      <c r="BC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</row>
    <row r="65" spans="1:68" ht="22.2" customHeight="1" x14ac:dyDescent="0.3">
      <c r="A65" s="2" t="s">
        <v>814</v>
      </c>
      <c r="B65" s="3">
        <v>0</v>
      </c>
      <c r="C65" s="88">
        <f>$B65/$AI65</f>
        <v>0</v>
      </c>
      <c r="D65" s="3">
        <v>500</v>
      </c>
      <c r="E65" s="88">
        <f>$D65/$AI65</f>
        <v>8.681368228081349E-3</v>
      </c>
      <c r="F65" s="3">
        <v>0</v>
      </c>
      <c r="G65" s="88">
        <f>$F65/$AI65</f>
        <v>0</v>
      </c>
      <c r="H65" s="3">
        <v>0</v>
      </c>
      <c r="I65" s="88">
        <f>$H65/$AI65</f>
        <v>0</v>
      </c>
      <c r="J65" s="3">
        <v>3141.5619999999999</v>
      </c>
      <c r="K65" s="88">
        <f>$J65/$AI65</f>
        <v>5.4546113066695399E-2</v>
      </c>
      <c r="L65" s="3"/>
      <c r="M65" s="88">
        <f>$L65/$AI65</f>
        <v>0</v>
      </c>
      <c r="N65" s="3"/>
      <c r="O65" s="88">
        <f>$N65/$AI65</f>
        <v>0</v>
      </c>
      <c r="P65" s="3">
        <v>111.74</v>
      </c>
      <c r="Q65" s="88">
        <f>$P65/$AI65</f>
        <v>1.94011217161162E-3</v>
      </c>
      <c r="R65" s="3">
        <v>420.24200000000002</v>
      </c>
      <c r="S65" s="88">
        <f>$R65/$AI65</f>
        <v>7.2965510938107258E-3</v>
      </c>
      <c r="U65" s="88">
        <f>$T65/$AI65</f>
        <v>0</v>
      </c>
      <c r="W65" s="88">
        <f>$V65/$AI65</f>
        <v>0</v>
      </c>
      <c r="X65" s="3">
        <v>52.76</v>
      </c>
      <c r="Y65" s="88">
        <f>$X65/$AI65</f>
        <v>9.1605797542714397E-4</v>
      </c>
      <c r="Z65" s="3">
        <v>19.553000000000001</v>
      </c>
      <c r="AA65" s="88">
        <f>$Z65/$AI65</f>
        <v>3.3949358592734929E-4</v>
      </c>
      <c r="AB65" s="56">
        <v>4245.857</v>
      </c>
      <c r="AC65" s="88">
        <f>$AB65/AI65</f>
        <v>7.3719696121553588E-2</v>
      </c>
      <c r="AD65" s="101">
        <v>27743.760999999999</v>
      </c>
      <c r="AE65" s="88">
        <f>$AD65/$AI65</f>
        <v>0.48170761054576489</v>
      </c>
      <c r="AF65" s="3">
        <v>-50311.750000000007</v>
      </c>
      <c r="AG65" s="3">
        <v>-7282.8580000000002</v>
      </c>
      <c r="AH65" s="89">
        <f>SUM(AF65,AG65)</f>
        <v>-57594.608000000007</v>
      </c>
      <c r="AI65" s="3">
        <f>((AF65+AG65)*-1)</f>
        <v>57594.608000000007</v>
      </c>
      <c r="AJ65" s="8">
        <f>AI65/($AI$224)</f>
        <v>4.3951744154611871E-3</v>
      </c>
      <c r="AK65" s="56">
        <f>AJ65*($G$260+$G$313-$B$406)</f>
        <v>7763.3031231214827</v>
      </c>
      <c r="AL65" s="3">
        <v>21052.69874335442</v>
      </c>
      <c r="AM65" s="8">
        <f>AL65/AL$224</f>
        <v>4.4680615567865489E-3</v>
      </c>
      <c r="AN65" s="3">
        <f>(AM65*$B$406)</f>
        <v>6074.7094395135964</v>
      </c>
      <c r="AO65" s="3">
        <f>AN65+AK65</f>
        <v>13838.012562635078</v>
      </c>
      <c r="AP65" s="113">
        <f>$AO65/$AI65</f>
        <v>0.24026576520210149</v>
      </c>
      <c r="AQ65" s="3">
        <f>AB65+AD65+AH65</f>
        <v>-25604.990000000009</v>
      </c>
      <c r="AR65" s="3">
        <f>AQ65+AO65</f>
        <v>-11766.977437364931</v>
      </c>
      <c r="AS65" s="113">
        <f>AR65/AI65</f>
        <v>-0.20430692813058002</v>
      </c>
      <c r="AT65" s="70"/>
      <c r="AU65" s="70"/>
      <c r="AV65" s="70"/>
      <c r="AW65" s="3"/>
      <c r="BA65" s="3"/>
      <c r="BB65" s="3"/>
      <c r="BC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</row>
    <row r="66" spans="1:68" ht="22.2" customHeight="1" x14ac:dyDescent="0.3">
      <c r="A66" s="2" t="s">
        <v>815</v>
      </c>
      <c r="B66" s="3">
        <v>0</v>
      </c>
      <c r="C66" s="88">
        <f>$B66/$AI66</f>
        <v>0</v>
      </c>
      <c r="D66" s="3">
        <v>550</v>
      </c>
      <c r="E66" s="88">
        <f>$D66/$AI66</f>
        <v>1.3537250933350379E-2</v>
      </c>
      <c r="F66" s="3">
        <v>254.79</v>
      </c>
      <c r="G66" s="88">
        <f>$F66/$AI66</f>
        <v>6.2711930278333506E-3</v>
      </c>
      <c r="H66" s="3">
        <v>0</v>
      </c>
      <c r="I66" s="88">
        <f>$H66/$AI66</f>
        <v>0</v>
      </c>
      <c r="J66" s="3">
        <v>3581.56</v>
      </c>
      <c r="K66" s="88">
        <f>$J66/$AI66</f>
        <v>8.8153593550637052E-2</v>
      </c>
      <c r="L66" s="3"/>
      <c r="M66" s="88">
        <f>$L66/$AI66</f>
        <v>0</v>
      </c>
      <c r="N66" s="3"/>
      <c r="O66" s="88">
        <f>$N66/$AI66</f>
        <v>0</v>
      </c>
      <c r="P66" s="3">
        <v>95.5</v>
      </c>
      <c r="Q66" s="88">
        <f>$P66/$AI66</f>
        <v>2.3505590256999295E-3</v>
      </c>
      <c r="R66" s="3">
        <v>1310.586</v>
      </c>
      <c r="S66" s="88">
        <f>$R66/$AI66</f>
        <v>3.2257693730428978E-2</v>
      </c>
      <c r="U66" s="88">
        <f>$T66/$AI66</f>
        <v>0</v>
      </c>
      <c r="W66" s="88">
        <f>$V66/$AI66</f>
        <v>0</v>
      </c>
      <c r="X66" s="3">
        <v>217.25</v>
      </c>
      <c r="Y66" s="88">
        <f>$X66/$AI66</f>
        <v>5.3472141186733995E-3</v>
      </c>
      <c r="Z66" s="3">
        <v>355.01400000000001</v>
      </c>
      <c r="AA66" s="88">
        <f>$Z66/$AI66</f>
        <v>8.7380247324590019E-3</v>
      </c>
      <c r="AB66" s="56">
        <v>6364.7</v>
      </c>
      <c r="AC66" s="88">
        <f>$AB66/AI66</f>
        <v>0.15665552911908209</v>
      </c>
      <c r="AD66" s="101">
        <v>20296.177999999996</v>
      </c>
      <c r="AE66" s="88">
        <f>$AD66/$AI66</f>
        <v>0.49955355377080973</v>
      </c>
      <c r="AF66" s="3">
        <v>-35916.420000000006</v>
      </c>
      <c r="AG66" s="3">
        <v>-4712.2129999999997</v>
      </c>
      <c r="AH66" s="89">
        <f>SUM(AF66,AG66)</f>
        <v>-40628.633000000002</v>
      </c>
      <c r="AI66" s="3">
        <f>((AF66+AG66)*-1)</f>
        <v>40628.633000000002</v>
      </c>
      <c r="AJ66" s="8">
        <f>AI66/($AI$224)</f>
        <v>3.1004626040125509E-3</v>
      </c>
      <c r="AK66" s="56">
        <f>AJ66*($G$260+$G$313-$B$406)</f>
        <v>5476.4222626023693</v>
      </c>
      <c r="AL66" s="3">
        <v>17511.11900455353</v>
      </c>
      <c r="AM66" s="8">
        <f>AL66/AL$224</f>
        <v>3.7164241313839995E-3</v>
      </c>
      <c r="AN66" s="3">
        <f>(AM66*$B$406)</f>
        <v>5052.7944759094607</v>
      </c>
      <c r="AO66" s="3">
        <f>AN66+AK66</f>
        <v>10529.21673851183</v>
      </c>
      <c r="AP66" s="113">
        <f>$AO66/$AI66</f>
        <v>0.25915754385612311</v>
      </c>
      <c r="AQ66" s="3">
        <f>AB66+AD66+AH66</f>
        <v>-13967.755000000005</v>
      </c>
      <c r="AR66" s="3">
        <f>AQ66+AO66</f>
        <v>-3438.5382614881746</v>
      </c>
      <c r="AS66" s="113">
        <f>AR66/AI66</f>
        <v>-8.4633373253985053E-2</v>
      </c>
      <c r="AT66" s="70"/>
      <c r="AU66" s="70"/>
      <c r="AV66" s="70"/>
      <c r="AW66" s="3"/>
      <c r="BA66" s="3"/>
      <c r="BB66" s="3"/>
      <c r="BC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</row>
    <row r="67" spans="1:68" ht="22.2" customHeight="1" x14ac:dyDescent="0.3">
      <c r="A67" s="2" t="s">
        <v>816</v>
      </c>
      <c r="B67" s="3">
        <v>0</v>
      </c>
      <c r="C67" s="88">
        <f>$B67/$AI67</f>
        <v>0</v>
      </c>
      <c r="D67" s="3">
        <v>377.97</v>
      </c>
      <c r="E67" s="88">
        <f>$D67/$AI67</f>
        <v>7.5142836398834484E-3</v>
      </c>
      <c r="F67" s="3">
        <v>0</v>
      </c>
      <c r="G67" s="88">
        <f>$F67/$AI67</f>
        <v>0</v>
      </c>
      <c r="H67" s="3">
        <v>0</v>
      </c>
      <c r="I67" s="88">
        <f>$H67/$AI67</f>
        <v>0</v>
      </c>
      <c r="J67" s="3">
        <v>3222.9409999999998</v>
      </c>
      <c r="K67" s="88">
        <f>$J67/$AI67</f>
        <v>6.4074113894249801E-2</v>
      </c>
      <c r="L67" s="3"/>
      <c r="M67" s="88">
        <f>$L67/$AI67</f>
        <v>0</v>
      </c>
      <c r="N67" s="3"/>
      <c r="O67" s="88">
        <f>$N67/$AI67</f>
        <v>0</v>
      </c>
      <c r="P67" s="3">
        <v>64.03</v>
      </c>
      <c r="Q67" s="88">
        <f>$P67/$AI67</f>
        <v>1.2729570639514701E-3</v>
      </c>
      <c r="R67" s="3">
        <v>553.33799999999997</v>
      </c>
      <c r="S67" s="88">
        <f>$R67/$AI67</f>
        <v>1.1000710851987795E-2</v>
      </c>
      <c r="U67" s="88">
        <f>$T67/$AI67</f>
        <v>0</v>
      </c>
      <c r="W67" s="88">
        <f>$V67/$AI67</f>
        <v>0</v>
      </c>
      <c r="X67" s="3">
        <v>77.02000000000001</v>
      </c>
      <c r="Y67" s="88">
        <f>$X67/$AI67</f>
        <v>1.5312065135958495E-3</v>
      </c>
      <c r="Z67" s="3">
        <v>110.872</v>
      </c>
      <c r="AA67" s="88">
        <f>$Z67/$AI67</f>
        <v>2.204205772207206E-3</v>
      </c>
      <c r="AB67" s="56">
        <v>4406.1710000000012</v>
      </c>
      <c r="AC67" s="88">
        <f>$AB67/AI67</f>
        <v>8.7597477735875603E-2</v>
      </c>
      <c r="AD67" s="101">
        <v>24390.818999999996</v>
      </c>
      <c r="AE67" s="88">
        <f>$AD67/$AI67</f>
        <v>0.48490497175717207</v>
      </c>
      <c r="AF67" s="3">
        <v>-44162.941000000006</v>
      </c>
      <c r="AG67" s="3">
        <v>-6137.2629999999999</v>
      </c>
      <c r="AH67" s="89">
        <f>SUM(AF67,AG67)</f>
        <v>-50300.204000000005</v>
      </c>
      <c r="AI67" s="3">
        <f>((AF67+AG67)*-1)</f>
        <v>50300.204000000005</v>
      </c>
      <c r="AJ67" s="8">
        <f>AI67/($AI$224)</f>
        <v>3.8385219969424649E-3</v>
      </c>
      <c r="AK67" s="56">
        <f>AJ67*($G$260+$G$313-$B$406)</f>
        <v>6780.0744612559511</v>
      </c>
      <c r="AL67" s="3">
        <v>18723.70661477805</v>
      </c>
      <c r="AM67" s="8">
        <f>AL67/AL$224</f>
        <v>3.9737743244175686E-3</v>
      </c>
      <c r="AN67" s="3">
        <f>(AM67*$B$406)</f>
        <v>5402.6839362520841</v>
      </c>
      <c r="AO67" s="3">
        <f>AN67+AK67</f>
        <v>12182.758397508034</v>
      </c>
      <c r="AP67" s="113">
        <f>$AO67/$AI67</f>
        <v>0.24220097392662729</v>
      </c>
      <c r="AQ67" s="3">
        <f>AB67+AD67+AH67</f>
        <v>-21503.214000000007</v>
      </c>
      <c r="AR67" s="3">
        <f>AQ67+AO67</f>
        <v>-9320.455602491973</v>
      </c>
      <c r="AS67" s="113">
        <f>AR67/AI67</f>
        <v>-0.18529657658032503</v>
      </c>
      <c r="AT67" s="70"/>
      <c r="AU67" s="70"/>
      <c r="AV67" s="70"/>
      <c r="AW67" s="3"/>
      <c r="BA67" s="3"/>
      <c r="BB67" s="3"/>
      <c r="BC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</row>
    <row r="68" spans="1:68" ht="22.2" customHeight="1" x14ac:dyDescent="0.3">
      <c r="A68" s="2" t="s">
        <v>817</v>
      </c>
      <c r="B68" s="3">
        <v>0</v>
      </c>
      <c r="C68" s="88">
        <f>$B68/$AI68</f>
        <v>0</v>
      </c>
      <c r="D68" s="3">
        <v>1177.25</v>
      </c>
      <c r="E68" s="88">
        <f>$D68/$AI68</f>
        <v>4.1765186030954603E-2</v>
      </c>
      <c r="F68" s="3">
        <v>0</v>
      </c>
      <c r="G68" s="88">
        <f>$F68/$AI68</f>
        <v>0</v>
      </c>
      <c r="H68" s="3">
        <v>0</v>
      </c>
      <c r="I68" s="88">
        <f>$H68/$AI68</f>
        <v>0</v>
      </c>
      <c r="J68" s="3">
        <v>1385.4279999999999</v>
      </c>
      <c r="K68" s="88">
        <f>$J68/$AI68</f>
        <v>4.9150697092795383E-2</v>
      </c>
      <c r="L68" s="3"/>
      <c r="M68" s="88">
        <f>$L68/$AI68</f>
        <v>0</v>
      </c>
      <c r="N68" s="3"/>
      <c r="O68" s="88">
        <f>$N68/$AI68</f>
        <v>0</v>
      </c>
      <c r="P68" s="3">
        <v>65.790000000000006</v>
      </c>
      <c r="Q68" s="88">
        <f>$P68/$AI68</f>
        <v>2.3340255586973909E-3</v>
      </c>
      <c r="R68" s="3">
        <v>1.8460000000000001</v>
      </c>
      <c r="S68" s="88">
        <f>$R68/$AI68</f>
        <v>6.5490366033673557E-5</v>
      </c>
      <c r="U68" s="88">
        <f>$T68/$AI68</f>
        <v>0</v>
      </c>
      <c r="W68" s="88">
        <f>$V68/$AI68</f>
        <v>0</v>
      </c>
      <c r="X68" s="3">
        <v>482.84</v>
      </c>
      <c r="Y68" s="88">
        <f>$X68/$AI68</f>
        <v>1.7129668654224776E-2</v>
      </c>
      <c r="Z68" s="3">
        <v>392.90899999999999</v>
      </c>
      <c r="AA68" s="88">
        <f>$Z68/$AI68</f>
        <v>1.3939195139720825E-2</v>
      </c>
      <c r="AB68" s="56">
        <v>3506.0630000000001</v>
      </c>
      <c r="AC68" s="88">
        <f>$AB68/AI68</f>
        <v>0.12438426284242665</v>
      </c>
      <c r="AD68" s="101">
        <v>15333.599</v>
      </c>
      <c r="AE68" s="88">
        <f>$AD68/$AI68</f>
        <v>0.54398863007777398</v>
      </c>
      <c r="AF68" s="3">
        <v>-24526.551999999996</v>
      </c>
      <c r="AG68" s="3">
        <v>-3660.8</v>
      </c>
      <c r="AH68" s="89">
        <f>SUM(AF68,AG68)</f>
        <v>-28187.351999999995</v>
      </c>
      <c r="AI68" s="3">
        <f>((AF68+AG68)*-1)</f>
        <v>28187.351999999995</v>
      </c>
      <c r="AJ68" s="8">
        <f>AI68/($AI$224)</f>
        <v>2.1510403951355774E-3</v>
      </c>
      <c r="AK68" s="56">
        <f>AJ68*($G$260+$G$313-$B$406)</f>
        <v>3799.4347980304769</v>
      </c>
      <c r="AL68" s="3">
        <v>8375.3104069283218</v>
      </c>
      <c r="AM68" s="8">
        <f>AL68/AL$224</f>
        <v>1.7775109458193967E-3</v>
      </c>
      <c r="AN68" s="3">
        <f>(AM68*$B$406)</f>
        <v>2416.6772064737856</v>
      </c>
      <c r="AO68" s="3">
        <f>AN68+AK68</f>
        <v>6216.1120045042626</v>
      </c>
      <c r="AP68" s="113">
        <f>$AO68/$AI68</f>
        <v>0.22052841304512263</v>
      </c>
      <c r="AQ68" s="3">
        <f>AB68+AD68+AH68</f>
        <v>-9347.6899999999951</v>
      </c>
      <c r="AR68" s="3">
        <f>AQ68+AO68</f>
        <v>-3131.5779954957325</v>
      </c>
      <c r="AS68" s="113">
        <f>AR68/AI68</f>
        <v>-0.11109869403467672</v>
      </c>
      <c r="AT68" s="70"/>
      <c r="AU68" s="70"/>
      <c r="AV68" s="70"/>
      <c r="AW68" s="3"/>
      <c r="BA68" s="3"/>
      <c r="BB68" s="3"/>
      <c r="BC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</row>
    <row r="69" spans="1:68" ht="22.2" customHeight="1" x14ac:dyDescent="0.3">
      <c r="A69" s="2" t="s">
        <v>818</v>
      </c>
      <c r="B69" s="3">
        <v>0</v>
      </c>
      <c r="C69" s="88">
        <f>$B69/$AI69</f>
        <v>0</v>
      </c>
      <c r="D69" s="3">
        <v>1200</v>
      </c>
      <c r="E69" s="88">
        <f>$D69/$AI69</f>
        <v>1.2452495803923998E-2</v>
      </c>
      <c r="F69" s="3">
        <v>0</v>
      </c>
      <c r="G69" s="88">
        <f>$F69/$AI69</f>
        <v>0</v>
      </c>
      <c r="H69" s="3">
        <v>47.2</v>
      </c>
      <c r="I69" s="88">
        <f>$H69/$AI69</f>
        <v>4.8979816828767725E-4</v>
      </c>
      <c r="J69" s="3">
        <v>3885.6080000000002</v>
      </c>
      <c r="K69" s="88">
        <f>$J69/$AI69</f>
        <v>4.0321264429744597E-2</v>
      </c>
      <c r="L69" s="3"/>
      <c r="M69" s="88">
        <f>$L69/$AI69</f>
        <v>0</v>
      </c>
      <c r="N69" s="3"/>
      <c r="O69" s="88">
        <f>$N69/$AI69</f>
        <v>0</v>
      </c>
      <c r="P69" s="3">
        <v>102.74</v>
      </c>
      <c r="Q69" s="88">
        <f>$P69/$AI69</f>
        <v>1.0661411824126261E-3</v>
      </c>
      <c r="R69" s="3">
        <v>626.58100000000002</v>
      </c>
      <c r="S69" s="88">
        <f>$R69/$AI69</f>
        <v>6.5020810610987518E-3</v>
      </c>
      <c r="U69" s="88">
        <f>$T69/$AI69</f>
        <v>0</v>
      </c>
      <c r="W69" s="88">
        <f>$V69/$AI69</f>
        <v>0</v>
      </c>
      <c r="X69" s="3">
        <v>132.18900000000002</v>
      </c>
      <c r="Y69" s="88">
        <f>$X69/$AI69</f>
        <v>1.371735806520758E-3</v>
      </c>
      <c r="Z69" s="3">
        <v>77.052999999999997</v>
      </c>
      <c r="AA69" s="88">
        <f>$Z69/$AI69</f>
        <v>7.9958513264979643E-4</v>
      </c>
      <c r="AB69" s="56">
        <v>6071.3710000000001</v>
      </c>
      <c r="AC69" s="88">
        <f>$AB69/AI69</f>
        <v>6.3003101584638205E-2</v>
      </c>
      <c r="AD69" s="101">
        <v>48145.638999999996</v>
      </c>
      <c r="AE69" s="88">
        <f>$AD69/$AI69</f>
        <v>0.49961113968728293</v>
      </c>
      <c r="AF69" s="3">
        <v>-85888.407000000007</v>
      </c>
      <c r="AG69" s="3">
        <v>-10477.816999999999</v>
      </c>
      <c r="AH69" s="89">
        <f>SUM(AF69,AG69)</f>
        <v>-96366.224000000002</v>
      </c>
      <c r="AI69" s="3">
        <f>((AF69+AG69)*-1)</f>
        <v>96366.224000000002</v>
      </c>
      <c r="AJ69" s="8">
        <f>AI69/($AI$224)</f>
        <v>7.3539238645291549E-3</v>
      </c>
      <c r="AK69" s="56">
        <f>AJ69*($G$260+$G$313-$B$406)</f>
        <v>12989.414004564876</v>
      </c>
      <c r="AL69" s="3">
        <v>32014.715883518864</v>
      </c>
      <c r="AM69" s="8">
        <f>AL69/AL$224</f>
        <v>6.7945550845707183E-3</v>
      </c>
      <c r="AN69" s="3">
        <f>(AM69*$B$406)</f>
        <v>9237.7751257352829</v>
      </c>
      <c r="AO69" s="3">
        <f>AN69+AK69</f>
        <v>22227.189130300161</v>
      </c>
      <c r="AP69" s="113">
        <f>$AO69/$AI69</f>
        <v>0.23065331614840653</v>
      </c>
      <c r="AQ69" s="3">
        <f>AB69+AD69+AH69</f>
        <v>-42149.214000000007</v>
      </c>
      <c r="AR69" s="3">
        <f>AQ69+AO69</f>
        <v>-19922.024869699846</v>
      </c>
      <c r="AS69" s="113">
        <f>AR69/AI69</f>
        <v>-0.20673244257967238</v>
      </c>
      <c r="AT69" s="70"/>
      <c r="AU69" s="70"/>
      <c r="AV69" s="70"/>
      <c r="AW69" s="3"/>
      <c r="BA69" s="3"/>
      <c r="BB69" s="3"/>
      <c r="BC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</row>
    <row r="70" spans="1:68" ht="22.2" customHeight="1" x14ac:dyDescent="0.3">
      <c r="A70" s="2" t="s">
        <v>819</v>
      </c>
      <c r="B70" s="3">
        <v>0</v>
      </c>
      <c r="C70" s="88">
        <f>$B70/$AI70</f>
        <v>0</v>
      </c>
      <c r="D70" s="3">
        <v>2000</v>
      </c>
      <c r="E70" s="88">
        <f>$D70/$AI70</f>
        <v>291.54518950437318</v>
      </c>
      <c r="F70" s="3">
        <v>0</v>
      </c>
      <c r="G70" s="88">
        <f>$F70/$AI70</f>
        <v>0</v>
      </c>
      <c r="H70" s="3">
        <v>0</v>
      </c>
      <c r="I70" s="88">
        <f>$H70/$AI70</f>
        <v>0</v>
      </c>
      <c r="J70" s="3">
        <v>3915.8980000000001</v>
      </c>
      <c r="K70" s="88">
        <f>$J70/$AI70</f>
        <v>570.83061224489791</v>
      </c>
      <c r="L70" s="3"/>
      <c r="M70" s="88">
        <f>$L70/$AI70</f>
        <v>0</v>
      </c>
      <c r="N70" s="3"/>
      <c r="O70" s="88">
        <f>$N70/$AI70</f>
        <v>0</v>
      </c>
      <c r="P70" s="3">
        <v>174.59</v>
      </c>
      <c r="Q70" s="88">
        <f>$P70/$AI70</f>
        <v>25.450437317784257</v>
      </c>
      <c r="R70" s="3">
        <v>464.83300000000003</v>
      </c>
      <c r="S70" s="88">
        <f>$R70/$AI70</f>
        <v>67.759912536443153</v>
      </c>
      <c r="U70" s="88">
        <f>$T70/$AI70</f>
        <v>0</v>
      </c>
      <c r="W70" s="88">
        <f>$V70/$AI70</f>
        <v>0</v>
      </c>
      <c r="X70" s="3">
        <v>82.88</v>
      </c>
      <c r="Y70" s="88">
        <f>$X70/$AI70</f>
        <v>12.081632653061224</v>
      </c>
      <c r="Z70" s="3">
        <v>57.789000000000001</v>
      </c>
      <c r="AA70" s="88">
        <f>$Z70/$AI70</f>
        <v>8.4240524781341097</v>
      </c>
      <c r="AB70" s="56">
        <v>6695.99</v>
      </c>
      <c r="AC70" s="88">
        <f>$AB70/AI70</f>
        <v>976.09183673469386</v>
      </c>
      <c r="AD70" s="101">
        <v>13458.454</v>
      </c>
      <c r="AE70" s="88">
        <f>$AD70/$AI70</f>
        <v>1961.8737609329444</v>
      </c>
      <c r="AF70" s="3">
        <v>0</v>
      </c>
      <c r="AG70" s="3">
        <v>-6.86</v>
      </c>
      <c r="AH70" s="89">
        <f>SUM(AF70,AG70)</f>
        <v>-6.86</v>
      </c>
      <c r="AI70" s="3">
        <f>((AF70+AG70)*-1)</f>
        <v>6.86</v>
      </c>
      <c r="AJ70" s="8">
        <f>AI70/($AI$224)</f>
        <v>5.2350206967401782E-7</v>
      </c>
      <c r="AK70" s="56">
        <f>AJ70*($G$260+$G$313-$B$406)</f>
        <v>0.92467439703059306</v>
      </c>
      <c r="AL70" s="3">
        <v>0</v>
      </c>
      <c r="AM70" s="8">
        <f>AL70/AL$224</f>
        <v>0</v>
      </c>
      <c r="AN70" s="3">
        <f>(AM70*$B$406)</f>
        <v>0</v>
      </c>
      <c r="AO70" s="3">
        <f>AN70+AK70</f>
        <v>0.92467439703059306</v>
      </c>
      <c r="AP70" s="113">
        <f>$AO70/$AI70</f>
        <v>0.13479218615606312</v>
      </c>
      <c r="AQ70" s="3">
        <f>AB70+AD70+AH70</f>
        <v>20147.583999999999</v>
      </c>
      <c r="AR70" s="3">
        <f>AQ70+AO70</f>
        <v>20148.508674397028</v>
      </c>
      <c r="AS70" s="113">
        <f>AR70/AI70</f>
        <v>2937.1003898537938</v>
      </c>
      <c r="AT70" s="70"/>
      <c r="AU70" s="70"/>
      <c r="AV70" s="70"/>
      <c r="AW70" s="3"/>
      <c r="BA70" s="3"/>
      <c r="BB70" s="3"/>
      <c r="BC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</row>
    <row r="71" spans="1:68" ht="22.2" customHeight="1" x14ac:dyDescent="0.3">
      <c r="A71" s="2" t="s">
        <v>820</v>
      </c>
      <c r="B71" s="3">
        <v>0</v>
      </c>
      <c r="C71" s="88">
        <f>$B71/$AI71</f>
        <v>0</v>
      </c>
      <c r="D71" s="3">
        <v>2700</v>
      </c>
      <c r="E71" s="88">
        <f>$D71/$AI71</f>
        <v>3.835404932606324E-2</v>
      </c>
      <c r="F71" s="3">
        <v>0</v>
      </c>
      <c r="G71" s="88">
        <f>$F71/$AI71</f>
        <v>0</v>
      </c>
      <c r="H71" s="3">
        <v>0</v>
      </c>
      <c r="I71" s="88">
        <f>$H71/$AI71</f>
        <v>0</v>
      </c>
      <c r="J71" s="3">
        <v>7705.4679999999998</v>
      </c>
      <c r="K71" s="88">
        <f>$J71/$AI71</f>
        <v>0.10945774064903772</v>
      </c>
      <c r="L71" s="3"/>
      <c r="M71" s="88">
        <f>$L71/$AI71</f>
        <v>0</v>
      </c>
      <c r="N71" s="3"/>
      <c r="O71" s="88">
        <f>$N71/$AI71</f>
        <v>0</v>
      </c>
      <c r="P71" s="3">
        <v>301.16000000000003</v>
      </c>
      <c r="Q71" s="88">
        <f>$P71/$AI71</f>
        <v>4.2780390722360027E-3</v>
      </c>
      <c r="R71" s="3">
        <v>1193.2910000000002</v>
      </c>
      <c r="S71" s="88">
        <f>$R71/$AI71</f>
        <v>1.695094143494346E-2</v>
      </c>
      <c r="U71" s="88">
        <f>$T71/$AI71</f>
        <v>0</v>
      </c>
      <c r="W71" s="88">
        <f>$V71/$AI71</f>
        <v>0</v>
      </c>
      <c r="X71" s="3">
        <v>440.74</v>
      </c>
      <c r="Y71" s="88">
        <f>$X71/$AI71</f>
        <v>6.2608013703589309E-3</v>
      </c>
      <c r="Z71" s="3">
        <v>30.614000000000004</v>
      </c>
      <c r="AA71" s="88">
        <f>$Z71/$AI71</f>
        <v>4.3487809854374085E-4</v>
      </c>
      <c r="AB71" s="56">
        <v>12371.272999999999</v>
      </c>
      <c r="AC71" s="88">
        <f>$AB71/AI71</f>
        <v>0.17573644995118309</v>
      </c>
      <c r="AD71" s="101">
        <v>32697.884000000002</v>
      </c>
      <c r="AE71" s="88">
        <f>$AD71/$AI71</f>
        <v>0.46448009473847929</v>
      </c>
      <c r="AF71" s="3">
        <v>-61586.48</v>
      </c>
      <c r="AG71" s="3">
        <v>-8810.259</v>
      </c>
      <c r="AH71" s="89">
        <f>SUM(AF71,AG71)</f>
        <v>-70396.739000000001</v>
      </c>
      <c r="AI71" s="3">
        <f>((AF71+AG71)*-1)</f>
        <v>70396.739000000001</v>
      </c>
      <c r="AJ71" s="8">
        <f>AI71/($AI$224)</f>
        <v>5.3721339015745835E-3</v>
      </c>
      <c r="AK71" s="56">
        <f>AJ71*($G$260+$G$313-$B$406)</f>
        <v>9488.9303480677881</v>
      </c>
      <c r="AL71" s="3">
        <v>28498.37446656575</v>
      </c>
      <c r="AM71" s="8">
        <f>AL71/AL$224</f>
        <v>6.0482740449209196E-3</v>
      </c>
      <c r="AN71" s="3">
        <f>(AM71*$B$406)</f>
        <v>8223.1426238162348</v>
      </c>
      <c r="AO71" s="3">
        <f>AN71+AK71</f>
        <v>17712.072971884023</v>
      </c>
      <c r="AP71" s="113">
        <f>$AO71/$AI71</f>
        <v>0.25160360015943384</v>
      </c>
      <c r="AQ71" s="3">
        <f>AB71+AD71+AH71</f>
        <v>-25327.582000000002</v>
      </c>
      <c r="AR71" s="3">
        <f>AQ71+AO71</f>
        <v>-7615.5090281159792</v>
      </c>
      <c r="AS71" s="113">
        <f>AR71/AI71</f>
        <v>-0.10817985515090378</v>
      </c>
      <c r="AT71" s="70"/>
      <c r="AU71" s="70"/>
      <c r="AV71" s="70"/>
      <c r="AW71" s="3"/>
      <c r="BA71" s="3"/>
      <c r="BB71" s="3"/>
      <c r="BC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</row>
    <row r="72" spans="1:68" ht="22.2" customHeight="1" x14ac:dyDescent="0.3">
      <c r="A72" s="2" t="s">
        <v>821</v>
      </c>
      <c r="B72" s="3">
        <v>0</v>
      </c>
      <c r="C72" s="88">
        <f>$B72/$AI72</f>
        <v>0</v>
      </c>
      <c r="D72" s="3">
        <v>176</v>
      </c>
      <c r="E72" s="88">
        <f>$D72/$AI72</f>
        <v>5.1752961004496757E-3</v>
      </c>
      <c r="F72" s="3">
        <v>0</v>
      </c>
      <c r="G72" s="88">
        <f>$F72/$AI72</f>
        <v>0</v>
      </c>
      <c r="H72" s="3">
        <v>0</v>
      </c>
      <c r="I72" s="88">
        <f>$H72/$AI72</f>
        <v>0</v>
      </c>
      <c r="J72" s="3">
        <v>3721.0489999999995</v>
      </c>
      <c r="K72" s="88">
        <f>$J72/$AI72</f>
        <v>0.10941778624592137</v>
      </c>
      <c r="L72" s="3"/>
      <c r="M72" s="88">
        <f>$L72/$AI72</f>
        <v>0</v>
      </c>
      <c r="N72" s="3"/>
      <c r="O72" s="88">
        <f>$N72/$AI72</f>
        <v>0</v>
      </c>
      <c r="P72" s="3"/>
      <c r="Q72" s="88">
        <f>$P72/$AI72</f>
        <v>0</v>
      </c>
      <c r="R72" s="3">
        <v>411.85399999999998</v>
      </c>
      <c r="S72" s="88">
        <f>$R72/$AI72</f>
        <v>1.2110604546332959E-2</v>
      </c>
      <c r="U72" s="88">
        <f>$T72/$AI72</f>
        <v>0</v>
      </c>
      <c r="W72" s="88">
        <f>$V72/$AI72</f>
        <v>0</v>
      </c>
      <c r="X72" s="3">
        <v>839.39</v>
      </c>
      <c r="Y72" s="88">
        <f>$X72/$AI72</f>
        <v>2.4682339737252573E-2</v>
      </c>
      <c r="Z72" s="3">
        <v>83.91</v>
      </c>
      <c r="AA72" s="88">
        <f>$Z72/$AI72</f>
        <v>2.4673812260723425E-3</v>
      </c>
      <c r="AB72" s="56">
        <v>5232.2029999999995</v>
      </c>
      <c r="AC72" s="88">
        <f>$AB72/AI72</f>
        <v>0.15385340785602891</v>
      </c>
      <c r="AD72" s="101">
        <v>12047.007000000001</v>
      </c>
      <c r="AE72" s="88">
        <f>$AD72/$AI72</f>
        <v>0.3542433428931247</v>
      </c>
      <c r="AF72" s="3">
        <v>-29898.695999999996</v>
      </c>
      <c r="AG72" s="3">
        <v>-4109.0199999999995</v>
      </c>
      <c r="AH72" s="89">
        <f>SUM(AF72,AG72)</f>
        <v>-34007.715999999993</v>
      </c>
      <c r="AI72" s="3">
        <f>((AF72+AG72)*-1)</f>
        <v>34007.715999999993</v>
      </c>
      <c r="AJ72" s="8">
        <f>AI72/($AI$224)</f>
        <v>2.5952054972137326E-3</v>
      </c>
      <c r="AK72" s="56">
        <f>AJ72*($G$260+$G$313-$B$406)</f>
        <v>4583.9743858145248</v>
      </c>
      <c r="AL72" s="3">
        <v>16893.655098560197</v>
      </c>
      <c r="AM72" s="8">
        <f>AL72/AL$224</f>
        <v>3.5853783792595623E-3</v>
      </c>
      <c r="AN72" s="3">
        <f>(AM72*$B$406)</f>
        <v>4874.626637950887</v>
      </c>
      <c r="AO72" s="3">
        <f>AN72+AK72</f>
        <v>9458.6010237654118</v>
      </c>
      <c r="AP72" s="113">
        <f>$AO72/$AI72</f>
        <v>0.27813102837501391</v>
      </c>
      <c r="AQ72" s="3">
        <f>AB72+AD72+AH72</f>
        <v>-16728.505999999994</v>
      </c>
      <c r="AR72" s="3">
        <f>AQ72+AO72</f>
        <v>-7269.9049762345821</v>
      </c>
      <c r="AS72" s="113">
        <f>AR72/AI72</f>
        <v>-0.21377222087583253</v>
      </c>
      <c r="AT72" s="70"/>
      <c r="AU72" s="70"/>
      <c r="AV72" s="70"/>
      <c r="AW72" s="3"/>
      <c r="BA72" s="3"/>
      <c r="BB72" s="3"/>
      <c r="BC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</row>
    <row r="73" spans="1:68" ht="22.2" customHeight="1" x14ac:dyDescent="0.3">
      <c r="A73" s="2" t="s">
        <v>822</v>
      </c>
      <c r="B73" s="3">
        <v>0</v>
      </c>
      <c r="C73" s="88">
        <f>$B73/$AI73</f>
        <v>0</v>
      </c>
      <c r="D73" s="3">
        <v>4290</v>
      </c>
      <c r="E73" s="88">
        <f>$D73/$AI73</f>
        <v>3.7600272103265178E-2</v>
      </c>
      <c r="F73" s="3">
        <v>0</v>
      </c>
      <c r="G73" s="88">
        <f>$F73/$AI73</f>
        <v>0</v>
      </c>
      <c r="H73" s="3">
        <v>0</v>
      </c>
      <c r="I73" s="88">
        <f>$H73/$AI73</f>
        <v>0</v>
      </c>
      <c r="J73" s="3">
        <v>5807.1660000000002</v>
      </c>
      <c r="K73" s="88">
        <f>$J73/$AI73</f>
        <v>5.089767406732635E-2</v>
      </c>
      <c r="L73" s="3"/>
      <c r="M73" s="88">
        <f>$L73/$AI73</f>
        <v>0</v>
      </c>
      <c r="N73" s="3"/>
      <c r="O73" s="88">
        <f>$N73/$AI73</f>
        <v>0</v>
      </c>
      <c r="P73" s="3">
        <v>163.15</v>
      </c>
      <c r="Q73" s="88">
        <f>$P73/$AI73</f>
        <v>1.4299497421090242E-3</v>
      </c>
      <c r="R73" s="3">
        <v>207.494</v>
      </c>
      <c r="S73" s="88">
        <f>$R73/$AI73</f>
        <v>1.8186085920267844E-3</v>
      </c>
      <c r="U73" s="88">
        <f>$T73/$AI73</f>
        <v>0</v>
      </c>
      <c r="W73" s="88">
        <f>$V73/$AI73</f>
        <v>0</v>
      </c>
      <c r="X73" s="3">
        <v>2109.63</v>
      </c>
      <c r="Y73" s="88">
        <f>$X73/$AI73</f>
        <v>1.8490131011004971E-2</v>
      </c>
      <c r="Z73" s="3">
        <v>90.323000000000008</v>
      </c>
      <c r="AA73" s="88">
        <f>$Z73/$AI73</f>
        <v>7.9164787346928229E-4</v>
      </c>
      <c r="AB73" s="56">
        <v>12667.762999999999</v>
      </c>
      <c r="AC73" s="88">
        <f>$AB73/AI73</f>
        <v>0.11102828338920158</v>
      </c>
      <c r="AD73" s="101">
        <v>56386.210000000014</v>
      </c>
      <c r="AE73" s="88">
        <f>$AD73/$AI73</f>
        <v>0.49420439134542016</v>
      </c>
      <c r="AF73" s="3">
        <v>-99227.5</v>
      </c>
      <c r="AG73" s="3">
        <v>-14867.419</v>
      </c>
      <c r="AH73" s="89">
        <f>SUM(AF73,AG73)</f>
        <v>-114094.91899999999</v>
      </c>
      <c r="AI73" s="3">
        <f>((AF73+AG73)*-1)</f>
        <v>114094.91899999999</v>
      </c>
      <c r="AJ73" s="8">
        <f>AI73/($AI$224)</f>
        <v>8.7068405591529761E-3</v>
      </c>
      <c r="AK73" s="56">
        <f>AJ73*($G$260+$G$313-$B$406)</f>
        <v>15379.103561308943</v>
      </c>
      <c r="AL73" s="3">
        <v>41472.560180425309</v>
      </c>
      <c r="AM73" s="8">
        <f>AL73/AL$224</f>
        <v>8.8018146301631801E-3</v>
      </c>
      <c r="AN73" s="3">
        <f>(AM73*$B$406)</f>
        <v>11966.81508057734</v>
      </c>
      <c r="AO73" s="3">
        <f>AN73+AK73</f>
        <v>27345.918641886281</v>
      </c>
      <c r="AP73" s="113">
        <f>$AO73/$AI73</f>
        <v>0.23967691884584522</v>
      </c>
      <c r="AQ73" s="3">
        <f>AB73+AD73+AH73</f>
        <v>-45040.945999999982</v>
      </c>
      <c r="AR73" s="3">
        <f>AQ73+AO73</f>
        <v>-17695.027358113701</v>
      </c>
      <c r="AS73" s="113">
        <f>AR73/AI73</f>
        <v>-0.15509040641953303</v>
      </c>
      <c r="AT73" s="70"/>
      <c r="AU73" s="70"/>
      <c r="AV73" s="70"/>
      <c r="AW73" s="3"/>
      <c r="BA73" s="3"/>
      <c r="BB73" s="3"/>
      <c r="BC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</row>
    <row r="74" spans="1:68" ht="22.2" customHeight="1" x14ac:dyDescent="0.3">
      <c r="A74" s="2" t="s">
        <v>823</v>
      </c>
      <c r="B74" s="3">
        <v>0</v>
      </c>
      <c r="C74" s="88">
        <f>$B74/$AI74</f>
        <v>0</v>
      </c>
      <c r="D74" s="3">
        <v>1458</v>
      </c>
      <c r="E74" s="88">
        <f>$D74/$AI74</f>
        <v>6.8686337057988947E-2</v>
      </c>
      <c r="F74" s="3">
        <v>0</v>
      </c>
      <c r="G74" s="88">
        <f>$F74/$AI74</f>
        <v>0</v>
      </c>
      <c r="H74" s="3">
        <v>0</v>
      </c>
      <c r="I74" s="88">
        <f>$H74/$AI74</f>
        <v>0</v>
      </c>
      <c r="J74" s="3">
        <v>1242.912</v>
      </c>
      <c r="K74" s="88">
        <f>$J74/$AI74</f>
        <v>5.8553547712907515E-2</v>
      </c>
      <c r="L74" s="3"/>
      <c r="M74" s="88">
        <f>$L74/$AI74</f>
        <v>0</v>
      </c>
      <c r="N74" s="3">
        <v>228.45</v>
      </c>
      <c r="O74" s="88">
        <f>$N74/$AI74</f>
        <v>1.0762272771534687E-2</v>
      </c>
      <c r="P74" s="3">
        <v>41.15</v>
      </c>
      <c r="Q74" s="88">
        <f>$P74/$AI74</f>
        <v>1.938575288022116E-3</v>
      </c>
      <c r="R74" s="3">
        <v>501.83499999999998</v>
      </c>
      <c r="S74" s="88">
        <f>$R74/$AI74</f>
        <v>2.3641432069613087E-2</v>
      </c>
      <c r="T74" s="3">
        <v>4.12</v>
      </c>
      <c r="U74" s="88">
        <f>$T74/$AI74</f>
        <v>1.940930786549482E-4</v>
      </c>
      <c r="W74" s="88">
        <f>$V74/$AI74</f>
        <v>0</v>
      </c>
      <c r="X74" s="3">
        <v>319.95999999999998</v>
      </c>
      <c r="Y74" s="88">
        <f>$X74/$AI74</f>
        <v>1.5073306176319714E-2</v>
      </c>
      <c r="Z74" s="3">
        <v>307.16399999999999</v>
      </c>
      <c r="AA74" s="88">
        <f>$Z74/$AI74</f>
        <v>1.4470486993196238E-2</v>
      </c>
      <c r="AB74" s="56">
        <v>4103.5909999999994</v>
      </c>
      <c r="AC74" s="88">
        <f>$AB74/AI74</f>
        <v>0.19332005114823722</v>
      </c>
      <c r="AD74" s="101">
        <v>11018.409</v>
      </c>
      <c r="AE74" s="88">
        <f>$AD74/$AI74</f>
        <v>0.51907692346829826</v>
      </c>
      <c r="AF74" s="3">
        <v>-18440.446999999996</v>
      </c>
      <c r="AG74" s="3">
        <v>-2786.482</v>
      </c>
      <c r="AH74" s="89">
        <f>SUM(AF74,AG74)</f>
        <v>-21226.928999999996</v>
      </c>
      <c r="AI74" s="3">
        <f>((AF74+AG74)*-1)</f>
        <v>21226.928999999996</v>
      </c>
      <c r="AJ74" s="8">
        <f>AI74/($AI$224)</f>
        <v>1.6198748198722197E-3</v>
      </c>
      <c r="AK74" s="56">
        <f>AJ74*($G$260+$G$313-$B$406)</f>
        <v>2861.2241652895341</v>
      </c>
      <c r="AL74" s="3">
        <v>8097.1870681544015</v>
      </c>
      <c r="AM74" s="8">
        <f>AL74/AL$224</f>
        <v>1.7184842047269684E-3</v>
      </c>
      <c r="AN74" s="3">
        <f>(AM74*$B$406)</f>
        <v>2336.425335110629</v>
      </c>
      <c r="AO74" s="3">
        <f>AN74+AK74</f>
        <v>5197.6495004001627</v>
      </c>
      <c r="AP74" s="113">
        <f>$AO74/$AI74</f>
        <v>0.24486111487913129</v>
      </c>
      <c r="AQ74" s="3">
        <f>AB74+AD74+AH74</f>
        <v>-6104.9289999999964</v>
      </c>
      <c r="AR74" s="3">
        <f>AQ74+AO74</f>
        <v>-907.2794995998338</v>
      </c>
      <c r="AS74" s="113">
        <f>AR74/AI74</f>
        <v>-4.2741910504333153E-2</v>
      </c>
      <c r="AT74" s="70"/>
      <c r="AU74" s="70"/>
      <c r="AV74" s="70"/>
      <c r="AW74" s="3"/>
      <c r="BA74" s="3"/>
      <c r="BB74" s="3"/>
      <c r="BC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</row>
    <row r="75" spans="1:68" ht="22.2" customHeight="1" x14ac:dyDescent="0.3">
      <c r="A75" s="2" t="s">
        <v>824</v>
      </c>
      <c r="B75" s="3">
        <v>0</v>
      </c>
      <c r="C75" s="88">
        <f>$B75/$AI75</f>
        <v>0</v>
      </c>
      <c r="D75" s="3">
        <v>1900</v>
      </c>
      <c r="E75" s="88">
        <f>$D75/$AI75</f>
        <v>1.6531944803107889E-2</v>
      </c>
      <c r="F75" s="3">
        <v>0</v>
      </c>
      <c r="G75" s="88">
        <f>$F75/$AI75</f>
        <v>0</v>
      </c>
      <c r="H75" s="3">
        <v>0</v>
      </c>
      <c r="I75" s="88">
        <f>$H75/$AI75</f>
        <v>0</v>
      </c>
      <c r="J75" s="3">
        <v>7271.9459999999999</v>
      </c>
      <c r="K75" s="88">
        <f>$J75/$AI75</f>
        <v>6.3273373622726947E-2</v>
      </c>
      <c r="L75" s="3"/>
      <c r="M75" s="88">
        <f>$L75/$AI75</f>
        <v>0</v>
      </c>
      <c r="N75" s="3"/>
      <c r="O75" s="88">
        <f>$N75/$AI75</f>
        <v>0</v>
      </c>
      <c r="P75" s="3">
        <v>160.99</v>
      </c>
      <c r="Q75" s="88">
        <f>$P75/$AI75</f>
        <v>1.4007777862380731E-3</v>
      </c>
      <c r="R75" s="3">
        <v>325.04699999999997</v>
      </c>
      <c r="S75" s="88">
        <f>$R75/$AI75</f>
        <v>2.8282416117977943E-3</v>
      </c>
      <c r="U75" s="88">
        <f>$T75/$AI75</f>
        <v>0</v>
      </c>
      <c r="W75" s="88">
        <f>$V75/$AI75</f>
        <v>0</v>
      </c>
      <c r="X75" s="3">
        <v>163.68</v>
      </c>
      <c r="Y75" s="88">
        <f>$X75/$AI75</f>
        <v>1.4241835396698417E-3</v>
      </c>
      <c r="Z75" s="3">
        <v>68.588999999999999</v>
      </c>
      <c r="AA75" s="88">
        <f>$Z75/$AI75</f>
        <v>5.9679450636861413E-4</v>
      </c>
      <c r="AB75" s="56">
        <v>9890.2520000000004</v>
      </c>
      <c r="AC75" s="88">
        <f>$AB75/AI75</f>
        <v>8.6055315869909152E-2</v>
      </c>
      <c r="AD75" s="101">
        <v>56365.671999999991</v>
      </c>
      <c r="AE75" s="88">
        <f>$AD75/$AI75</f>
        <v>0.49043904120741244</v>
      </c>
      <c r="AF75" s="3">
        <v>-100824.402</v>
      </c>
      <c r="AG75" s="3">
        <v>-14104.605</v>
      </c>
      <c r="AH75" s="89">
        <f>SUM(AF75,AG75)</f>
        <v>-114929.007</v>
      </c>
      <c r="AI75" s="3">
        <f>((AF75+AG75)*-1)</f>
        <v>114929.007</v>
      </c>
      <c r="AJ75" s="8">
        <f>AI75/($AI$224)</f>
        <v>8.7704916953468912E-3</v>
      </c>
      <c r="AK75" s="56">
        <f>AJ75*($G$260+$G$313-$B$406)</f>
        <v>15491.532106275479</v>
      </c>
      <c r="AL75" s="3">
        <v>44863.167302437105</v>
      </c>
      <c r="AM75" s="8">
        <f>AL75/AL$224</f>
        <v>9.5214107978901195E-3</v>
      </c>
      <c r="AN75" s="3">
        <f>(AM75*$B$406)</f>
        <v>12945.16723109528</v>
      </c>
      <c r="AO75" s="3">
        <f>AN75+AK75</f>
        <v>28436.699337370759</v>
      </c>
      <c r="AP75" s="113">
        <f>$AO75/$AI75</f>
        <v>0.24742839148841475</v>
      </c>
      <c r="AQ75" s="3">
        <f>AB75+AD75+AH75</f>
        <v>-48673.082999999999</v>
      </c>
      <c r="AR75" s="3">
        <f>AQ75+AO75</f>
        <v>-20236.38366262924</v>
      </c>
      <c r="AS75" s="113">
        <f>AR75/AI75</f>
        <v>-0.17607725143426359</v>
      </c>
      <c r="AT75" s="70"/>
      <c r="AU75" s="70"/>
      <c r="AV75" s="70"/>
      <c r="AW75" s="3"/>
      <c r="BA75" s="3"/>
      <c r="BB75" s="3"/>
      <c r="BC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</row>
    <row r="76" spans="1:68" ht="22.2" customHeight="1" x14ac:dyDescent="0.3">
      <c r="A76" s="2" t="s">
        <v>825</v>
      </c>
      <c r="B76" s="3">
        <v>0</v>
      </c>
      <c r="C76" s="88">
        <f>$B76/$AI76</f>
        <v>0</v>
      </c>
      <c r="D76" s="3">
        <v>2900</v>
      </c>
      <c r="E76" s="88">
        <f>$D76/$AI76</f>
        <v>4.6770405899870596E-2</v>
      </c>
      <c r="F76" s="3">
        <v>15</v>
      </c>
      <c r="G76" s="88">
        <f>$F76/$AI76</f>
        <v>2.4191589258553754E-4</v>
      </c>
      <c r="H76" s="3">
        <v>0</v>
      </c>
      <c r="I76" s="88">
        <f>$H76/$AI76</f>
        <v>0</v>
      </c>
      <c r="J76" s="3">
        <v>3378.1570000000002</v>
      </c>
      <c r="K76" s="88">
        <f>$J76/$AI76</f>
        <v>5.4481991063272117E-2</v>
      </c>
      <c r="L76" s="3"/>
      <c r="M76" s="88">
        <f>$L76/$AI76</f>
        <v>0</v>
      </c>
      <c r="N76" s="3"/>
      <c r="O76" s="88">
        <f>$N76/$AI76</f>
        <v>0</v>
      </c>
      <c r="P76" s="3">
        <v>990.56</v>
      </c>
      <c r="Q76" s="88">
        <f>$P76/$AI76</f>
        <v>1.5975480437302004E-2</v>
      </c>
      <c r="R76" s="3">
        <v>11981.789999999999</v>
      </c>
      <c r="S76" s="88">
        <f>$R76/$AI76</f>
        <v>0.19323902817483118</v>
      </c>
      <c r="U76" s="88">
        <f>$T76/$AI76</f>
        <v>0</v>
      </c>
      <c r="W76" s="88">
        <f>$V76/$AI76</f>
        <v>0</v>
      </c>
      <c r="X76" s="3">
        <v>130.41</v>
      </c>
      <c r="Y76" s="88">
        <f>$X76/$AI76</f>
        <v>2.1032167701386635E-3</v>
      </c>
      <c r="Z76" s="3">
        <v>84.965000000000003</v>
      </c>
      <c r="AA76" s="88">
        <f>$Z76/$AI76</f>
        <v>1.3702922542353465E-3</v>
      </c>
      <c r="AB76" s="56">
        <v>19480.881999999998</v>
      </c>
      <c r="AC76" s="88">
        <f>$AB76/AI76</f>
        <v>0.31418233049223543</v>
      </c>
      <c r="AD76" s="101">
        <v>31423.222999999998</v>
      </c>
      <c r="AE76" s="88">
        <f>$AD76/$AI76</f>
        <v>0.5067851359972928</v>
      </c>
      <c r="AF76" s="3">
        <v>-54052.601999999999</v>
      </c>
      <c r="AG76" s="3">
        <v>-7952.4189999999999</v>
      </c>
      <c r="AH76" s="89">
        <f>SUM(AF76,AG76)</f>
        <v>-62005.021000000001</v>
      </c>
      <c r="AI76" s="3">
        <f>((AF76+AG76)*-1)</f>
        <v>62005.021000000001</v>
      </c>
      <c r="AJ76" s="8">
        <f>AI76/($AI$224)</f>
        <v>4.7317429772129639E-3</v>
      </c>
      <c r="AK76" s="56">
        <f>AJ76*($G$260+$G$313-$B$406)</f>
        <v>8357.7923332426017</v>
      </c>
      <c r="AL76" s="3">
        <v>19624.176305381909</v>
      </c>
      <c r="AM76" s="8">
        <f>AL76/AL$224</f>
        <v>4.1648830300845142E-3</v>
      </c>
      <c r="AN76" s="3">
        <f>(AM76*$B$406)</f>
        <v>5662.5124644702955</v>
      </c>
      <c r="AO76" s="3">
        <f>AN76+AK76</f>
        <v>14020.304797712897</v>
      </c>
      <c r="AP76" s="113">
        <f>$AO76/$AI76</f>
        <v>0.22611563663066733</v>
      </c>
      <c r="AQ76" s="3">
        <f>AB76+AD76+AH76</f>
        <v>-11100.916000000005</v>
      </c>
      <c r="AR76" s="3">
        <f>AQ76+AO76</f>
        <v>2919.3887977128925</v>
      </c>
      <c r="AS76" s="113">
        <f>AR76/AI76</f>
        <v>4.7083103120195577E-2</v>
      </c>
      <c r="AT76" s="70"/>
      <c r="AU76" s="70"/>
      <c r="AV76" s="70"/>
      <c r="AW76" s="3"/>
      <c r="BA76" s="3"/>
      <c r="BB76" s="3"/>
      <c r="BC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</row>
    <row r="77" spans="1:68" ht="22.2" customHeight="1" x14ac:dyDescent="0.3">
      <c r="A77" s="2" t="s">
        <v>826</v>
      </c>
      <c r="B77" s="3">
        <v>0</v>
      </c>
      <c r="C77" s="88">
        <f>$B77/$AI77</f>
        <v>0</v>
      </c>
      <c r="D77" s="3">
        <v>500</v>
      </c>
      <c r="E77" s="88">
        <f>$D77/$AI77</f>
        <v>1.2316400040417499E-2</v>
      </c>
      <c r="F77" s="3">
        <v>37.25</v>
      </c>
      <c r="G77" s="88">
        <f>$F77/$AI77</f>
        <v>9.1757180301110363E-4</v>
      </c>
      <c r="H77" s="3">
        <v>0</v>
      </c>
      <c r="I77" s="88">
        <f>$H77/$AI77</f>
        <v>0</v>
      </c>
      <c r="J77" s="3">
        <v>3205.0479999999998</v>
      </c>
      <c r="K77" s="88">
        <f>$J77/$AI77</f>
        <v>7.8949306633480043E-2</v>
      </c>
      <c r="L77" s="3"/>
      <c r="M77" s="88">
        <f>$L77/$AI77</f>
        <v>0</v>
      </c>
      <c r="N77" s="3"/>
      <c r="O77" s="88">
        <f>$N77/$AI77</f>
        <v>0</v>
      </c>
      <c r="P77" s="3">
        <v>68.099999999999994</v>
      </c>
      <c r="Q77" s="88">
        <f>$P77/$AI77</f>
        <v>1.6774936855048631E-3</v>
      </c>
      <c r="R77" s="3">
        <v>54.361999999999995</v>
      </c>
      <c r="S77" s="88">
        <f>$R77/$AI77</f>
        <v>1.3390882779943519E-3</v>
      </c>
      <c r="U77" s="88">
        <f>$T77/$AI77</f>
        <v>0</v>
      </c>
      <c r="W77" s="88">
        <f>$V77/$AI77</f>
        <v>0</v>
      </c>
      <c r="X77" s="3">
        <v>140.35</v>
      </c>
      <c r="Y77" s="88">
        <f>$X77/$AI77</f>
        <v>3.4572134913451917E-3</v>
      </c>
      <c r="Z77" s="3">
        <v>75.183000000000007</v>
      </c>
      <c r="AA77" s="88">
        <f>$Z77/$AI77</f>
        <v>1.8519678084774178E-3</v>
      </c>
      <c r="AB77" s="56">
        <v>4080.2929999999997</v>
      </c>
      <c r="AC77" s="88">
        <f>$AB77/AI77</f>
        <v>0.10050904174023047</v>
      </c>
      <c r="AD77" s="101">
        <v>19191.458999999995</v>
      </c>
      <c r="AE77" s="88">
        <f>$AD77/$AI77</f>
        <v>0.47273937280654144</v>
      </c>
      <c r="AF77" s="3">
        <v>-35712.326999999997</v>
      </c>
      <c r="AG77" s="3">
        <v>-4883.951</v>
      </c>
      <c r="AH77" s="89">
        <f>SUM(AF77,AG77)</f>
        <v>-40596.277999999998</v>
      </c>
      <c r="AI77" s="3">
        <f>((AF77+AG77)*-1)</f>
        <v>40596.277999999998</v>
      </c>
      <c r="AJ77" s="8">
        <f>AI77/($AI$224)</f>
        <v>3.0979935210002614E-3</v>
      </c>
      <c r="AK77" s="56">
        <f>AJ77*($G$260+$G$313-$B$406)</f>
        <v>5472.0610614192892</v>
      </c>
      <c r="AL77" s="3">
        <v>16414.118001563264</v>
      </c>
      <c r="AM77" s="8">
        <f>AL77/AL$224</f>
        <v>3.4836051437107771E-3</v>
      </c>
      <c r="AN77" s="3">
        <f>(AM77*$B$406)</f>
        <v>4736.257274230059</v>
      </c>
      <c r="AO77" s="3">
        <f>AN77+AK77</f>
        <v>10208.318335649348</v>
      </c>
      <c r="AP77" s="113">
        <f>$AO77/$AI77</f>
        <v>0.25145946472357267</v>
      </c>
      <c r="AQ77" s="3">
        <f>AB77+AD77+AH77</f>
        <v>-17324.526000000005</v>
      </c>
      <c r="AR77" s="3">
        <f>AQ77+AO77</f>
        <v>-7116.2076643506571</v>
      </c>
      <c r="AS77" s="113">
        <f>AR77/AI77</f>
        <v>-0.1752921207296555</v>
      </c>
      <c r="AT77" s="70"/>
      <c r="AU77" s="70"/>
      <c r="AV77" s="70"/>
      <c r="AW77" s="3"/>
      <c r="BA77" s="3"/>
      <c r="BB77" s="3"/>
      <c r="BC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</row>
    <row r="78" spans="1:68" ht="22.2" customHeight="1" x14ac:dyDescent="0.3">
      <c r="A78" s="2" t="s">
        <v>827</v>
      </c>
      <c r="B78" s="3">
        <v>0</v>
      </c>
      <c r="C78" s="88">
        <f>$B78/$AI78</f>
        <v>0</v>
      </c>
      <c r="D78" s="3">
        <v>350</v>
      </c>
      <c r="E78" s="88">
        <f>$D78/$AI78</f>
        <v>8.5195247059400847E-3</v>
      </c>
      <c r="F78" s="3">
        <v>91</v>
      </c>
      <c r="G78" s="88">
        <f>$F78/$AI78</f>
        <v>2.2150764235444216E-3</v>
      </c>
      <c r="H78" s="3">
        <v>0</v>
      </c>
      <c r="I78" s="88">
        <f>$H78/$AI78</f>
        <v>0</v>
      </c>
      <c r="J78" s="3">
        <v>3907.0519999999997</v>
      </c>
      <c r="K78" s="88">
        <f>$J78/$AI78</f>
        <v>9.510350297540747E-2</v>
      </c>
      <c r="L78" s="3"/>
      <c r="M78" s="88">
        <f>$L78/$AI78</f>
        <v>0</v>
      </c>
      <c r="N78" s="3"/>
      <c r="O78" s="88">
        <f>$N78/$AI78</f>
        <v>0</v>
      </c>
      <c r="P78" s="3"/>
      <c r="Q78" s="88">
        <f>$P78/$AI78</f>
        <v>0</v>
      </c>
      <c r="R78" s="3">
        <v>816.08799999999997</v>
      </c>
      <c r="S78" s="88">
        <f>$R78/$AI78</f>
        <v>1.9864805366346373E-2</v>
      </c>
      <c r="U78" s="88">
        <f>$T78/$AI78</f>
        <v>0</v>
      </c>
      <c r="W78" s="88">
        <f>$V78/$AI78</f>
        <v>0</v>
      </c>
      <c r="X78" s="3">
        <v>103</v>
      </c>
      <c r="Y78" s="88">
        <f>$X78/$AI78</f>
        <v>2.5071744134623677E-3</v>
      </c>
      <c r="Z78" s="3">
        <v>43.103000000000002</v>
      </c>
      <c r="AA78" s="88">
        <f>$Z78/$AI78</f>
        <v>1.0491916382861014E-3</v>
      </c>
      <c r="AB78" s="56">
        <v>5310.2429999999995</v>
      </c>
      <c r="AC78" s="88">
        <f>$AB78/AI78</f>
        <v>0.1292592755229868</v>
      </c>
      <c r="AD78" s="101">
        <v>16865.696</v>
      </c>
      <c r="AE78" s="88">
        <f>$AD78/$AI78</f>
        <v>0.41053632501392812</v>
      </c>
      <c r="AF78" s="3">
        <v>-36059.854000000007</v>
      </c>
      <c r="AG78" s="3">
        <v>-5022.25</v>
      </c>
      <c r="AH78" s="89">
        <f>SUM(AF78,AG78)</f>
        <v>-41082.104000000007</v>
      </c>
      <c r="AI78" s="3">
        <f>((AF78+AG78)*-1)</f>
        <v>41082.104000000007</v>
      </c>
      <c r="AJ78" s="8">
        <f>AI78/($AI$224)</f>
        <v>3.1350679986243803E-3</v>
      </c>
      <c r="AK78" s="56">
        <f>AJ78*($G$260+$G$313-$B$406)</f>
        <v>5537.5466100507465</v>
      </c>
      <c r="AL78" s="3">
        <v>16536.359508789588</v>
      </c>
      <c r="AM78" s="8">
        <f>AL78/AL$224</f>
        <v>3.5095487334490757E-3</v>
      </c>
      <c r="AN78" s="3">
        <f>(AM78*$B$406)</f>
        <v>4771.5297894976102</v>
      </c>
      <c r="AO78" s="3">
        <f>AN78+AK78</f>
        <v>10309.076399548358</v>
      </c>
      <c r="AP78" s="113">
        <f>$AO78/$AI78</f>
        <v>0.25093837451821738</v>
      </c>
      <c r="AQ78" s="3">
        <f>AB78+AD78+AH78</f>
        <v>-18906.165000000008</v>
      </c>
      <c r="AR78" s="3">
        <f>AQ78+AO78</f>
        <v>-8597.0886004516506</v>
      </c>
      <c r="AS78" s="113">
        <f>AR78/AI78</f>
        <v>-0.20926602494486771</v>
      </c>
      <c r="AT78" s="70"/>
      <c r="AU78" s="70"/>
      <c r="AV78" s="70"/>
      <c r="AW78" s="3"/>
      <c r="BA78" s="3"/>
      <c r="BB78" s="3"/>
      <c r="BC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</row>
    <row r="79" spans="1:68" ht="22.2" customHeight="1" x14ac:dyDescent="0.3">
      <c r="A79" s="2" t="s">
        <v>828</v>
      </c>
      <c r="B79" s="3">
        <v>0</v>
      </c>
      <c r="C79" s="88">
        <f>$B79/$AI79</f>
        <v>0</v>
      </c>
      <c r="D79" s="3">
        <v>0</v>
      </c>
      <c r="E79" s="88">
        <f>$D79/$AI79</f>
        <v>0</v>
      </c>
      <c r="F79" s="3">
        <v>0</v>
      </c>
      <c r="G79" s="88">
        <f>$F79/$AI79</f>
        <v>0</v>
      </c>
      <c r="H79" s="3">
        <v>0</v>
      </c>
      <c r="I79" s="88">
        <f>$H79/$AI79</f>
        <v>0</v>
      </c>
      <c r="J79" s="3">
        <v>2902.1220000000003</v>
      </c>
      <c r="K79" s="88">
        <f>$J79/$AI79</f>
        <v>1.7947229830114351E-2</v>
      </c>
      <c r="L79" s="3"/>
      <c r="M79" s="88">
        <f>$L79/$AI79</f>
        <v>0</v>
      </c>
      <c r="N79" s="3"/>
      <c r="O79" s="88">
        <f>$N79/$AI79</f>
        <v>0</v>
      </c>
      <c r="P79" s="3"/>
      <c r="Q79" s="88">
        <f>$P79/$AI79</f>
        <v>0</v>
      </c>
      <c r="R79" s="3">
        <v>116.678</v>
      </c>
      <c r="S79" s="88">
        <f>$R79/$AI79</f>
        <v>7.215571509805866E-4</v>
      </c>
      <c r="T79" s="3">
        <v>6.3E-2</v>
      </c>
      <c r="U79" s="88">
        <f>$T79/$AI79</f>
        <v>3.896030143795485E-7</v>
      </c>
      <c r="W79" s="88">
        <f>$V79/$AI79</f>
        <v>0</v>
      </c>
      <c r="X79" s="3">
        <v>44.591000000000001</v>
      </c>
      <c r="Y79" s="88">
        <f>$X79/$AI79</f>
        <v>2.7575853990791186E-4</v>
      </c>
      <c r="Z79" s="3">
        <v>84.662000000000006</v>
      </c>
      <c r="AA79" s="88">
        <f>$Z79/$AI79</f>
        <v>5.2356460957779895E-4</v>
      </c>
      <c r="AB79" s="56">
        <v>3148.116</v>
      </c>
      <c r="AC79" s="88">
        <f>$AB79/AI79</f>
        <v>1.9468499733595025E-2</v>
      </c>
      <c r="AD79" s="101">
        <v>90107.962</v>
      </c>
      <c r="AE79" s="88">
        <f>$AD79/$AI79</f>
        <v>0.55724339071107631</v>
      </c>
      <c r="AF79" s="3">
        <v>-139682.65199999997</v>
      </c>
      <c r="AG79" s="3">
        <v>-22020.409</v>
      </c>
      <c r="AH79" s="89">
        <f>SUM(AF79,AG79)</f>
        <v>-161703.06099999999</v>
      </c>
      <c r="AI79" s="3">
        <f>((AF79+AG79)*-1)</f>
        <v>161703.06099999999</v>
      </c>
      <c r="AJ79" s="8">
        <f>AI79/($AI$224)</f>
        <v>1.2339925234128853E-2</v>
      </c>
      <c r="AK79" s="56">
        <f>AJ79*($G$260+$G$313-$B$406)</f>
        <v>21796.309100317227</v>
      </c>
      <c r="AL79" s="3">
        <v>50962.396207794678</v>
      </c>
      <c r="AM79" s="8">
        <f>AL79/AL$224</f>
        <v>1.0815863852592755E-2</v>
      </c>
      <c r="AN79" s="3">
        <f>(AM79*$B$406)</f>
        <v>14705.0861781531</v>
      </c>
      <c r="AO79" s="3">
        <f>AN79+AK79</f>
        <v>36501.395278470329</v>
      </c>
      <c r="AP79" s="113">
        <f>$AO79/$AI79</f>
        <v>0.22573100999288029</v>
      </c>
      <c r="AQ79" s="3">
        <f>AB79+AD79+AH79</f>
        <v>-68446.982999999993</v>
      </c>
      <c r="AR79" s="3">
        <f>AQ79+AO79</f>
        <v>-31945.587721529664</v>
      </c>
      <c r="AS79" s="113">
        <f>AR79/AI79</f>
        <v>-0.19755709956244841</v>
      </c>
      <c r="AT79" s="70"/>
      <c r="AU79" s="70"/>
      <c r="AV79" s="70"/>
      <c r="AW79" s="3"/>
      <c r="BA79" s="3"/>
      <c r="BB79" s="3"/>
      <c r="BC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</row>
    <row r="80" spans="1:68" ht="22.2" customHeight="1" x14ac:dyDescent="0.3">
      <c r="A80" s="2" t="s">
        <v>829</v>
      </c>
      <c r="B80" s="3">
        <v>0</v>
      </c>
      <c r="C80" s="88">
        <f>$B80/$AI80</f>
        <v>0</v>
      </c>
      <c r="D80" s="3">
        <v>450</v>
      </c>
      <c r="E80" s="88">
        <f>$D80/$AI80</f>
        <v>1.1283886074074751E-2</v>
      </c>
      <c r="F80" s="3">
        <v>32.01</v>
      </c>
      <c r="G80" s="88">
        <f>$F80/$AI80</f>
        <v>8.0266042940251719E-4</v>
      </c>
      <c r="H80" s="3">
        <v>0</v>
      </c>
      <c r="I80" s="88">
        <f>$H80/$AI80</f>
        <v>0</v>
      </c>
      <c r="J80" s="3">
        <v>3193.7170000000001</v>
      </c>
      <c r="K80" s="88">
        <f>$J80/$AI80</f>
        <v>8.0083419512968435E-2</v>
      </c>
      <c r="L80" s="3"/>
      <c r="M80" s="88">
        <f>$L80/$AI80</f>
        <v>0</v>
      </c>
      <c r="N80" s="3"/>
      <c r="O80" s="88">
        <f>$N80/$AI80</f>
        <v>0</v>
      </c>
      <c r="P80" s="3">
        <v>10</v>
      </c>
      <c r="Q80" s="88">
        <f>$P80/$AI80</f>
        <v>2.5075302386832782E-4</v>
      </c>
      <c r="R80" s="3">
        <v>201.07300000000001</v>
      </c>
      <c r="S80" s="88">
        <f>$R80/$AI80</f>
        <v>5.0419662768276278E-3</v>
      </c>
      <c r="U80" s="88">
        <f>$T80/$AI80</f>
        <v>0</v>
      </c>
      <c r="W80" s="88">
        <f>$V80/$AI80</f>
        <v>0</v>
      </c>
      <c r="X80" s="3">
        <v>77.09</v>
      </c>
      <c r="Y80" s="88">
        <f>$X80/$AI80</f>
        <v>1.933055061000939E-3</v>
      </c>
      <c r="Z80" s="3">
        <v>53.172999999999995</v>
      </c>
      <c r="AA80" s="88">
        <f>$Z80/$AI80</f>
        <v>1.3333290538150592E-3</v>
      </c>
      <c r="AB80" s="56">
        <v>4017.0630000000006</v>
      </c>
      <c r="AC80" s="88">
        <f>$AB80/AI80</f>
        <v>0.10072906943195767</v>
      </c>
      <c r="AD80" s="101">
        <v>18903.991000000002</v>
      </c>
      <c r="AE80" s="88">
        <f>$AD80/$AI80</f>
        <v>0.47402329064296544</v>
      </c>
      <c r="AF80" s="3">
        <v>-35193.64</v>
      </c>
      <c r="AG80" s="3">
        <v>-4686.2380000000003</v>
      </c>
      <c r="AH80" s="89">
        <f>SUM(AF80,AG80)</f>
        <v>-39879.877999999997</v>
      </c>
      <c r="AI80" s="3">
        <f>((AF80+AG80)*-1)</f>
        <v>39879.877999999997</v>
      </c>
      <c r="AJ80" s="8">
        <f>AI80/($AI$224)</f>
        <v>3.0433234214792024E-3</v>
      </c>
      <c r="AK80" s="56">
        <f>AJ80*($G$260+$G$313-$B$406)</f>
        <v>5375.4959392570854</v>
      </c>
      <c r="AL80" s="3">
        <v>15768.792557539666</v>
      </c>
      <c r="AM80" s="8">
        <f>AL80/AL$224</f>
        <v>3.3466462747691779E-3</v>
      </c>
      <c r="AN80" s="3">
        <f>(AM80*$B$406)</f>
        <v>4550.0500513861989</v>
      </c>
      <c r="AO80" s="3">
        <f>AN80+AK80</f>
        <v>9925.5459906432843</v>
      </c>
      <c r="AP80" s="113">
        <f>$AO80/$AI80</f>
        <v>0.24888606706979607</v>
      </c>
      <c r="AQ80" s="3">
        <f>AB80+AD80+AH80</f>
        <v>-16958.823999999993</v>
      </c>
      <c r="AR80" s="3">
        <f>AQ80+AO80</f>
        <v>-7033.2780093567089</v>
      </c>
      <c r="AS80" s="113">
        <f>AR80/AI80</f>
        <v>-0.17636157285528078</v>
      </c>
      <c r="AT80" s="70"/>
      <c r="AU80" s="70"/>
      <c r="AV80" s="70"/>
      <c r="AW80" s="3"/>
      <c r="BA80" s="3"/>
      <c r="BB80" s="3"/>
      <c r="BC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</row>
    <row r="81" spans="1:68" ht="22.2" customHeight="1" x14ac:dyDescent="0.3">
      <c r="A81" s="2" t="s">
        <v>830</v>
      </c>
      <c r="B81" s="3">
        <v>0</v>
      </c>
      <c r="C81" s="88">
        <f>$B81/$AI81</f>
        <v>0</v>
      </c>
      <c r="D81" s="3">
        <v>460</v>
      </c>
      <c r="E81" s="88">
        <f>$D81/$AI81</f>
        <v>1.4872205722695439E-2</v>
      </c>
      <c r="F81" s="3">
        <v>37.619999999999997</v>
      </c>
      <c r="G81" s="88">
        <f>$F81/$AI81</f>
        <v>1.21628778106044E-3</v>
      </c>
      <c r="H81" s="3">
        <v>0</v>
      </c>
      <c r="I81" s="88">
        <f>$H81/$AI81</f>
        <v>0</v>
      </c>
      <c r="J81" s="3">
        <v>2509.5970000000002</v>
      </c>
      <c r="K81" s="88">
        <f>$J81/$AI81</f>
        <v>8.1137484489259379E-2</v>
      </c>
      <c r="L81" s="3"/>
      <c r="M81" s="88">
        <f>$L81/$AI81</f>
        <v>0</v>
      </c>
      <c r="N81" s="3"/>
      <c r="O81" s="88">
        <f>$N81/$AI81</f>
        <v>0</v>
      </c>
      <c r="P81" s="3"/>
      <c r="Q81" s="88">
        <f>$P81/$AI81</f>
        <v>0</v>
      </c>
      <c r="R81" s="3">
        <v>1223.4039999999998</v>
      </c>
      <c r="S81" s="88">
        <f>$R81/$AI81</f>
        <v>3.9553730369496713E-2</v>
      </c>
      <c r="U81" s="88">
        <f>$T81/$AI81</f>
        <v>0</v>
      </c>
      <c r="W81" s="88">
        <f>$V81/$AI81</f>
        <v>0</v>
      </c>
      <c r="X81" s="3">
        <v>59.13</v>
      </c>
      <c r="Y81" s="88">
        <f>$X81/$AI81</f>
        <v>1.9117250530064813E-3</v>
      </c>
      <c r="Z81" s="3">
        <v>258.952</v>
      </c>
      <c r="AA81" s="88">
        <f>$Z81/$AI81</f>
        <v>8.3721465571813692E-3</v>
      </c>
      <c r="AB81" s="56">
        <v>4548.7029999999995</v>
      </c>
      <c r="AC81" s="88">
        <f>$AB81/AI81</f>
        <v>0.14706357997269981</v>
      </c>
      <c r="AD81" s="101">
        <v>15509.833000000001</v>
      </c>
      <c r="AE81" s="88">
        <f>$AD81/$AI81</f>
        <v>0.50144658065358827</v>
      </c>
      <c r="AF81" s="3">
        <v>-26868.104999999996</v>
      </c>
      <c r="AG81" s="3">
        <v>-4062.0749999999998</v>
      </c>
      <c r="AH81" s="89">
        <f>SUM(AF81,AG81)</f>
        <v>-30930.179999999997</v>
      </c>
      <c r="AI81" s="3">
        <f>((AF81+AG81)*-1)</f>
        <v>30930.179999999997</v>
      </c>
      <c r="AJ81" s="8">
        <f>AI81/($AI$224)</f>
        <v>2.3603517850422609E-3</v>
      </c>
      <c r="AK81" s="56">
        <f>AJ81*($G$260+$G$313-$B$406)</f>
        <v>4169.1465804005402</v>
      </c>
      <c r="AL81" s="3">
        <v>8527.4538809146379</v>
      </c>
      <c r="AM81" s="8">
        <f>AL81/AL$224</f>
        <v>1.8098006971487268E-3</v>
      </c>
      <c r="AN81" s="3">
        <f>(AM81*$B$406)</f>
        <v>2460.5778678023867</v>
      </c>
      <c r="AO81" s="3">
        <f>AN81+AK81</f>
        <v>6629.7244482029273</v>
      </c>
      <c r="AP81" s="113">
        <f>$AO81/$AI81</f>
        <v>0.21434483886621183</v>
      </c>
      <c r="AQ81" s="3">
        <f>AB81+AD81+AH81</f>
        <v>-10871.643999999997</v>
      </c>
      <c r="AR81" s="3">
        <f>AQ81+AO81</f>
        <v>-4241.9195517970693</v>
      </c>
      <c r="AS81" s="113">
        <f>AR81/AI81</f>
        <v>-0.13714500050750011</v>
      </c>
      <c r="AT81" s="70"/>
      <c r="AU81" s="70"/>
      <c r="AV81" s="70"/>
      <c r="AW81" s="3"/>
      <c r="BA81" s="3"/>
      <c r="BB81" s="3"/>
      <c r="BC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</row>
    <row r="82" spans="1:68" ht="22.2" customHeight="1" x14ac:dyDescent="0.3">
      <c r="A82" s="2" t="s">
        <v>831</v>
      </c>
      <c r="B82" s="3">
        <v>0</v>
      </c>
      <c r="C82" s="88">
        <f>$B82/$AI82</f>
        <v>0</v>
      </c>
      <c r="D82" s="3">
        <v>3655</v>
      </c>
      <c r="E82" s="88">
        <f>$D82/$AI82</f>
        <v>0.140076714516949</v>
      </c>
      <c r="F82" s="3">
        <v>201.23</v>
      </c>
      <c r="G82" s="88">
        <f>$F82/$AI82</f>
        <v>7.7120758583435426E-3</v>
      </c>
      <c r="H82" s="3">
        <v>0</v>
      </c>
      <c r="I82" s="88">
        <f>$H82/$AI82</f>
        <v>0</v>
      </c>
      <c r="J82" s="3">
        <v>2271.5340000000001</v>
      </c>
      <c r="K82" s="88">
        <f>$J82/$AI82</f>
        <v>8.7055819325182832E-2</v>
      </c>
      <c r="L82" s="3"/>
      <c r="M82" s="88">
        <f>$L82/$AI82</f>
        <v>0</v>
      </c>
      <c r="N82" s="3"/>
      <c r="O82" s="88">
        <f>$N82/$AI82</f>
        <v>0</v>
      </c>
      <c r="P82" s="3">
        <v>66.959999999999994</v>
      </c>
      <c r="Q82" s="88">
        <f>$P82/$AI82</f>
        <v>2.5662207398235034E-3</v>
      </c>
      <c r="R82" s="3">
        <v>1123.4960000000001</v>
      </c>
      <c r="S82" s="88">
        <f>$R82/$AI82</f>
        <v>4.3057627483702912E-2</v>
      </c>
      <c r="U82" s="88">
        <f>$T82/$AI82</f>
        <v>0</v>
      </c>
      <c r="W82" s="88">
        <f>$V82/$AI82</f>
        <v>0</v>
      </c>
      <c r="X82" s="3">
        <v>222.16</v>
      </c>
      <c r="Y82" s="88">
        <f>$X82/$AI82</f>
        <v>8.5142114629508589E-3</v>
      </c>
      <c r="Z82" s="3">
        <v>198.88400000000001</v>
      </c>
      <c r="AA82" s="88">
        <f>$Z82/$AI82</f>
        <v>7.6221661532117346E-3</v>
      </c>
      <c r="AB82" s="56">
        <v>7739.2639999999992</v>
      </c>
      <c r="AC82" s="88">
        <f>$AB82/AI82</f>
        <v>0.29660483554016437</v>
      </c>
      <c r="AD82" s="101">
        <v>14731.397999999999</v>
      </c>
      <c r="AE82" s="88">
        <f>$AD82/$AI82</f>
        <v>0.56457615104830461</v>
      </c>
      <c r="AF82" s="3">
        <v>-22851.345999999998</v>
      </c>
      <c r="AG82" s="3">
        <v>-3241.4989999999998</v>
      </c>
      <c r="AH82" s="89">
        <f>SUM(AF82,AG82)</f>
        <v>-26092.844999999998</v>
      </c>
      <c r="AI82" s="3">
        <f>((AF82+AG82)*-1)</f>
        <v>26092.844999999998</v>
      </c>
      <c r="AJ82" s="8">
        <f>AI82/($AI$224)</f>
        <v>1.9912038427380967E-3</v>
      </c>
      <c r="AK82" s="56">
        <f>AJ82*($G$260+$G$313-$B$406)</f>
        <v>3517.1116205813</v>
      </c>
      <c r="AL82" s="3">
        <v>4813.8627043260358</v>
      </c>
      <c r="AM82" s="8">
        <f>AL82/AL$224</f>
        <v>1.0216568978187273E-3</v>
      </c>
      <c r="AN82" s="3">
        <f>(AM82*$B$406)</f>
        <v>1389.0293860649444</v>
      </c>
      <c r="AO82" s="3">
        <f>AN82+AK82</f>
        <v>4906.1410066462449</v>
      </c>
      <c r="AP82" s="113">
        <f>$AO82/$AI82</f>
        <v>0.18802629635236193</v>
      </c>
      <c r="AQ82" s="3">
        <f>AB82+AD82+AH82</f>
        <v>-3622.1830000000009</v>
      </c>
      <c r="AR82" s="3">
        <f>AQ82+AO82</f>
        <v>1283.958006646244</v>
      </c>
      <c r="AS82" s="113">
        <f>AR82/AI82</f>
        <v>4.9207282940830877E-2</v>
      </c>
      <c r="AT82" s="70"/>
      <c r="AU82" s="70"/>
      <c r="AV82" s="70"/>
      <c r="AW82" s="3"/>
      <c r="BA82" s="3"/>
      <c r="BB82" s="3"/>
      <c r="BC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</row>
    <row r="83" spans="1:68" ht="22.2" customHeight="1" x14ac:dyDescent="0.3">
      <c r="A83" s="2" t="s">
        <v>832</v>
      </c>
      <c r="B83" s="3">
        <v>0</v>
      </c>
      <c r="C83" s="88">
        <f>$B83/$AI83</f>
        <v>0</v>
      </c>
      <c r="D83" s="3">
        <v>490</v>
      </c>
      <c r="E83" s="88">
        <f>$D83/$AI83</f>
        <v>1.0749880275950743E-2</v>
      </c>
      <c r="F83" s="3">
        <v>25</v>
      </c>
      <c r="G83" s="88">
        <f>$F83/$AI83</f>
        <v>5.4846327938524206E-4</v>
      </c>
      <c r="H83" s="3">
        <v>0</v>
      </c>
      <c r="I83" s="88">
        <f>$H83/$AI83</f>
        <v>0</v>
      </c>
      <c r="J83" s="3">
        <v>2910.9549999999999</v>
      </c>
      <c r="K83" s="88">
        <f>$J83/$AI83</f>
        <v>6.386207701771468E-2</v>
      </c>
      <c r="L83" s="3"/>
      <c r="M83" s="88">
        <f>$L83/$AI83</f>
        <v>0</v>
      </c>
      <c r="N83" s="3"/>
      <c r="O83" s="88">
        <f>$N83/$AI83</f>
        <v>0</v>
      </c>
      <c r="P83" s="3">
        <v>45.77</v>
      </c>
      <c r="Q83" s="88">
        <f>$P83/$AI83</f>
        <v>1.0041265718985011E-3</v>
      </c>
      <c r="R83" s="3">
        <v>1414.1030000000001</v>
      </c>
      <c r="S83" s="88">
        <f>$R83/$AI83</f>
        <v>3.1023342750740358E-2</v>
      </c>
      <c r="U83" s="88">
        <f>$T83/$AI83</f>
        <v>0</v>
      </c>
      <c r="W83" s="88">
        <f>$V83/$AI83</f>
        <v>0</v>
      </c>
      <c r="X83" s="3">
        <v>100.89</v>
      </c>
      <c r="Y83" s="88">
        <f>$X83/$AI83</f>
        <v>2.2133784102870827E-3</v>
      </c>
      <c r="Z83" s="3">
        <v>120.94999999999999</v>
      </c>
      <c r="AA83" s="88">
        <f>$Z83/$AI83</f>
        <v>2.6534653456658005E-3</v>
      </c>
      <c r="AB83" s="56">
        <v>5107.6680000000006</v>
      </c>
      <c r="AC83" s="88">
        <f>$AB83/AI83</f>
        <v>0.11205473365164242</v>
      </c>
      <c r="AD83" s="101">
        <v>21656.617000000002</v>
      </c>
      <c r="AE83" s="88">
        <f>$AD83/$AI83</f>
        <v>0.47511436720840733</v>
      </c>
      <c r="AF83" s="3">
        <v>-39482.781999999999</v>
      </c>
      <c r="AG83" s="3">
        <v>-6099.1210000000001</v>
      </c>
      <c r="AH83" s="89">
        <f>SUM(AF83,AG83)</f>
        <v>-45581.902999999998</v>
      </c>
      <c r="AI83" s="3">
        <f>((AF83+AG83)*-1)</f>
        <v>45581.902999999998</v>
      </c>
      <c r="AJ83" s="8">
        <f>AI83/($AI$224)</f>
        <v>3.4784578076064603E-3</v>
      </c>
      <c r="AK83" s="56">
        <f>AJ83*($G$260+$G$313-$B$406)</f>
        <v>6144.0843545236112</v>
      </c>
      <c r="AL83" s="3">
        <v>14069.195549047554</v>
      </c>
      <c r="AM83" s="8">
        <f>AL83/AL$224</f>
        <v>2.98593698289893E-3</v>
      </c>
      <c r="AN83" s="3">
        <f>(AM83*$B$406)</f>
        <v>4059.6351113958954</v>
      </c>
      <c r="AO83" s="3">
        <f>AN83+AK83</f>
        <v>10203.719465919507</v>
      </c>
      <c r="AP83" s="113">
        <f>$AO83/$AI83</f>
        <v>0.22385461760820971</v>
      </c>
      <c r="AQ83" s="3">
        <f>AB83+AD83+AH83</f>
        <v>-18817.617999999995</v>
      </c>
      <c r="AR83" s="3">
        <f>AQ83+AO83</f>
        <v>-8613.8985340804884</v>
      </c>
      <c r="AS83" s="113">
        <f>AR83/AI83</f>
        <v>-0.18897628153174054</v>
      </c>
      <c r="AT83" s="70"/>
      <c r="AU83" s="70"/>
      <c r="AV83" s="70"/>
      <c r="AW83" s="3"/>
      <c r="BA83" s="3"/>
      <c r="BB83" s="3"/>
      <c r="BC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</row>
    <row r="84" spans="1:68" ht="22.2" customHeight="1" x14ac:dyDescent="0.3">
      <c r="A84" s="2" t="s">
        <v>833</v>
      </c>
      <c r="B84" s="3">
        <v>0</v>
      </c>
      <c r="C84" s="88">
        <f>$B84/$AI84</f>
        <v>0</v>
      </c>
      <c r="D84" s="3">
        <v>700</v>
      </c>
      <c r="E84" s="88">
        <f>$D84/$AI84</f>
        <v>1.2837440372840349E-2</v>
      </c>
      <c r="F84" s="3">
        <v>0</v>
      </c>
      <c r="G84" s="88">
        <f>$F84/$AI84</f>
        <v>0</v>
      </c>
      <c r="H84" s="3">
        <v>0</v>
      </c>
      <c r="I84" s="88">
        <f>$H84/$AI84</f>
        <v>0</v>
      </c>
      <c r="J84" s="3">
        <v>2102.087</v>
      </c>
      <c r="K84" s="88">
        <f>$J84/$AI84</f>
        <v>3.8550595030032643E-2</v>
      </c>
      <c r="L84" s="3"/>
      <c r="M84" s="88">
        <f>$L84/$AI84</f>
        <v>0</v>
      </c>
      <c r="N84" s="3"/>
      <c r="O84" s="88">
        <f>$N84/$AI84</f>
        <v>0</v>
      </c>
      <c r="P84" s="3">
        <v>103.73</v>
      </c>
      <c r="Q84" s="88">
        <f>$P84/$AI84</f>
        <v>1.9023252712496135E-3</v>
      </c>
      <c r="R84" s="3">
        <v>3080.6049999999996</v>
      </c>
      <c r="S84" s="88">
        <f>$R84/$AI84</f>
        <v>5.6495832856819771E-2</v>
      </c>
      <c r="U84" s="88">
        <f>$T84/$AI84</f>
        <v>0</v>
      </c>
      <c r="W84" s="88">
        <f>$V84/$AI84</f>
        <v>0</v>
      </c>
      <c r="X84" s="3">
        <v>90.97</v>
      </c>
      <c r="Y84" s="88">
        <f>$X84/$AI84</f>
        <v>1.6683170724532666E-3</v>
      </c>
      <c r="Z84" s="3">
        <v>190.846</v>
      </c>
      <c r="AA84" s="88">
        <f>$Z84/$AI84</f>
        <v>3.4999630648501279E-3</v>
      </c>
      <c r="AB84" s="56">
        <v>6268.2380000000003</v>
      </c>
      <c r="AC84" s="88">
        <f>$AB84/AI84</f>
        <v>0.11495447366824579</v>
      </c>
      <c r="AD84" s="101">
        <v>31638.087</v>
      </c>
      <c r="AE84" s="88">
        <f>$AD84/$AI84</f>
        <v>0.58021722196176484</v>
      </c>
      <c r="AF84" s="3">
        <v>-47588.814999999995</v>
      </c>
      <c r="AG84" s="3">
        <v>-6939.1890000000003</v>
      </c>
      <c r="AH84" s="89">
        <f>SUM(AF84,AG84)</f>
        <v>-54528.003999999994</v>
      </c>
      <c r="AI84" s="3">
        <f>((AF84+AG84)*-1)</f>
        <v>54528.003999999994</v>
      </c>
      <c r="AJ84" s="8">
        <f>AI84/($AI$224)</f>
        <v>4.1611549488619701E-3</v>
      </c>
      <c r="AK84" s="56">
        <f>AJ84*($G$260+$G$313-$B$406)</f>
        <v>7349.948865886553</v>
      </c>
      <c r="AL84" s="3">
        <v>10417.475919279766</v>
      </c>
      <c r="AM84" s="8">
        <f>AL84/AL$224</f>
        <v>2.2109243209674678E-3</v>
      </c>
      <c r="AN84" s="3">
        <f>(AM84*$B$406)</f>
        <v>3005.9395270038995</v>
      </c>
      <c r="AO84" s="3">
        <f>AN84+AK84</f>
        <v>10355.888392890452</v>
      </c>
      <c r="AP84" s="113">
        <f>$AO84/$AI84</f>
        <v>0.1899187139307438</v>
      </c>
      <c r="AQ84" s="3">
        <f>AB84+AD84+AH84</f>
        <v>-16621.678999999996</v>
      </c>
      <c r="AR84" s="3">
        <f>AQ84+AO84</f>
        <v>-6265.790607109544</v>
      </c>
      <c r="AS84" s="113">
        <f>AR84/AI84</f>
        <v>-0.11490959043924558</v>
      </c>
      <c r="AT84" s="70"/>
      <c r="AU84" s="70"/>
      <c r="AV84" s="70"/>
      <c r="AW84" s="3"/>
      <c r="BA84" s="3"/>
      <c r="BB84" s="3"/>
      <c r="BC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</row>
    <row r="85" spans="1:68" ht="22.2" customHeight="1" x14ac:dyDescent="0.3">
      <c r="A85" s="2" t="s">
        <v>834</v>
      </c>
      <c r="B85" s="3">
        <v>0</v>
      </c>
      <c r="C85" s="88">
        <f>$B85/$AI85</f>
        <v>0</v>
      </c>
      <c r="D85" s="3">
        <v>416.64</v>
      </c>
      <c r="E85" s="88">
        <f>$D85/$AI85</f>
        <v>1.766953641131478E-2</v>
      </c>
      <c r="F85" s="3">
        <v>0</v>
      </c>
      <c r="G85" s="88">
        <f>$F85/$AI85</f>
        <v>0</v>
      </c>
      <c r="H85" s="3">
        <v>0</v>
      </c>
      <c r="I85" s="88">
        <f>$H85/$AI85</f>
        <v>0</v>
      </c>
      <c r="J85" s="3">
        <v>955.16300000000001</v>
      </c>
      <c r="K85" s="88">
        <f>$J85/$AI85</f>
        <v>4.0508082294644442E-2</v>
      </c>
      <c r="L85" s="3"/>
      <c r="M85" s="88">
        <f>$L85/$AI85</f>
        <v>0</v>
      </c>
      <c r="N85" s="3"/>
      <c r="O85" s="88">
        <f>$N85/$AI85</f>
        <v>0</v>
      </c>
      <c r="P85" s="3">
        <v>137.83000000000001</v>
      </c>
      <c r="Q85" s="88">
        <f>$P85/$AI85</f>
        <v>5.8453153887565203E-3</v>
      </c>
      <c r="R85" s="3">
        <v>340.14400000000001</v>
      </c>
      <c r="S85" s="88">
        <f>$R85/$AI85</f>
        <v>1.4425371527194352E-2</v>
      </c>
      <c r="U85" s="88">
        <f>$T85/$AI85</f>
        <v>0</v>
      </c>
      <c r="W85" s="88">
        <f>$V85/$AI85</f>
        <v>0</v>
      </c>
      <c r="Y85" s="88">
        <f>$X85/$AI85</f>
        <v>0</v>
      </c>
      <c r="Z85" s="3">
        <v>81.114000000000004</v>
      </c>
      <c r="AA85" s="88">
        <f>$Z85/$AI85</f>
        <v>3.4400124243168856E-3</v>
      </c>
      <c r="AB85" s="56">
        <v>1930.8910000000001</v>
      </c>
      <c r="AC85" s="88">
        <f>$AB85/AI85</f>
        <v>8.1888318046226982E-2</v>
      </c>
      <c r="AD85" s="101">
        <v>11012.561</v>
      </c>
      <c r="AE85" s="88">
        <f>$AD85/$AI85</f>
        <v>0.46703832462395617</v>
      </c>
      <c r="AF85" s="3">
        <v>-20570.965</v>
      </c>
      <c r="AG85" s="3">
        <v>-3008.6010000000001</v>
      </c>
      <c r="AH85" s="89">
        <f>SUM(AF85,AG85)</f>
        <v>-23579.565999999999</v>
      </c>
      <c r="AI85" s="3">
        <f>((AF85+AG85)*-1)</f>
        <v>23579.565999999999</v>
      </c>
      <c r="AJ85" s="8">
        <f>AI85/($AI$224)</f>
        <v>1.7994098546669241E-3</v>
      </c>
      <c r="AK85" s="56">
        <f>AJ85*($G$260+$G$313-$B$406)</f>
        <v>3178.3412497511763</v>
      </c>
      <c r="AL85" s="3">
        <v>7306.274400765481</v>
      </c>
      <c r="AM85" s="8">
        <f>AL85/AL$224</f>
        <v>1.5506270322563154E-3</v>
      </c>
      <c r="AN85" s="3">
        <f>(AM85*$B$406)</f>
        <v>2108.2092424856878</v>
      </c>
      <c r="AO85" s="3">
        <f>AN85+AK85</f>
        <v>5286.5504922368636</v>
      </c>
      <c r="AP85" s="113">
        <f>$AO85/$AI85</f>
        <v>0.22420050022281426</v>
      </c>
      <c r="AQ85" s="3">
        <f>AB85+AD85+AH85</f>
        <v>-10636.114</v>
      </c>
      <c r="AR85" s="3">
        <f>AQ85+AO85</f>
        <v>-5349.5635077631359</v>
      </c>
      <c r="AS85" s="113">
        <f>AR85/AI85</f>
        <v>-0.22687285710700258</v>
      </c>
      <c r="AT85" s="70"/>
      <c r="AU85" s="70"/>
      <c r="AV85" s="70"/>
      <c r="AW85" s="3"/>
      <c r="BA85" s="3"/>
      <c r="BB85" s="3"/>
      <c r="BC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</row>
    <row r="86" spans="1:68" ht="22.2" customHeight="1" x14ac:dyDescent="0.3">
      <c r="A86" s="2" t="s">
        <v>835</v>
      </c>
      <c r="B86" s="3">
        <v>0</v>
      </c>
      <c r="C86" s="88">
        <f>$B86/$AI86</f>
        <v>0</v>
      </c>
      <c r="D86" s="3">
        <v>680.53</v>
      </c>
      <c r="E86" s="88">
        <f>$D86/$AI86</f>
        <v>1.6596486904193176E-2</v>
      </c>
      <c r="F86" s="3">
        <v>0</v>
      </c>
      <c r="G86" s="88">
        <f>$F86/$AI86</f>
        <v>0</v>
      </c>
      <c r="H86" s="3">
        <v>0</v>
      </c>
      <c r="I86" s="88">
        <f>$H86/$AI86</f>
        <v>0</v>
      </c>
      <c r="J86" s="3">
        <v>1412.941</v>
      </c>
      <c r="K86" s="88">
        <f>$J86/$AI86</f>
        <v>3.4458226386636315E-2</v>
      </c>
      <c r="L86" s="3"/>
      <c r="M86" s="88">
        <f>$L86/$AI86</f>
        <v>0</v>
      </c>
      <c r="N86" s="3"/>
      <c r="O86" s="88">
        <f>$N86/$AI86</f>
        <v>0</v>
      </c>
      <c r="P86" s="3">
        <v>114.29</v>
      </c>
      <c r="Q86" s="88">
        <f>$P86/$AI86</f>
        <v>2.7872577083747053E-3</v>
      </c>
      <c r="R86" s="3">
        <v>580.67600000000004</v>
      </c>
      <c r="S86" s="88">
        <f>$R86/$AI86</f>
        <v>1.4161288451029753E-2</v>
      </c>
      <c r="U86" s="88">
        <f>$T86/$AI86</f>
        <v>0</v>
      </c>
      <c r="W86" s="88">
        <f>$V86/$AI86</f>
        <v>0</v>
      </c>
      <c r="Y86" s="88">
        <f>$X86/$AI86</f>
        <v>0</v>
      </c>
      <c r="Z86" s="3">
        <v>327.096</v>
      </c>
      <c r="AA86" s="88">
        <f>$Z86/$AI86</f>
        <v>7.9770832739393879E-3</v>
      </c>
      <c r="AB86" s="56">
        <v>3115.5330000000004</v>
      </c>
      <c r="AC86" s="88">
        <f>$AB86/AI86</f>
        <v>7.5980342724173339E-2</v>
      </c>
      <c r="AD86" s="101">
        <v>19652.865000000002</v>
      </c>
      <c r="AE86" s="88">
        <f>$AD86/$AI86</f>
        <v>0.47928602207452492</v>
      </c>
      <c r="AF86" s="3">
        <v>-35936.385000000009</v>
      </c>
      <c r="AG86" s="3">
        <v>-5068.076</v>
      </c>
      <c r="AH86" s="89">
        <f>SUM(AF86,AG86)</f>
        <v>-41004.46100000001</v>
      </c>
      <c r="AI86" s="3">
        <f>((AF86+AG86)*-1)</f>
        <v>41004.46100000001</v>
      </c>
      <c r="AJ86" s="8">
        <f>AI86/($AI$224)</f>
        <v>3.1291428862051823E-3</v>
      </c>
      <c r="AK86" s="56">
        <f>AJ86*($G$260+$G$313-$B$406)</f>
        <v>5527.0809403410312</v>
      </c>
      <c r="AL86" s="3">
        <v>12018.9823601637</v>
      </c>
      <c r="AM86" s="8">
        <f>AL86/AL$224</f>
        <v>2.5508156312783765E-3</v>
      </c>
      <c r="AN86" s="3">
        <f>(AM86*$B$406)</f>
        <v>3468.0506516857386</v>
      </c>
      <c r="AO86" s="3">
        <f>AN86+AK86</f>
        <v>8995.1315920267698</v>
      </c>
      <c r="AP86" s="113">
        <f>$AO86/$AI86</f>
        <v>0.21936958498312581</v>
      </c>
      <c r="AQ86" s="3">
        <f>AB86+AD86+AH86</f>
        <v>-18236.063000000009</v>
      </c>
      <c r="AR86" s="3">
        <f>AQ86+AO86</f>
        <v>-9240.9314079732394</v>
      </c>
      <c r="AS86" s="113">
        <f>AR86/AI86</f>
        <v>-0.22536405021817596</v>
      </c>
      <c r="AT86" s="70"/>
      <c r="AU86" s="70"/>
      <c r="AV86" s="70"/>
      <c r="AW86" s="3"/>
      <c r="BA86" s="3"/>
      <c r="BB86" s="3"/>
      <c r="BC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</row>
    <row r="87" spans="1:68" ht="22.2" customHeight="1" x14ac:dyDescent="0.3">
      <c r="A87" s="2" t="s">
        <v>836</v>
      </c>
      <c r="B87" s="3">
        <v>0</v>
      </c>
      <c r="C87" s="88">
        <f>$B87/$AI87</f>
        <v>0</v>
      </c>
      <c r="D87" s="3">
        <v>692.11</v>
      </c>
      <c r="E87" s="88">
        <f>$D87/$AI87</f>
        <v>2.3039397566241224E-2</v>
      </c>
      <c r="F87" s="3">
        <v>0</v>
      </c>
      <c r="G87" s="88">
        <f>$F87/$AI87</f>
        <v>0</v>
      </c>
      <c r="H87" s="3">
        <v>0</v>
      </c>
      <c r="I87" s="88">
        <f>$H87/$AI87</f>
        <v>0</v>
      </c>
      <c r="J87" s="3">
        <v>2721.9070000000002</v>
      </c>
      <c r="K87" s="88">
        <f>$J87/$AI87</f>
        <v>9.0608570185859119E-2</v>
      </c>
      <c r="L87" s="3"/>
      <c r="M87" s="88">
        <f>$L87/$AI87</f>
        <v>0</v>
      </c>
      <c r="N87" s="3"/>
      <c r="O87" s="88">
        <f>$N87/$AI87</f>
        <v>0</v>
      </c>
      <c r="P87" s="3">
        <v>65.69</v>
      </c>
      <c r="Q87" s="88">
        <f>$P87/$AI87</f>
        <v>2.1867304707725447E-3</v>
      </c>
      <c r="R87" s="3"/>
      <c r="S87" s="88">
        <f>$R87/$AI87</f>
        <v>0</v>
      </c>
      <c r="U87" s="88">
        <f>$T87/$AI87</f>
        <v>0</v>
      </c>
      <c r="W87" s="88">
        <f>$V87/$AI87</f>
        <v>0</v>
      </c>
      <c r="Y87" s="88">
        <f>$X87/$AI87</f>
        <v>0</v>
      </c>
      <c r="Z87" s="3">
        <v>0.35899999999999999</v>
      </c>
      <c r="AA87" s="88">
        <f>$Z87/$AI87</f>
        <v>1.1950620170609583E-5</v>
      </c>
      <c r="AB87" s="56">
        <v>3480.0660000000003</v>
      </c>
      <c r="AC87" s="88">
        <f>$AB87/AI87</f>
        <v>0.11584664884304349</v>
      </c>
      <c r="AD87" s="101">
        <v>13109.82</v>
      </c>
      <c r="AE87" s="88">
        <f>$AD87/$AI87</f>
        <v>0.43640802040406945</v>
      </c>
      <c r="AF87" s="3">
        <v>-26083.148999999998</v>
      </c>
      <c r="AG87" s="3">
        <v>-3957.1329999999998</v>
      </c>
      <c r="AH87" s="89">
        <f>SUM(AF87,AG87)</f>
        <v>-30040.281999999999</v>
      </c>
      <c r="AI87" s="3">
        <f>((AF87+AG87)*-1)</f>
        <v>30040.281999999999</v>
      </c>
      <c r="AJ87" s="8">
        <f>AI87/($AI$224)</f>
        <v>2.2924416618937526E-3</v>
      </c>
      <c r="AK87" s="56">
        <f>AJ87*($G$260+$G$313-$B$406)</f>
        <v>4049.195283524632</v>
      </c>
      <c r="AL87" s="3">
        <v>12486.083566694655</v>
      </c>
      <c r="AM87" s="8">
        <f>AL87/AL$224</f>
        <v>2.6499495698518519E-3</v>
      </c>
      <c r="AN87" s="3">
        <f>(AM87*$B$406)</f>
        <v>3602.8316668473926</v>
      </c>
      <c r="AO87" s="3">
        <f>AN87+AK87</f>
        <v>7652.0269503720247</v>
      </c>
      <c r="AP87" s="113">
        <f>$AO87/$AI87</f>
        <v>0.2547255365436325</v>
      </c>
      <c r="AQ87" s="3">
        <f>AB87+AD87+AH87</f>
        <v>-13450.396000000001</v>
      </c>
      <c r="AR87" s="3">
        <f>AQ87+AO87</f>
        <v>-5798.369049627976</v>
      </c>
      <c r="AS87" s="113">
        <f>AR87/AI87</f>
        <v>-0.19301979420925464</v>
      </c>
      <c r="AT87" s="70"/>
      <c r="AU87" s="70"/>
      <c r="AV87" s="70"/>
      <c r="AW87" s="3"/>
      <c r="BA87" s="3"/>
      <c r="BB87" s="3"/>
      <c r="BC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</row>
    <row r="88" spans="1:68" ht="22.2" customHeight="1" x14ac:dyDescent="0.3">
      <c r="A88" s="2" t="s">
        <v>837</v>
      </c>
      <c r="B88" s="3">
        <v>0</v>
      </c>
      <c r="C88" s="88">
        <f>$B88/$AI88</f>
        <v>0</v>
      </c>
      <c r="D88" s="3">
        <v>361.78</v>
      </c>
      <c r="E88" s="88">
        <f>$D88/$AI88</f>
        <v>1.8820562804433449E-2</v>
      </c>
      <c r="F88" s="3">
        <v>0</v>
      </c>
      <c r="G88" s="88">
        <f>$F88/$AI88</f>
        <v>0</v>
      </c>
      <c r="H88" s="3">
        <v>0</v>
      </c>
      <c r="I88" s="88">
        <f>$H88/$AI88</f>
        <v>0</v>
      </c>
      <c r="J88" s="3">
        <v>1536.8969999999999</v>
      </c>
      <c r="K88" s="88">
        <f>$J88/$AI88</f>
        <v>7.9952641142255934E-2</v>
      </c>
      <c r="L88" s="3"/>
      <c r="M88" s="88">
        <f>$L88/$AI88</f>
        <v>0</v>
      </c>
      <c r="N88" s="3"/>
      <c r="O88" s="88">
        <f>$N88/$AI88</f>
        <v>0</v>
      </c>
      <c r="P88" s="3">
        <v>29.07</v>
      </c>
      <c r="Q88" s="88">
        <f>$P88/$AI88</f>
        <v>1.5122830469480911E-3</v>
      </c>
      <c r="R88" s="3">
        <v>19.106000000000002</v>
      </c>
      <c r="S88" s="88">
        <f>$R88/$AI88</f>
        <v>9.9393463691056869E-4</v>
      </c>
      <c r="U88" s="88">
        <f>$T88/$AI88</f>
        <v>0</v>
      </c>
      <c r="W88" s="88">
        <f>$V88/$AI88</f>
        <v>0</v>
      </c>
      <c r="X88" s="3">
        <v>72.180000000000007</v>
      </c>
      <c r="Y88" s="88">
        <f>$X88/$AI88</f>
        <v>3.7549566676543934E-3</v>
      </c>
      <c r="Z88" s="3">
        <v>18.007999999999999</v>
      </c>
      <c r="AA88" s="88">
        <f>$Z88/$AI88</f>
        <v>9.3681434844999044E-4</v>
      </c>
      <c r="AB88" s="56">
        <v>2037.0410000000002</v>
      </c>
      <c r="AC88" s="88">
        <f>$AB88/AI88</f>
        <v>0.10597119264665245</v>
      </c>
      <c r="AD88" s="101">
        <v>9208.0939999999991</v>
      </c>
      <c r="AE88" s="88">
        <f>$AD88/$AI88</f>
        <v>0.47902457691449724</v>
      </c>
      <c r="AF88" s="3">
        <v>-16729.882000000001</v>
      </c>
      <c r="AG88" s="3">
        <v>-2492.71</v>
      </c>
      <c r="AH88" s="89">
        <f>SUM(AF88,AG88)</f>
        <v>-19222.592000000001</v>
      </c>
      <c r="AI88" s="3">
        <f>((AF88+AG88)*-1)</f>
        <v>19222.592000000001</v>
      </c>
      <c r="AJ88" s="8">
        <f>AI88/($AI$224)</f>
        <v>1.4669193435130053E-3</v>
      </c>
      <c r="AK88" s="56">
        <f>AJ88*($G$260+$G$313-$B$406)</f>
        <v>2591.0551992660494</v>
      </c>
      <c r="AL88" s="3">
        <v>6447.628527612058</v>
      </c>
      <c r="AM88" s="8">
        <f>AL88/AL$224</f>
        <v>1.3683946893391743E-3</v>
      </c>
      <c r="AN88" s="3">
        <f>(AM88*$B$406)</f>
        <v>1860.4488838527593</v>
      </c>
      <c r="AO88" s="3">
        <f>AN88+AK88</f>
        <v>4451.5040831188089</v>
      </c>
      <c r="AP88" s="113">
        <f>$AO88/$AI88</f>
        <v>0.2315766824327754</v>
      </c>
      <c r="AQ88" s="3">
        <f>AB88+AD88+AH88</f>
        <v>-7977.4570000000022</v>
      </c>
      <c r="AR88" s="3">
        <f>AQ88+AO88</f>
        <v>-3525.9529168811932</v>
      </c>
      <c r="AS88" s="113">
        <f>AR88/AI88</f>
        <v>-0.183427548006075</v>
      </c>
      <c r="AT88" s="70"/>
      <c r="AU88" s="70"/>
      <c r="AV88" s="70"/>
      <c r="AW88" s="3"/>
      <c r="BA88" s="3"/>
      <c r="BB88" s="3"/>
      <c r="BC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</row>
    <row r="89" spans="1:68" ht="22.2" customHeight="1" x14ac:dyDescent="0.3">
      <c r="A89" s="2" t="s">
        <v>838</v>
      </c>
      <c r="B89" s="3">
        <v>0</v>
      </c>
      <c r="C89" s="88">
        <f>$B89/$AI89</f>
        <v>0</v>
      </c>
      <c r="D89" s="3">
        <v>392.31</v>
      </c>
      <c r="E89" s="88">
        <f>$D89/$AI89</f>
        <v>4.1073056772028979E-2</v>
      </c>
      <c r="F89" s="3">
        <v>0</v>
      </c>
      <c r="G89" s="88">
        <f>$F89/$AI89</f>
        <v>0</v>
      </c>
      <c r="H89" s="3">
        <v>0</v>
      </c>
      <c r="I89" s="88">
        <f>$H89/$AI89</f>
        <v>0</v>
      </c>
      <c r="J89" s="3">
        <v>1913.43</v>
      </c>
      <c r="K89" s="88">
        <f>$J89/$AI89</f>
        <v>0.20032734067269103</v>
      </c>
      <c r="L89" s="3"/>
      <c r="M89" s="88">
        <f>$L89/$AI89</f>
        <v>0</v>
      </c>
      <c r="N89" s="3"/>
      <c r="O89" s="88">
        <f>$N89/$AI89</f>
        <v>0</v>
      </c>
      <c r="P89" s="3">
        <v>25.15</v>
      </c>
      <c r="Q89" s="88">
        <f>$P89/$AI89</f>
        <v>2.6330895919464935E-3</v>
      </c>
      <c r="R89" s="3">
        <v>0.5</v>
      </c>
      <c r="S89" s="88">
        <f>$R89/$AI89</f>
        <v>5.234770560529808E-5</v>
      </c>
      <c r="U89" s="88">
        <f>$T89/$AI89</f>
        <v>0</v>
      </c>
      <c r="W89" s="88">
        <f>$V89/$AI89</f>
        <v>0</v>
      </c>
      <c r="X89" s="3">
        <v>88.36</v>
      </c>
      <c r="Y89" s="88">
        <f>$X89/$AI89</f>
        <v>9.2508865345682766E-3</v>
      </c>
      <c r="Z89" s="3">
        <v>39.558</v>
      </c>
      <c r="AA89" s="88">
        <f>$Z89/$AI89</f>
        <v>4.1415410766687628E-3</v>
      </c>
      <c r="AB89" s="56">
        <v>2459.3080000000004</v>
      </c>
      <c r="AC89" s="88">
        <f>$AB89/AI89</f>
        <v>0.2574782623535089</v>
      </c>
      <c r="AD89" s="101">
        <v>4388.0879999999997</v>
      </c>
      <c r="AE89" s="88">
        <f>$AD89/$AI89</f>
        <v>0.45941267758828247</v>
      </c>
      <c r="AF89" s="3">
        <v>-8347.3280000000013</v>
      </c>
      <c r="AG89" s="3">
        <v>-1204.1889999999999</v>
      </c>
      <c r="AH89" s="89">
        <f>SUM(AF89,AG89)</f>
        <v>-9551.5170000000016</v>
      </c>
      <c r="AI89" s="3">
        <f>((AF89+AG89)*-1)</f>
        <v>9551.5170000000016</v>
      </c>
      <c r="AJ89" s="8">
        <f>AI89/($AI$224)</f>
        <v>7.2889780146159853E-4</v>
      </c>
      <c r="AK89" s="56">
        <f>AJ89*($G$260+$G$313-$B$406)</f>
        <v>1287.4698575368016</v>
      </c>
      <c r="AL89" s="3">
        <v>2953.9045030763414</v>
      </c>
      <c r="AM89" s="8">
        <f>AL89/AL$224</f>
        <v>6.269137897002531E-4</v>
      </c>
      <c r="AN89" s="3">
        <f>(AM89*$B$406)</f>
        <v>852.34258025583927</v>
      </c>
      <c r="AO89" s="3">
        <f>AN89+AK89</f>
        <v>2139.8124377926406</v>
      </c>
      <c r="AP89" s="113">
        <f>$AO89/$AI89</f>
        <v>0.22402854308824874</v>
      </c>
      <c r="AQ89" s="3">
        <f>AB89+AD89+AH89</f>
        <v>-2704.121000000001</v>
      </c>
      <c r="AR89" s="3">
        <f>AQ89+AO89</f>
        <v>-564.30856220736041</v>
      </c>
      <c r="AS89" s="113">
        <f>AR89/AI89</f>
        <v>-5.9080516969959883E-2</v>
      </c>
      <c r="AT89" s="70"/>
      <c r="AU89" s="70"/>
      <c r="AV89" s="70"/>
      <c r="AW89" s="3"/>
      <c r="BA89" s="3"/>
      <c r="BB89" s="3"/>
      <c r="BC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</row>
    <row r="90" spans="1:68" ht="22.2" customHeight="1" x14ac:dyDescent="0.3">
      <c r="A90" s="2" t="s">
        <v>839</v>
      </c>
      <c r="B90" s="3">
        <v>0</v>
      </c>
      <c r="C90" s="88">
        <f>$B90/$AI90</f>
        <v>0</v>
      </c>
      <c r="D90" s="3">
        <v>1200</v>
      </c>
      <c r="E90" s="88">
        <f>$D90/$AI90</f>
        <v>1.5653281893170529E-2</v>
      </c>
      <c r="F90" s="3">
        <v>0</v>
      </c>
      <c r="G90" s="88">
        <f>$F90/$AI90</f>
        <v>0</v>
      </c>
      <c r="H90" s="3">
        <v>0</v>
      </c>
      <c r="I90" s="88">
        <f>$H90/$AI90</f>
        <v>0</v>
      </c>
      <c r="J90" s="3">
        <v>3803.723</v>
      </c>
      <c r="K90" s="88">
        <f>$J90/$AI90</f>
        <v>4.9617290302113565E-2</v>
      </c>
      <c r="L90" s="3"/>
      <c r="M90" s="88">
        <f>$L90/$AI90</f>
        <v>0</v>
      </c>
      <c r="N90" s="3"/>
      <c r="O90" s="88">
        <f>$N90/$AI90</f>
        <v>0</v>
      </c>
      <c r="P90" s="3">
        <v>118.47</v>
      </c>
      <c r="Q90" s="88">
        <f>$P90/$AI90</f>
        <v>1.5453702549032603E-3</v>
      </c>
      <c r="R90" s="3">
        <v>55.131999999999998</v>
      </c>
      <c r="S90" s="88">
        <f>$R90/$AI90</f>
        <v>7.191639477785646E-4</v>
      </c>
      <c r="U90" s="88">
        <f>$T90/$AI90</f>
        <v>0</v>
      </c>
      <c r="W90" s="88">
        <f>$V90/$AI90</f>
        <v>0</v>
      </c>
      <c r="X90" s="3">
        <v>61.57</v>
      </c>
      <c r="Y90" s="88">
        <f>$X90/$AI90</f>
        <v>8.0314380513542445E-4</v>
      </c>
      <c r="Z90" s="3">
        <v>110.30100000000002</v>
      </c>
      <c r="AA90" s="88">
        <f>$Z90/$AI90</f>
        <v>1.4388105384155021E-3</v>
      </c>
      <c r="AB90" s="56">
        <v>5349.195999999999</v>
      </c>
      <c r="AC90" s="88">
        <f>$AB90/AI90</f>
        <v>6.9777060741516836E-2</v>
      </c>
      <c r="AD90" s="101">
        <v>38585.935999999994</v>
      </c>
      <c r="AE90" s="88">
        <f>$AD90/$AI90</f>
        <v>0.5033304444331973</v>
      </c>
      <c r="AF90" s="3">
        <v>-66825.558999999994</v>
      </c>
      <c r="AG90" s="3">
        <v>-9835.6810000000005</v>
      </c>
      <c r="AH90" s="89">
        <f>SUM(AF90,AG90)</f>
        <v>-76661.239999999991</v>
      </c>
      <c r="AI90" s="3">
        <f>((AF90+AG90)*-1)</f>
        <v>76661.239999999991</v>
      </c>
      <c r="AJ90" s="8">
        <f>AI90/($AI$224)</f>
        <v>5.8501920996758879E-3</v>
      </c>
      <c r="AK90" s="56">
        <f>AJ90*($G$260+$G$313-$B$406)</f>
        <v>10333.336133034631</v>
      </c>
      <c r="AL90" s="3">
        <v>23390.018496201632</v>
      </c>
      <c r="AM90" s="8">
        <f>AL90/AL$224</f>
        <v>4.9641161795655423E-3</v>
      </c>
      <c r="AN90" s="3">
        <f>(AM90*$B$406)</f>
        <v>6749.1378602529812</v>
      </c>
      <c r="AO90" s="3">
        <f>AN90+AK90</f>
        <v>17082.473993287611</v>
      </c>
      <c r="AP90" s="113">
        <f>$AO90/$AI90</f>
        <v>0.22283065070807115</v>
      </c>
      <c r="AQ90" s="3">
        <f>AB90+AD90+AH90</f>
        <v>-32726.108</v>
      </c>
      <c r="AR90" s="3">
        <f>AQ90+AO90</f>
        <v>-15643.634006712389</v>
      </c>
      <c r="AS90" s="113">
        <f>AR90/AI90</f>
        <v>-0.20406184411721479</v>
      </c>
      <c r="AT90" s="70"/>
      <c r="AU90" s="70"/>
      <c r="AV90" s="70"/>
      <c r="AW90" s="3"/>
      <c r="BA90" s="3"/>
      <c r="BB90" s="3"/>
      <c r="BC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</row>
    <row r="91" spans="1:68" ht="22.2" customHeight="1" x14ac:dyDescent="0.3">
      <c r="A91" s="2" t="s">
        <v>840</v>
      </c>
      <c r="B91" s="3">
        <v>0</v>
      </c>
      <c r="C91" s="88">
        <f>$B91/$AI91</f>
        <v>0</v>
      </c>
      <c r="D91" s="3">
        <v>1400</v>
      </c>
      <c r="E91" s="88">
        <f>$D91/$AI91</f>
        <v>9.8197179051761323E-3</v>
      </c>
      <c r="F91" s="3">
        <v>0</v>
      </c>
      <c r="G91" s="88">
        <f>$F91/$AI91</f>
        <v>0</v>
      </c>
      <c r="H91" s="3">
        <v>0</v>
      </c>
      <c r="I91" s="88">
        <f>$H91/$AI91</f>
        <v>0</v>
      </c>
      <c r="J91" s="3">
        <v>6365.1210000000001</v>
      </c>
      <c r="K91" s="88">
        <f>$J91/$AI91</f>
        <v>4.464549475165186E-2</v>
      </c>
      <c r="L91" s="3"/>
      <c r="M91" s="88">
        <f>$L91/$AI91</f>
        <v>0</v>
      </c>
      <c r="N91" s="3"/>
      <c r="O91" s="88">
        <f>$N91/$AI91</f>
        <v>0</v>
      </c>
      <c r="P91" s="3">
        <v>430.35</v>
      </c>
      <c r="Q91" s="88">
        <f>$P91/$AI91</f>
        <v>3.0185111432089631E-3</v>
      </c>
      <c r="R91" s="3">
        <v>1521.5420000000001</v>
      </c>
      <c r="S91" s="88">
        <f>$R91/$AI91</f>
        <v>1.0672223729198217E-2</v>
      </c>
      <c r="U91" s="88">
        <f>$T91/$AI91</f>
        <v>0</v>
      </c>
      <c r="W91" s="88">
        <f>$V91/$AI91</f>
        <v>0</v>
      </c>
      <c r="X91" s="3">
        <v>119.39</v>
      </c>
      <c r="Y91" s="88">
        <f>$X91/$AI91</f>
        <v>8.3741151478498453E-4</v>
      </c>
      <c r="Z91" s="3">
        <v>256.28999999999996</v>
      </c>
      <c r="AA91" s="88">
        <f>$Z91/$AI91</f>
        <v>1.7976396442268502E-3</v>
      </c>
      <c r="AB91" s="56">
        <v>10092.692999999999</v>
      </c>
      <c r="AC91" s="88">
        <f>$AB91/AI91</f>
        <v>7.0790998688246995E-2</v>
      </c>
      <c r="AD91" s="101">
        <v>75540.245999999999</v>
      </c>
      <c r="AE91" s="88">
        <f>$AD91/$AI91</f>
        <v>0.5298456472911498</v>
      </c>
      <c r="AF91" s="3">
        <v>-124744.212</v>
      </c>
      <c r="AG91" s="3">
        <v>-17826.075000000001</v>
      </c>
      <c r="AH91" s="89">
        <f>SUM(AF91,AG91)</f>
        <v>-142570.28700000001</v>
      </c>
      <c r="AI91" s="3">
        <f>((AF91+AG91)*-1)</f>
        <v>142570.28700000001</v>
      </c>
      <c r="AJ91" s="8">
        <f>AI91/($AI$224)</f>
        <v>1.0879860104740338E-2</v>
      </c>
      <c r="AK91" s="56">
        <f>AJ91*($G$260+$G$313-$B$406)</f>
        <v>19217.360665627348</v>
      </c>
      <c r="AL91" s="3">
        <v>42546.140029487571</v>
      </c>
      <c r="AM91" s="8">
        <f>AL91/AL$224</f>
        <v>9.0296628937141885E-3</v>
      </c>
      <c r="AN91" s="3">
        <f>(AM91*$B$406)</f>
        <v>12276.594160336832</v>
      </c>
      <c r="AO91" s="3">
        <f>AN91+AK91</f>
        <v>31493.954825964182</v>
      </c>
      <c r="AP91" s="113">
        <f>$AO91/$AI91</f>
        <v>0.22090125150666337</v>
      </c>
      <c r="AQ91" s="3">
        <f>AB91+AD91+AH91</f>
        <v>-56937.348000000013</v>
      </c>
      <c r="AR91" s="3">
        <f>AQ91+AO91</f>
        <v>-25443.393174035831</v>
      </c>
      <c r="AS91" s="113">
        <f>AR91/AI91</f>
        <v>-0.17846210251393987</v>
      </c>
      <c r="AT91" s="70"/>
      <c r="AU91" s="70"/>
      <c r="AV91" s="70"/>
      <c r="AW91" s="3"/>
      <c r="BA91" s="3"/>
      <c r="BB91" s="3"/>
      <c r="BC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</row>
    <row r="92" spans="1:68" ht="22.2" customHeight="1" x14ac:dyDescent="0.3">
      <c r="A92" s="2" t="s">
        <v>841</v>
      </c>
      <c r="B92" s="3">
        <v>0</v>
      </c>
      <c r="C92" s="88">
        <f>$B92/$AI92</f>
        <v>0</v>
      </c>
      <c r="D92" s="3">
        <v>400</v>
      </c>
      <c r="E92" s="88">
        <f>$D92/$AI92</f>
        <v>1.0193780193658377E-2</v>
      </c>
      <c r="F92" s="3">
        <v>67.63</v>
      </c>
      <c r="G92" s="88">
        <f>$F92/$AI92</f>
        <v>1.72351338624279E-3</v>
      </c>
      <c r="H92" s="3">
        <v>0</v>
      </c>
      <c r="I92" s="88">
        <f>$H92/$AI92</f>
        <v>0</v>
      </c>
      <c r="J92" s="3">
        <v>2172.2719999999999</v>
      </c>
      <c r="K92" s="88">
        <f>$J92/$AI92</f>
        <v>5.535915822209668E-2</v>
      </c>
      <c r="L92" s="3"/>
      <c r="M92" s="88">
        <f>$L92/$AI92</f>
        <v>0</v>
      </c>
      <c r="N92" s="3"/>
      <c r="O92" s="88">
        <f>$N92/$AI92</f>
        <v>0</v>
      </c>
      <c r="P92" s="3">
        <v>88.16</v>
      </c>
      <c r="Q92" s="88">
        <f>$P92/$AI92</f>
        <v>2.2467091546823064E-3</v>
      </c>
      <c r="R92" s="3">
        <v>50.615000000000002</v>
      </c>
      <c r="S92" s="88">
        <f>$R92/$AI92</f>
        <v>1.2898954612550471E-3</v>
      </c>
      <c r="U92" s="88">
        <f>$T92/$AI92</f>
        <v>0</v>
      </c>
      <c r="W92" s="88">
        <f>$V92/$AI92</f>
        <v>0</v>
      </c>
      <c r="X92" s="3">
        <v>196.73</v>
      </c>
      <c r="Y92" s="88">
        <f>$X92/$AI92</f>
        <v>5.0135559437460312E-3</v>
      </c>
      <c r="Z92" s="3">
        <v>40.234999999999999</v>
      </c>
      <c r="AA92" s="88">
        <f>$Z92/$AI92</f>
        <v>1.0253668652296121E-3</v>
      </c>
      <c r="AB92" s="56">
        <v>3015.6419999999994</v>
      </c>
      <c r="AC92" s="88">
        <f>$AB92/AI92</f>
        <v>7.6851979226910824E-2</v>
      </c>
      <c r="AD92" s="101">
        <v>19191.915999999997</v>
      </c>
      <c r="AE92" s="88">
        <f>$AD92/$AI92</f>
        <v>0.48909543299788821</v>
      </c>
      <c r="AF92" s="3">
        <v>-34689.675000000003</v>
      </c>
      <c r="AG92" s="3">
        <v>-4549.9390000000003</v>
      </c>
      <c r="AH92" s="89">
        <f>SUM(AF92,AG92)</f>
        <v>-39239.614000000001</v>
      </c>
      <c r="AI92" s="3">
        <f>((AF92+AG92)*-1)</f>
        <v>39239.614000000001</v>
      </c>
      <c r="AJ92" s="8">
        <f>AI92/($AI$224)</f>
        <v>2.9944634318089742E-3</v>
      </c>
      <c r="AK92" s="56">
        <f>AJ92*($G$260+$G$313-$B$406)</f>
        <v>5289.1933549800597</v>
      </c>
      <c r="AL92" s="3">
        <v>17354.69999089769</v>
      </c>
      <c r="AM92" s="8">
        <f>AL92/AL$224</f>
        <v>3.6832269726640638E-3</v>
      </c>
      <c r="AN92" s="3">
        <f>(AM92*$B$406)</f>
        <v>5007.6601171102366</v>
      </c>
      <c r="AO92" s="3">
        <f>AN92+AK92</f>
        <v>10296.853472090297</v>
      </c>
      <c r="AP92" s="113">
        <f>$AO92/$AI92</f>
        <v>0.26240965245199144</v>
      </c>
      <c r="AQ92" s="3">
        <f>AB92+AD92+AH92</f>
        <v>-17032.056000000004</v>
      </c>
      <c r="AR92" s="3">
        <f>AQ92+AO92</f>
        <v>-6735.202527909707</v>
      </c>
      <c r="AS92" s="113">
        <f>AR92/AI92</f>
        <v>-0.17164293532320951</v>
      </c>
      <c r="AT92" s="70"/>
      <c r="AU92" s="70"/>
      <c r="AV92" s="70"/>
      <c r="AW92" s="3"/>
      <c r="BA92" s="3"/>
      <c r="BB92" s="3"/>
      <c r="BC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</row>
    <row r="93" spans="1:68" ht="22.2" customHeight="1" x14ac:dyDescent="0.3">
      <c r="A93" s="2" t="s">
        <v>842</v>
      </c>
      <c r="B93" s="3">
        <v>0</v>
      </c>
      <c r="C93" s="88">
        <f>$B93/$AI93</f>
        <v>0</v>
      </c>
      <c r="D93" s="3">
        <v>1000</v>
      </c>
      <c r="E93" s="88">
        <f>$D93/$AI93</f>
        <v>3.2603064890238682E-2</v>
      </c>
      <c r="F93" s="3">
        <v>74.41</v>
      </c>
      <c r="G93" s="88">
        <f>$F93/$AI93</f>
        <v>2.42599405848266E-3</v>
      </c>
      <c r="H93" s="3">
        <v>0</v>
      </c>
      <c r="I93" s="88">
        <f>$H93/$AI93</f>
        <v>0</v>
      </c>
      <c r="J93" s="3">
        <v>2621.2400000000002</v>
      </c>
      <c r="K93" s="88">
        <f>$J93/$AI93</f>
        <v>8.5460457812889246E-2</v>
      </c>
      <c r="L93" s="3"/>
      <c r="M93" s="88">
        <f>$L93/$AI93</f>
        <v>0</v>
      </c>
      <c r="N93" s="3"/>
      <c r="O93" s="88">
        <f>$N93/$AI93</f>
        <v>0</v>
      </c>
      <c r="P93" s="3">
        <v>90.76</v>
      </c>
      <c r="Q93" s="88">
        <f>$P93/$AI93</f>
        <v>2.959054169438063E-3</v>
      </c>
      <c r="R93" s="3">
        <v>306.65300000000002</v>
      </c>
      <c r="S93" s="88">
        <f>$R93/$AI93</f>
        <v>9.9978276577863626E-3</v>
      </c>
      <c r="U93" s="88">
        <f>$T93/$AI93</f>
        <v>0</v>
      </c>
      <c r="W93" s="88">
        <f>$V93/$AI93</f>
        <v>0</v>
      </c>
      <c r="X93" s="3">
        <v>238.32</v>
      </c>
      <c r="Y93" s="88">
        <f>$X93/$AI93</f>
        <v>7.7699624246416821E-3</v>
      </c>
      <c r="Z93" s="3">
        <v>215.95600000000002</v>
      </c>
      <c r="AA93" s="88">
        <f>$Z93/$AI93</f>
        <v>7.0408274814363851E-3</v>
      </c>
      <c r="AB93" s="56">
        <v>4547.3390000000009</v>
      </c>
      <c r="AC93" s="88">
        <f>$AB93/AI93</f>
        <v>0.14825718849491309</v>
      </c>
      <c r="AD93" s="101">
        <v>16390.728000000003</v>
      </c>
      <c r="AE93" s="88">
        <f>$AD93/$AI93</f>
        <v>0.53438796858225213</v>
      </c>
      <c r="AF93" s="3">
        <v>-26779.65</v>
      </c>
      <c r="AG93" s="3">
        <v>-3892.3130000000001</v>
      </c>
      <c r="AH93" s="89">
        <f>SUM(AF93,AG93)</f>
        <v>-30671.963000000003</v>
      </c>
      <c r="AI93" s="3">
        <f>((AF93+AG93)*-1)</f>
        <v>30671.963000000003</v>
      </c>
      <c r="AJ93" s="8">
        <f>AI93/($AI$224)</f>
        <v>2.3406466634788479E-3</v>
      </c>
      <c r="AK93" s="56">
        <f>AJ93*($G$260+$G$313-$B$406)</f>
        <v>4134.3409464678807</v>
      </c>
      <c r="AL93" s="3">
        <v>10449.199398533914</v>
      </c>
      <c r="AM93" s="8">
        <f>AL93/AL$224</f>
        <v>2.2176570662478189E-3</v>
      </c>
      <c r="AN93" s="3">
        <f>(AM93*$B$406)</f>
        <v>3015.0932664474099</v>
      </c>
      <c r="AO93" s="3">
        <f>AN93+AK93</f>
        <v>7149.4342129152901</v>
      </c>
      <c r="AP93" s="113">
        <f>$AO93/$AI93</f>
        <v>0.23309346757216973</v>
      </c>
      <c r="AQ93" s="3">
        <f>AB93+AD93+AH93</f>
        <v>-9733.8960000000006</v>
      </c>
      <c r="AR93" s="3">
        <f>AQ93+AO93</f>
        <v>-2584.4617870847105</v>
      </c>
      <c r="AS93" s="113">
        <f>AR93/AI93</f>
        <v>-8.4261375350665038E-2</v>
      </c>
      <c r="AT93" s="70"/>
      <c r="AU93" s="70"/>
      <c r="AV93" s="70"/>
      <c r="AW93" s="3"/>
      <c r="BA93" s="3"/>
      <c r="BB93" s="3"/>
      <c r="BC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</row>
    <row r="94" spans="1:68" ht="22.2" customHeight="1" x14ac:dyDescent="0.3">
      <c r="A94" s="2" t="s">
        <v>843</v>
      </c>
      <c r="B94" s="3">
        <v>0</v>
      </c>
      <c r="C94" s="88">
        <f>$B94/$AI94</f>
        <v>0</v>
      </c>
      <c r="D94" s="3">
        <v>1100</v>
      </c>
      <c r="E94" s="88">
        <f>$D94/$AI94</f>
        <v>1.2041573993983418E-2</v>
      </c>
      <c r="F94" s="3">
        <v>0</v>
      </c>
      <c r="G94" s="88">
        <f>$F94/$AI94</f>
        <v>0</v>
      </c>
      <c r="H94" s="3">
        <v>0</v>
      </c>
      <c r="I94" s="88">
        <f>$H94/$AI94</f>
        <v>0</v>
      </c>
      <c r="J94" s="3">
        <v>7043.1470000000008</v>
      </c>
      <c r="K94" s="88">
        <f>$J94/$AI94</f>
        <v>7.710052341000212E-2</v>
      </c>
      <c r="L94" s="3"/>
      <c r="M94" s="88">
        <f>$L94/$AI94</f>
        <v>0</v>
      </c>
      <c r="N94" s="3"/>
      <c r="O94" s="88">
        <f>$N94/$AI94</f>
        <v>0</v>
      </c>
      <c r="P94" s="3">
        <v>81.03</v>
      </c>
      <c r="Q94" s="88">
        <f>$P94/$AI94</f>
        <v>8.8702612793861485E-4</v>
      </c>
      <c r="R94" s="3">
        <v>1321.29</v>
      </c>
      <c r="S94" s="88">
        <f>$R94/$AI94</f>
        <v>1.4464010275009409E-2</v>
      </c>
      <c r="U94" s="88">
        <f>$T94/$AI94</f>
        <v>0</v>
      </c>
      <c r="W94" s="88">
        <f>$V94/$AI94</f>
        <v>0</v>
      </c>
      <c r="X94" s="3">
        <v>95.009999999999991</v>
      </c>
      <c r="Y94" s="88">
        <f>$X94/$AI94</f>
        <v>1.0400635865166949E-3</v>
      </c>
      <c r="Z94" s="3">
        <v>586.17099999999994</v>
      </c>
      <c r="AA94" s="88">
        <f>$Z94/$AI94</f>
        <v>6.41674679057023E-3</v>
      </c>
      <c r="AB94" s="56">
        <v>10226.648000000001</v>
      </c>
      <c r="AC94" s="88">
        <f>$AB94/AI94</f>
        <v>0.11194994418402049</v>
      </c>
      <c r="AD94" s="101">
        <v>47792.077999999994</v>
      </c>
      <c r="AE94" s="88">
        <f>$AD94/$AI94</f>
        <v>0.5231744032392972</v>
      </c>
      <c r="AF94" s="3">
        <v>-79755.775999999998</v>
      </c>
      <c r="AG94" s="3">
        <v>-11594.407999999999</v>
      </c>
      <c r="AH94" s="89">
        <f>SUM(AF94,AG94)</f>
        <v>-91350.183999999994</v>
      </c>
      <c r="AI94" s="3">
        <f>((AF94+AG94)*-1)</f>
        <v>91350.183999999994</v>
      </c>
      <c r="AJ94" s="8">
        <f>AI94/($AI$224)</f>
        <v>6.9711385406854721E-3</v>
      </c>
      <c r="AK94" s="56">
        <f>AJ94*($G$260+$G$313-$B$406)</f>
        <v>12313.291007118616</v>
      </c>
      <c r="AL94" s="3">
        <v>30386.450073077242</v>
      </c>
      <c r="AM94" s="8">
        <f>AL94/AL$224</f>
        <v>6.4489845731340017E-3</v>
      </c>
      <c r="AN94" s="3">
        <f>(AM94*$B$406)</f>
        <v>8767.9426444317014</v>
      </c>
      <c r="AO94" s="3">
        <f>AN94+AK94</f>
        <v>21081.233651550319</v>
      </c>
      <c r="AP94" s="113">
        <f>$AO94/$AI94</f>
        <v>0.23077384990872399</v>
      </c>
      <c r="AQ94" s="3">
        <f>AB94+AD94+AH94</f>
        <v>-33331.457999999999</v>
      </c>
      <c r="AR94" s="3">
        <f>AQ94+AO94</f>
        <v>-12250.224348449679</v>
      </c>
      <c r="AS94" s="113">
        <f>AR94/AI94</f>
        <v>-0.13410180266795829</v>
      </c>
      <c r="AT94" s="70"/>
      <c r="AU94" s="70"/>
      <c r="AV94" s="70"/>
      <c r="AW94" s="3"/>
      <c r="BA94" s="3"/>
      <c r="BB94" s="3"/>
      <c r="BC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</row>
    <row r="95" spans="1:68" ht="22.2" customHeight="1" x14ac:dyDescent="0.3">
      <c r="A95" s="2" t="s">
        <v>844</v>
      </c>
      <c r="B95" s="3">
        <v>0</v>
      </c>
      <c r="C95" s="88">
        <f>$B95/$AI95</f>
        <v>0</v>
      </c>
      <c r="D95" s="3">
        <v>400</v>
      </c>
      <c r="E95" s="88">
        <f>$D95/$AI95</f>
        <v>1.3489485367702291E-2</v>
      </c>
      <c r="F95" s="3">
        <v>12.25</v>
      </c>
      <c r="G95" s="88">
        <f>$F95/$AI95</f>
        <v>4.1311548938588265E-4</v>
      </c>
      <c r="H95" s="3">
        <v>0</v>
      </c>
      <c r="I95" s="88">
        <f>$H95/$AI95</f>
        <v>0</v>
      </c>
      <c r="J95" s="3">
        <v>2414.5</v>
      </c>
      <c r="K95" s="88">
        <f>$J95/$AI95</f>
        <v>8.1425906050792959E-2</v>
      </c>
      <c r="L95" s="3"/>
      <c r="M95" s="88">
        <f>$L95/$AI95</f>
        <v>0</v>
      </c>
      <c r="N95" s="3"/>
      <c r="O95" s="88">
        <f>$N95/$AI95</f>
        <v>0</v>
      </c>
      <c r="P95" s="3">
        <v>80.02</v>
      </c>
      <c r="Q95" s="88">
        <f>$P95/$AI95</f>
        <v>2.6985715478088433E-3</v>
      </c>
      <c r="R95" s="3">
        <v>8.44</v>
      </c>
      <c r="S95" s="88">
        <f>$R95/$AI95</f>
        <v>2.8462814125851832E-4</v>
      </c>
      <c r="U95" s="88">
        <f>$T95/$AI95</f>
        <v>0</v>
      </c>
      <c r="W95" s="88">
        <f>$V95/$AI95</f>
        <v>0</v>
      </c>
      <c r="X95" s="3">
        <v>155.63</v>
      </c>
      <c r="Y95" s="88">
        <f>$X95/$AI95</f>
        <v>5.2484215194387685E-3</v>
      </c>
      <c r="Z95" s="3">
        <v>46.779000000000003</v>
      </c>
      <c r="AA95" s="88">
        <f>$Z95/$AI95</f>
        <v>1.5775615900393638E-3</v>
      </c>
      <c r="AB95" s="56">
        <v>3117.6190000000001</v>
      </c>
      <c r="AC95" s="88">
        <f>$AB95/AI95</f>
        <v>0.10513768970642663</v>
      </c>
      <c r="AD95" s="101">
        <v>13106.495999999999</v>
      </c>
      <c r="AE95" s="88">
        <f>$AD95/$AI95</f>
        <v>0.44199971503462149</v>
      </c>
      <c r="AF95" s="3">
        <v>-26230.502000000004</v>
      </c>
      <c r="AG95" s="3">
        <v>-3422.223</v>
      </c>
      <c r="AH95" s="89">
        <f>SUM(AF95,AG95)</f>
        <v>-29652.725000000006</v>
      </c>
      <c r="AI95" s="3">
        <f>((AF95+AG95)*-1)</f>
        <v>29652.725000000006</v>
      </c>
      <c r="AJ95" s="8">
        <f>AI95/($AI$224)</f>
        <v>2.2628663132615878E-3</v>
      </c>
      <c r="AK95" s="56">
        <f>AJ95*($G$260+$G$313-$B$406)</f>
        <v>3996.9556282345475</v>
      </c>
      <c r="AL95" s="3">
        <v>10528.26954915942</v>
      </c>
      <c r="AM95" s="8">
        <f>AL95/AL$224</f>
        <v>2.2344383019746953E-3</v>
      </c>
      <c r="AN95" s="3">
        <f>(AM95*$B$406)</f>
        <v>3037.90878270231</v>
      </c>
      <c r="AO95" s="3">
        <f>AN95+AK95</f>
        <v>7034.8644109368579</v>
      </c>
      <c r="AP95" s="113">
        <f>$AO95/$AI95</f>
        <v>0.23724175133775585</v>
      </c>
      <c r="AQ95" s="3">
        <f>AB95+AD95+AH95</f>
        <v>-13428.610000000006</v>
      </c>
      <c r="AR95" s="3">
        <f>AQ95+AO95</f>
        <v>-6393.7455890631481</v>
      </c>
      <c r="AS95" s="113">
        <f>AR95/AI95</f>
        <v>-0.21562084392119601</v>
      </c>
      <c r="AT95" s="70"/>
      <c r="AU95" s="70"/>
      <c r="AV95" s="70"/>
      <c r="AW95" s="3"/>
      <c r="BA95" s="3"/>
      <c r="BB95" s="3"/>
      <c r="BC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</row>
    <row r="96" spans="1:68" ht="22.2" customHeight="1" x14ac:dyDescent="0.3">
      <c r="A96" s="2" t="s">
        <v>845</v>
      </c>
      <c r="B96" s="3">
        <v>0</v>
      </c>
      <c r="C96" s="88">
        <f>$B96/$AI96</f>
        <v>0</v>
      </c>
      <c r="D96" s="3">
        <v>2300</v>
      </c>
      <c r="E96" s="88">
        <f>$D96/$AI96</f>
        <v>4.9783680169378793E-2</v>
      </c>
      <c r="F96" s="3">
        <v>266.86</v>
      </c>
      <c r="G96" s="88">
        <f>$F96/$AI96</f>
        <v>5.7762056043480104E-3</v>
      </c>
      <c r="H96" s="3">
        <v>0</v>
      </c>
      <c r="I96" s="88">
        <f>$H96/$AI96</f>
        <v>0</v>
      </c>
      <c r="J96" s="3">
        <v>2045.1109999999999</v>
      </c>
      <c r="K96" s="88">
        <f>$J96/$AI96</f>
        <v>4.4266587797773226E-2</v>
      </c>
      <c r="L96" s="3"/>
      <c r="M96" s="88">
        <f>$L96/$AI96</f>
        <v>0</v>
      </c>
      <c r="N96" s="3"/>
      <c r="O96" s="88">
        <f>$N96/$AI96</f>
        <v>0</v>
      </c>
      <c r="P96" s="3">
        <v>78.33</v>
      </c>
      <c r="Q96" s="88">
        <f>$P96/$AI96</f>
        <v>1.6954589859423655E-3</v>
      </c>
      <c r="R96" s="3">
        <v>349.68400000000003</v>
      </c>
      <c r="S96" s="88">
        <f>$R96/$AI96</f>
        <v>7.568937572325676E-3</v>
      </c>
      <c r="U96" s="88">
        <f>$T96/$AI96</f>
        <v>0</v>
      </c>
      <c r="W96" s="88">
        <f>$V96/$AI96</f>
        <v>0</v>
      </c>
      <c r="X96" s="3">
        <v>173.74</v>
      </c>
      <c r="Y96" s="88">
        <f>$X96/$AI96</f>
        <v>3.7606159098382049E-3</v>
      </c>
      <c r="Z96" s="3">
        <v>84.23599999999999</v>
      </c>
      <c r="AA96" s="88">
        <f>$Z96/$AI96</f>
        <v>1.8232948185859961E-3</v>
      </c>
      <c r="AB96" s="56">
        <v>5297.9610000000002</v>
      </c>
      <c r="AC96" s="88">
        <f>$AB96/AI96</f>
        <v>0.11467478085819227</v>
      </c>
      <c r="AD96" s="101">
        <v>24547.796999999999</v>
      </c>
      <c r="AE96" s="88">
        <f>$AD96/$AI96</f>
        <v>0.53133898900471133</v>
      </c>
      <c r="AF96" s="3">
        <v>-40440.562000000005</v>
      </c>
      <c r="AG96" s="3">
        <v>-5759.317</v>
      </c>
      <c r="AH96" s="89">
        <f>SUM(AF96,AG96)</f>
        <v>-46199.879000000008</v>
      </c>
      <c r="AI96" s="3">
        <f>((AF96+AG96)*-1)</f>
        <v>46199.879000000008</v>
      </c>
      <c r="AJ96" s="8">
        <f>AI96/($AI$224)</f>
        <v>3.5256169497360343E-3</v>
      </c>
      <c r="AK96" s="56">
        <f>AJ96*($G$260+$G$313-$B$406)</f>
        <v>6227.3826905555916</v>
      </c>
      <c r="AL96" s="3">
        <v>12485.152708875978</v>
      </c>
      <c r="AM96" s="8">
        <f>AL96/AL$224</f>
        <v>2.6497520118054859E-3</v>
      </c>
      <c r="AN96" s="3">
        <f>(AM96*$B$406)</f>
        <v>3602.5630698923469</v>
      </c>
      <c r="AO96" s="3">
        <f>AN96+AK96</f>
        <v>9829.9457604479394</v>
      </c>
      <c r="AP96" s="113">
        <f>$AO96/$AI96</f>
        <v>0.21276994600890486</v>
      </c>
      <c r="AQ96" s="3">
        <f>AB96+AD96+AH96</f>
        <v>-16354.12100000001</v>
      </c>
      <c r="AR96" s="3">
        <f>AQ96+AO96</f>
        <v>-6524.1752395520707</v>
      </c>
      <c r="AS96" s="113">
        <f>AR96/AI96</f>
        <v>-0.14121628412819154</v>
      </c>
      <c r="AT96" s="70"/>
      <c r="AU96" s="70"/>
      <c r="AV96" s="70"/>
      <c r="AW96" s="3"/>
      <c r="BA96" s="3"/>
      <c r="BB96" s="3"/>
      <c r="BC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</row>
    <row r="97" spans="1:68" ht="22.2" customHeight="1" x14ac:dyDescent="0.3">
      <c r="A97" s="2" t="s">
        <v>846</v>
      </c>
      <c r="B97" s="3">
        <v>0</v>
      </c>
      <c r="C97" s="88">
        <f>$B97/$AI97</f>
        <v>0</v>
      </c>
      <c r="D97" s="3">
        <v>3200</v>
      </c>
      <c r="E97" s="88">
        <f>$D97/$AI97</f>
        <v>2.2328483786680862E-2</v>
      </c>
      <c r="F97" s="3">
        <v>8</v>
      </c>
      <c r="G97" s="88">
        <f>$F97/$AI97</f>
        <v>5.5821209466702162E-5</v>
      </c>
      <c r="H97" s="3">
        <v>0</v>
      </c>
      <c r="I97" s="88">
        <f>$H97/$AI97</f>
        <v>0</v>
      </c>
      <c r="J97" s="3">
        <v>5482.3040000000001</v>
      </c>
      <c r="K97" s="88">
        <f>$J97/$AI97</f>
        <v>3.8253604993017387E-2</v>
      </c>
      <c r="L97" s="3"/>
      <c r="M97" s="88">
        <f>$L97/$AI97</f>
        <v>0</v>
      </c>
      <c r="N97" s="3">
        <v>129.52000000000001</v>
      </c>
      <c r="O97" s="88">
        <f>$N97/$AI97</f>
        <v>9.0374538126590802E-4</v>
      </c>
      <c r="P97" s="3">
        <v>126.7</v>
      </c>
      <c r="Q97" s="88">
        <f>$P97/$AI97</f>
        <v>8.8406840492889543E-4</v>
      </c>
      <c r="R97" s="3">
        <v>21959.282999999999</v>
      </c>
      <c r="S97" s="88">
        <f>$R97/$AI97</f>
        <v>0.15322421701019898</v>
      </c>
      <c r="U97" s="88">
        <f>$T97/$AI97</f>
        <v>0</v>
      </c>
      <c r="W97" s="88">
        <f>$V97/$AI97</f>
        <v>0</v>
      </c>
      <c r="X97" s="3">
        <v>143.06800000000001</v>
      </c>
      <c r="Y97" s="88">
        <f>$X97/$AI97</f>
        <v>9.9827859949776806E-4</v>
      </c>
      <c r="Z97" s="3">
        <v>185.714</v>
      </c>
      <c r="AA97" s="88">
        <f>$Z97/$AI97</f>
        <v>1.2958475118623905E-3</v>
      </c>
      <c r="AB97" s="56">
        <v>31234.589000000004</v>
      </c>
      <c r="AC97" s="88">
        <f>$AB97/AI97</f>
        <v>0.21794406689691892</v>
      </c>
      <c r="AD97" s="101">
        <v>69897.668000000005</v>
      </c>
      <c r="AE97" s="88">
        <f>$AD97/$AI97</f>
        <v>0.48772154583275062</v>
      </c>
      <c r="AF97" s="3">
        <v>-124965.86400000003</v>
      </c>
      <c r="AG97" s="3">
        <v>-18348.838</v>
      </c>
      <c r="AH97" s="89">
        <f>SUM(AF97,AG97)</f>
        <v>-143314.70200000002</v>
      </c>
      <c r="AI97" s="3">
        <f>((AF97+AG97)*-1)</f>
        <v>143314.70200000002</v>
      </c>
      <c r="AJ97" s="8">
        <f>AI97/($AI$224)</f>
        <v>1.093666809208675E-2</v>
      </c>
      <c r="AK97" s="56">
        <f>AJ97*($G$260+$G$313-$B$406)</f>
        <v>19317.701990884714</v>
      </c>
      <c r="AL97" s="3">
        <v>43893.712570407166</v>
      </c>
      <c r="AM97" s="8">
        <f>AL97/AL$224</f>
        <v>9.3156612418815298E-3</v>
      </c>
      <c r="AN97" s="3">
        <f>(AM97*$B$406)</f>
        <v>12665.433222470738</v>
      </c>
      <c r="AO97" s="3">
        <f>AN97+AK97</f>
        <v>31983.135213355454</v>
      </c>
      <c r="AP97" s="113">
        <f>$AO97/$AI97</f>
        <v>0.22316716126832159</v>
      </c>
      <c r="AQ97" s="3">
        <f>AB97+AD97+AH97</f>
        <v>-42182.445000000007</v>
      </c>
      <c r="AR97" s="3">
        <f>AQ97+AO97</f>
        <v>-10199.309786644553</v>
      </c>
      <c r="AS97" s="113">
        <f>AR97/AI97</f>
        <v>-7.1167226002008865E-2</v>
      </c>
      <c r="AT97" s="70"/>
      <c r="AU97" s="70"/>
      <c r="AV97" s="70"/>
      <c r="AW97" s="3"/>
      <c r="BA97" s="3"/>
      <c r="BB97" s="3"/>
      <c r="BC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</row>
    <row r="98" spans="1:68" ht="22.2" customHeight="1" x14ac:dyDescent="0.3">
      <c r="A98" s="2" t="s">
        <v>847</v>
      </c>
      <c r="B98" s="3">
        <v>0</v>
      </c>
      <c r="C98" s="88">
        <f>$B98/$AI98</f>
        <v>0</v>
      </c>
      <c r="D98" s="3">
        <v>660</v>
      </c>
      <c r="E98" s="88">
        <f>$D98/$AI98</f>
        <v>6.273735871689402E-3</v>
      </c>
      <c r="F98" s="3">
        <v>0</v>
      </c>
      <c r="G98" s="88">
        <f>$F98/$AI98</f>
        <v>0</v>
      </c>
      <c r="H98" s="3">
        <v>0</v>
      </c>
      <c r="I98" s="88">
        <f>$H98/$AI98</f>
        <v>0</v>
      </c>
      <c r="J98" s="3">
        <v>3995.8880000000004</v>
      </c>
      <c r="K98" s="88">
        <f>$J98/$AI98</f>
        <v>3.7983554370989735E-2</v>
      </c>
      <c r="L98" s="3"/>
      <c r="M98" s="88">
        <f>$L98/$AI98</f>
        <v>0</v>
      </c>
      <c r="N98" s="3"/>
      <c r="O98" s="88">
        <f>$N98/$AI98</f>
        <v>0</v>
      </c>
      <c r="P98" s="3">
        <v>410.49</v>
      </c>
      <c r="Q98" s="88">
        <f>$P98/$AI98</f>
        <v>3.9019785423784585E-3</v>
      </c>
      <c r="R98" s="3">
        <v>1593.883</v>
      </c>
      <c r="S98" s="88">
        <f>$R98/$AI98</f>
        <v>1.5150910533902908E-2</v>
      </c>
      <c r="U98" s="88">
        <f>$T98/$AI98</f>
        <v>0</v>
      </c>
      <c r="W98" s="88">
        <f>$V98/$AI98</f>
        <v>0</v>
      </c>
      <c r="X98" s="3">
        <v>46.62</v>
      </c>
      <c r="Y98" s="88">
        <f>$X98/$AI98</f>
        <v>4.4315388839115139E-4</v>
      </c>
      <c r="Z98" s="3">
        <v>514.92600000000004</v>
      </c>
      <c r="AA98" s="88">
        <f>$Z98/$AI98</f>
        <v>4.8947116931296018E-3</v>
      </c>
      <c r="AB98" s="56">
        <v>7221.8070000000007</v>
      </c>
      <c r="AC98" s="88">
        <f>$AB98/AI98</f>
        <v>6.8648044900481264E-2</v>
      </c>
      <c r="AD98" s="101">
        <v>52479.521000000001</v>
      </c>
      <c r="AE98" s="88">
        <f>$AD98/$AI98</f>
        <v>0.49885250519208679</v>
      </c>
      <c r="AF98" s="3">
        <v>-91658.194000000003</v>
      </c>
      <c r="AG98" s="3">
        <v>-13542.281999999999</v>
      </c>
      <c r="AH98" s="89">
        <f>SUM(AF98,AG98)</f>
        <v>-105200.476</v>
      </c>
      <c r="AI98" s="3">
        <f>((AF98+AG98)*-1)</f>
        <v>105200.476</v>
      </c>
      <c r="AJ98" s="8">
        <f>AI98/($AI$224)</f>
        <v>8.0280855563690714E-3</v>
      </c>
      <c r="AK98" s="56">
        <f>AJ98*($G$260+$G$313-$B$406)</f>
        <v>14180.202144698449</v>
      </c>
      <c r="AL98" s="3">
        <v>37555.025883271112</v>
      </c>
      <c r="AM98" s="8">
        <f>AL98/AL$224</f>
        <v>7.9703875241237329E-3</v>
      </c>
      <c r="AN98" s="3">
        <f>(AM98*$B$406)</f>
        <v>10836.419264598975</v>
      </c>
      <c r="AO98" s="3">
        <f>AN98+AK98</f>
        <v>25016.621409297426</v>
      </c>
      <c r="AP98" s="113">
        <f>$AO98/$AI98</f>
        <v>0.23779950776360961</v>
      </c>
      <c r="AQ98" s="3">
        <f>AB98+AD98+AH98</f>
        <v>-45499.147999999994</v>
      </c>
      <c r="AR98" s="3">
        <f>AQ98+AO98</f>
        <v>-20482.526590702568</v>
      </c>
      <c r="AS98" s="113">
        <f>AR98/AI98</f>
        <v>-0.19469994214382233</v>
      </c>
      <c r="AT98" s="70"/>
      <c r="AU98" s="70"/>
      <c r="AV98" s="70"/>
      <c r="AW98" s="3"/>
      <c r="BA98" s="3"/>
      <c r="BB98" s="3"/>
      <c r="BC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</row>
    <row r="99" spans="1:68" ht="22.2" customHeight="1" x14ac:dyDescent="0.3">
      <c r="A99" s="2" t="s">
        <v>848</v>
      </c>
      <c r="B99" s="3">
        <v>0</v>
      </c>
      <c r="C99" s="88">
        <f>$B99/$AI99</f>
        <v>0</v>
      </c>
      <c r="D99" s="3">
        <v>2100</v>
      </c>
      <c r="E99" s="88">
        <f>$D99/$AI99</f>
        <v>3.4256775839368085E-2</v>
      </c>
      <c r="F99" s="3">
        <v>0</v>
      </c>
      <c r="G99" s="88">
        <f>$F99/$AI99</f>
        <v>0</v>
      </c>
      <c r="H99" s="3">
        <v>-1.724</v>
      </c>
      <c r="I99" s="88">
        <f>$H99/$AI99</f>
        <v>-2.8123181689081228E-5</v>
      </c>
      <c r="J99" s="3">
        <v>3062.5460000000003</v>
      </c>
      <c r="K99" s="88">
        <f>$J99/$AI99</f>
        <v>4.9958548485596846E-2</v>
      </c>
      <c r="L99" s="3"/>
      <c r="M99" s="88">
        <f>$L99/$AI99</f>
        <v>0</v>
      </c>
      <c r="N99" s="3"/>
      <c r="O99" s="88">
        <f>$N99/$AI99</f>
        <v>0</v>
      </c>
      <c r="P99" s="3">
        <v>69.319999999999993</v>
      </c>
      <c r="Q99" s="88">
        <f>$P99/$AI99</f>
        <v>1.1307998577071406E-3</v>
      </c>
      <c r="R99" s="3">
        <v>2273.4349999999999</v>
      </c>
      <c r="S99" s="88">
        <f>$R99/$AI99</f>
        <v>3.7085977704939897E-2</v>
      </c>
      <c r="U99" s="88">
        <f>$T99/$AI99</f>
        <v>0</v>
      </c>
      <c r="W99" s="88">
        <f>$V99/$AI99</f>
        <v>0</v>
      </c>
      <c r="X99" s="3">
        <v>94.009999999999991</v>
      </c>
      <c r="Y99" s="88">
        <f>$X99/$AI99</f>
        <v>1.5335616650757112E-3</v>
      </c>
      <c r="Z99" s="3">
        <v>296.83699999999999</v>
      </c>
      <c r="AA99" s="88">
        <f>$Z99/$AI99</f>
        <v>4.842227890395478E-3</v>
      </c>
      <c r="AB99" s="56">
        <v>7894.424</v>
      </c>
      <c r="AC99" s="88">
        <f>$AB99/AI99</f>
        <v>0.12877976826139406</v>
      </c>
      <c r="AD99" s="101">
        <v>25816.780999999999</v>
      </c>
      <c r="AE99" s="88">
        <f>$AD99/$AI99</f>
        <v>0.42114270457669378</v>
      </c>
      <c r="AF99" s="3">
        <v>-53756.559000000001</v>
      </c>
      <c r="AG99" s="3">
        <v>-7545.1819999999998</v>
      </c>
      <c r="AH99" s="89">
        <f>SUM(AF99,AG99)</f>
        <v>-61301.741000000002</v>
      </c>
      <c r="AI99" s="3">
        <f>((AF99+AG99)*-1)</f>
        <v>61301.741000000002</v>
      </c>
      <c r="AJ99" s="8">
        <f>AI99/($AI$224)</f>
        <v>4.6780740944782203E-3</v>
      </c>
      <c r="AK99" s="56">
        <f>AJ99*($G$260+$G$313-$B$406)</f>
        <v>8262.9956845627657</v>
      </c>
      <c r="AL99" s="3">
        <v>28771.732163390567</v>
      </c>
      <c r="AM99" s="8">
        <f>AL99/AL$224</f>
        <v>6.1062893631147553E-3</v>
      </c>
      <c r="AN99" s="3">
        <f>(AM99*$B$406)</f>
        <v>8302.0193797850898</v>
      </c>
      <c r="AO99" s="3">
        <f>AN99+AK99</f>
        <v>16565.015064347856</v>
      </c>
      <c r="AP99" s="113">
        <f>$AO99/$AI99</f>
        <v>0.2702209561119619</v>
      </c>
      <c r="AQ99" s="3">
        <f>AB99+AD99+AH99</f>
        <v>-27590.536</v>
      </c>
      <c r="AR99" s="3">
        <f>AQ99+AO99</f>
        <v>-11025.520935652145</v>
      </c>
      <c r="AS99" s="113">
        <f>AR99/AI99</f>
        <v>-0.17985657104995018</v>
      </c>
      <c r="AT99" s="70"/>
      <c r="AU99" s="70"/>
      <c r="AV99" s="70"/>
      <c r="AW99" s="3"/>
      <c r="BA99" s="3"/>
      <c r="BB99" s="3"/>
      <c r="BC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</row>
    <row r="100" spans="1:68" ht="22.2" customHeight="1" x14ac:dyDescent="0.3">
      <c r="A100" s="2" t="s">
        <v>849</v>
      </c>
      <c r="B100" s="3">
        <v>0</v>
      </c>
      <c r="C100" s="88">
        <f>$B100/$AI100</f>
        <v>0</v>
      </c>
      <c r="D100" s="3">
        <v>1600</v>
      </c>
      <c r="E100" s="88">
        <f>$D100/$AI100</f>
        <v>1.363041132867103E-2</v>
      </c>
      <c r="F100" s="3">
        <v>0</v>
      </c>
      <c r="G100" s="88">
        <f>$F100/$AI100</f>
        <v>0</v>
      </c>
      <c r="H100" s="3">
        <v>0</v>
      </c>
      <c r="I100" s="88">
        <f>$H100/$AI100</f>
        <v>0</v>
      </c>
      <c r="J100" s="3">
        <v>4609.5839999999998</v>
      </c>
      <c r="K100" s="88">
        <f>$J100/$AI100</f>
        <v>3.9269078733787953E-2</v>
      </c>
      <c r="L100" s="3"/>
      <c r="M100" s="88">
        <f>$L100/$AI100</f>
        <v>0</v>
      </c>
      <c r="N100" s="3"/>
      <c r="O100" s="88">
        <f>$N100/$AI100</f>
        <v>0</v>
      </c>
      <c r="P100" s="3">
        <v>412.88</v>
      </c>
      <c r="Q100" s="88">
        <f>$P100/$AI100</f>
        <v>3.5173276433635593E-3</v>
      </c>
      <c r="R100" s="3">
        <v>291.29000000000002</v>
      </c>
      <c r="S100" s="88">
        <f>$R100/$AI100</f>
        <v>2.4815015724553653E-3</v>
      </c>
      <c r="U100" s="88">
        <f>$T100/$AI100</f>
        <v>0</v>
      </c>
      <c r="W100" s="88">
        <f>$V100/$AI100</f>
        <v>0</v>
      </c>
      <c r="X100" s="3">
        <v>80</v>
      </c>
      <c r="Y100" s="88">
        <f>$X100/$AI100</f>
        <v>6.8152056643355145E-4</v>
      </c>
      <c r="Z100" s="3">
        <v>250.047</v>
      </c>
      <c r="AA100" s="88">
        <f>$Z100/$AI100</f>
        <v>2.1301521634376282E-3</v>
      </c>
      <c r="AB100" s="56">
        <v>7243.8009999999995</v>
      </c>
      <c r="AC100" s="88">
        <f>$AB100/AI100</f>
        <v>6.1709992008149084E-2</v>
      </c>
      <c r="AD100" s="101">
        <v>63244.212999999996</v>
      </c>
      <c r="AE100" s="88">
        <f>$AD100/$AI100</f>
        <v>0.53877789834255219</v>
      </c>
      <c r="AF100" s="3">
        <v>-102091.48999999999</v>
      </c>
      <c r="AG100" s="3">
        <v>-15293.081999999999</v>
      </c>
      <c r="AH100" s="89">
        <f>SUM(AF100,AG100)</f>
        <v>-117384.57199999999</v>
      </c>
      <c r="AI100" s="3">
        <f>((AF100+AG100)*-1)</f>
        <v>117384.57199999999</v>
      </c>
      <c r="AJ100" s="8">
        <f>AI100/($AI$224)</f>
        <v>8.9578813979298462E-3</v>
      </c>
      <c r="AK100" s="56">
        <f>AJ100*($G$260+$G$313-$B$406)</f>
        <v>15822.523080873791</v>
      </c>
      <c r="AL100" s="3">
        <v>38771.711933981955</v>
      </c>
      <c r="AM100" s="8">
        <f>AL100/AL$224</f>
        <v>8.2286075383903399E-3</v>
      </c>
      <c r="AN100" s="3">
        <f>(AM100*$B$406)</f>
        <v>11187.491320836454</v>
      </c>
      <c r="AO100" s="3">
        <f>AN100+AK100</f>
        <v>27010.014401710243</v>
      </c>
      <c r="AP100" s="113">
        <f>$AO100/$AI100</f>
        <v>0.23009850393039935</v>
      </c>
      <c r="AQ100" s="3">
        <f>AB100+AD100+AH100</f>
        <v>-46896.55799999999</v>
      </c>
      <c r="AR100" s="3">
        <f>AQ100+AO100</f>
        <v>-19886.543598289747</v>
      </c>
      <c r="AS100" s="113">
        <f>AR100/AI100</f>
        <v>-0.16941360571889932</v>
      </c>
      <c r="AT100" s="70"/>
      <c r="AU100" s="70"/>
      <c r="AV100" s="70"/>
      <c r="AW100" s="3"/>
      <c r="BA100" s="3"/>
      <c r="BB100" s="3"/>
      <c r="BC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</row>
    <row r="101" spans="1:68" ht="22.2" customHeight="1" x14ac:dyDescent="0.3">
      <c r="A101" s="2" t="s">
        <v>850</v>
      </c>
      <c r="B101" s="3">
        <v>0</v>
      </c>
      <c r="C101" s="88">
        <f>$B101/$AI101</f>
        <v>0</v>
      </c>
      <c r="D101" s="3">
        <v>1400</v>
      </c>
      <c r="E101" s="88">
        <f>$D101/$AI101</f>
        <v>3.445175204385019E-2</v>
      </c>
      <c r="F101" s="3">
        <v>0</v>
      </c>
      <c r="G101" s="88">
        <f>$F101/$AI101</f>
        <v>0</v>
      </c>
      <c r="H101" s="3">
        <v>47.2</v>
      </c>
      <c r="I101" s="88">
        <f>$H101/$AI101</f>
        <v>1.1615162117640922E-3</v>
      </c>
      <c r="J101" s="3">
        <v>3996.375</v>
      </c>
      <c r="K101" s="88">
        <f>$J101/$AI101</f>
        <v>9.8344371838744143E-2</v>
      </c>
      <c r="L101" s="3"/>
      <c r="M101" s="88">
        <f>$L101/$AI101</f>
        <v>0</v>
      </c>
      <c r="N101" s="3"/>
      <c r="O101" s="88">
        <f>$N101/$AI101</f>
        <v>0</v>
      </c>
      <c r="P101" s="3">
        <v>79.81</v>
      </c>
      <c r="Q101" s="88">
        <f>$P101/$AI101</f>
        <v>1.9639959504426313E-3</v>
      </c>
      <c r="R101" s="3">
        <v>831.99099999999999</v>
      </c>
      <c r="S101" s="88">
        <f>$R101/$AI101</f>
        <v>2.0473962596224974E-2</v>
      </c>
      <c r="U101" s="88">
        <f>$T101/$AI101</f>
        <v>0</v>
      </c>
      <c r="W101" s="88">
        <f>$V101/$AI101</f>
        <v>0</v>
      </c>
      <c r="X101" s="3">
        <v>195.01</v>
      </c>
      <c r="Y101" s="88">
        <f>$X101/$AI101</f>
        <v>4.7988829757651605E-3</v>
      </c>
      <c r="Z101" s="3">
        <v>356.16700000000003</v>
      </c>
      <c r="AA101" s="88">
        <f>$Z101/$AI101</f>
        <v>8.7646979787157075E-3</v>
      </c>
      <c r="AB101" s="56">
        <v>6906.552999999999</v>
      </c>
      <c r="AC101" s="88">
        <f>$AB101/AI101</f>
        <v>0.16995917959550688</v>
      </c>
      <c r="AD101" s="101">
        <v>20221.863000000001</v>
      </c>
      <c r="AE101" s="88">
        <f>$AD101/$AI101</f>
        <v>0.49762757852907752</v>
      </c>
      <c r="AF101" s="3">
        <v>-40505.54</v>
      </c>
      <c r="AG101" s="3">
        <v>-131</v>
      </c>
      <c r="AH101" s="89">
        <f>SUM(AF101,AG101)</f>
        <v>-40636.54</v>
      </c>
      <c r="AI101" s="3">
        <f>((AF101+AG101)*-1)</f>
        <v>40636.54</v>
      </c>
      <c r="AJ101" s="8">
        <f>AI101/($AI$224)</f>
        <v>3.1010660050132667E-3</v>
      </c>
      <c r="AK101" s="56">
        <f>AJ101*($G$260+$G$313-$B$406)</f>
        <v>5477.4880644183049</v>
      </c>
      <c r="AL101" s="3">
        <v>13369.081745749738</v>
      </c>
      <c r="AM101" s="8">
        <f>AL101/AL$224</f>
        <v>2.8373502573667444E-3</v>
      </c>
      <c r="AN101" s="3">
        <f>(AM101*$B$406)</f>
        <v>3857.618829233043</v>
      </c>
      <c r="AO101" s="3">
        <f>AN101+AK101</f>
        <v>9335.1068936513475</v>
      </c>
      <c r="AP101" s="113">
        <f>$AO101/$AI101</f>
        <v>0.229721991430652</v>
      </c>
      <c r="AQ101" s="3">
        <f>AB101+AD101+AH101</f>
        <v>-13508.124</v>
      </c>
      <c r="AR101" s="3">
        <f>AQ101+AO101</f>
        <v>-4173.0171063486523</v>
      </c>
      <c r="AS101" s="113">
        <f>AR101/AI101</f>
        <v>-0.10269125044476356</v>
      </c>
      <c r="AT101" s="70"/>
      <c r="AU101" s="70"/>
      <c r="AV101" s="70"/>
      <c r="AW101" s="3"/>
      <c r="BA101" s="3"/>
      <c r="BB101" s="3"/>
      <c r="BC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</row>
    <row r="102" spans="1:68" ht="22.2" customHeight="1" x14ac:dyDescent="0.3">
      <c r="A102" s="2" t="s">
        <v>851</v>
      </c>
      <c r="B102" s="3">
        <v>0</v>
      </c>
      <c r="C102" s="88">
        <f>$B102/$AI102</f>
        <v>0</v>
      </c>
      <c r="D102" s="3">
        <v>599.99</v>
      </c>
      <c r="E102" s="88">
        <f>$D102/$AI102</f>
        <v>2.0156922239311471E-2</v>
      </c>
      <c r="F102" s="3">
        <v>0</v>
      </c>
      <c r="G102" s="88">
        <f>$F102/$AI102</f>
        <v>0</v>
      </c>
      <c r="H102" s="3">
        <v>0</v>
      </c>
      <c r="I102" s="88">
        <f>$H102/$AI102</f>
        <v>0</v>
      </c>
      <c r="J102" s="3">
        <v>3358.623</v>
      </c>
      <c r="K102" s="88">
        <f>$J102/$AI102</f>
        <v>0.11283438497668796</v>
      </c>
      <c r="L102" s="3"/>
      <c r="M102" s="88">
        <f>$L102/$AI102</f>
        <v>0</v>
      </c>
      <c r="N102" s="3"/>
      <c r="O102" s="88">
        <f>$N102/$AI102</f>
        <v>0</v>
      </c>
      <c r="P102" s="3">
        <v>101.27</v>
      </c>
      <c r="Q102" s="88">
        <f>$P102/$AI102</f>
        <v>3.402209228778934E-3</v>
      </c>
      <c r="R102" s="3">
        <v>323.70299999999997</v>
      </c>
      <c r="S102" s="88">
        <f>$R102/$AI102</f>
        <v>1.0874941581746097E-2</v>
      </c>
      <c r="U102" s="88">
        <f>$T102/$AI102</f>
        <v>0</v>
      </c>
      <c r="W102" s="88">
        <f>$V102/$AI102</f>
        <v>0</v>
      </c>
      <c r="X102" s="3">
        <v>177.32</v>
      </c>
      <c r="Y102" s="88">
        <f>$X102/$AI102</f>
        <v>5.9571417048195968E-3</v>
      </c>
      <c r="Z102" s="3">
        <v>56.765000000000001</v>
      </c>
      <c r="AA102" s="88">
        <f>$Z102/$AI102</f>
        <v>1.9070446022675638E-3</v>
      </c>
      <c r="AB102" s="56">
        <v>4617.6709999999994</v>
      </c>
      <c r="AC102" s="88">
        <f>$AB102/AI102</f>
        <v>0.1551326443336116</v>
      </c>
      <c r="AD102" s="101">
        <v>13236.725</v>
      </c>
      <c r="AE102" s="88">
        <f>$AD102/$AI102</f>
        <v>0.44469347243812418</v>
      </c>
      <c r="AF102" s="3">
        <v>-25957.407999999999</v>
      </c>
      <c r="AG102" s="3">
        <v>-3808.5450000000001</v>
      </c>
      <c r="AH102" s="89">
        <f>SUM(AF102,AG102)</f>
        <v>-29765.953000000001</v>
      </c>
      <c r="AI102" s="3">
        <f>((AF102+AG102)*-1)</f>
        <v>29765.953000000001</v>
      </c>
      <c r="AJ102" s="8">
        <f>AI102/($AI$224)</f>
        <v>2.2715069972769008E-3</v>
      </c>
      <c r="AK102" s="56">
        <f>AJ102*($G$260+$G$313-$B$406)</f>
        <v>4012.2178778886255</v>
      </c>
      <c r="AL102" s="3">
        <v>12003.426171328048</v>
      </c>
      <c r="AM102" s="8">
        <f>AL102/AL$224</f>
        <v>2.5475141063691946E-3</v>
      </c>
      <c r="AN102" s="3">
        <f>(AM102*$B$406)</f>
        <v>3463.5619479658594</v>
      </c>
      <c r="AO102" s="3">
        <f>AN102+AK102</f>
        <v>7475.7798258544844</v>
      </c>
      <c r="AP102" s="113">
        <f>$AO102/$AI102</f>
        <v>0.25115204024727461</v>
      </c>
      <c r="AQ102" s="3">
        <f>AB102+AD102+AH102</f>
        <v>-11911.557000000001</v>
      </c>
      <c r="AR102" s="3">
        <f>AQ102+AO102</f>
        <v>-4435.7771741455163</v>
      </c>
      <c r="AS102" s="113">
        <f>AR102/AI102</f>
        <v>-0.14902184298098958</v>
      </c>
      <c r="AT102" s="70"/>
      <c r="AU102" s="70"/>
      <c r="AV102" s="70"/>
      <c r="AW102" s="3"/>
      <c r="BA102" s="3"/>
      <c r="BB102" s="3"/>
      <c r="BC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</row>
    <row r="103" spans="1:68" ht="22.2" customHeight="1" x14ac:dyDescent="0.3">
      <c r="A103" s="2" t="s">
        <v>852</v>
      </c>
      <c r="B103" s="3">
        <v>0</v>
      </c>
      <c r="C103" s="88">
        <f>$B103/$AI103</f>
        <v>0</v>
      </c>
      <c r="D103" s="3">
        <v>1850</v>
      </c>
      <c r="E103" s="88">
        <f>$D103/$AI103</f>
        <v>4.5914403589146315E-2</v>
      </c>
      <c r="F103" s="3">
        <v>0</v>
      </c>
      <c r="G103" s="88">
        <f>$F103/$AI103</f>
        <v>0</v>
      </c>
      <c r="H103" s="3">
        <v>0</v>
      </c>
      <c r="I103" s="88">
        <f>$H103/$AI103</f>
        <v>0</v>
      </c>
      <c r="J103" s="3">
        <v>4016.808</v>
      </c>
      <c r="K103" s="88">
        <f>$J103/$AI103</f>
        <v>9.9691537109249523E-2</v>
      </c>
      <c r="L103" s="3"/>
      <c r="M103" s="88">
        <f>$L103/$AI103</f>
        <v>0</v>
      </c>
      <c r="N103" s="3"/>
      <c r="O103" s="88">
        <f>$N103/$AI103</f>
        <v>0</v>
      </c>
      <c r="P103" s="3">
        <v>1342.55</v>
      </c>
      <c r="Q103" s="88">
        <f>$P103/$AI103</f>
        <v>3.3320206777626149E-2</v>
      </c>
      <c r="R103" s="3">
        <v>410.2</v>
      </c>
      <c r="S103" s="88">
        <f>$R103/$AI103</f>
        <v>1.0180588298523145E-2</v>
      </c>
      <c r="U103" s="88">
        <f>$T103/$AI103</f>
        <v>0</v>
      </c>
      <c r="W103" s="88">
        <f>$V103/$AI103</f>
        <v>0</v>
      </c>
      <c r="X103" s="3">
        <v>140</v>
      </c>
      <c r="Y103" s="88">
        <f>$X103/$AI103</f>
        <v>3.4746035148543156E-3</v>
      </c>
      <c r="Z103" s="3">
        <v>36.070999999999998</v>
      </c>
      <c r="AA103" s="88">
        <f>$Z103/$AI103</f>
        <v>8.9523159560221438E-4</v>
      </c>
      <c r="AB103" s="56">
        <v>7795.6289999999999</v>
      </c>
      <c r="AC103" s="88">
        <f>$AB103/AI103</f>
        <v>0.19347657088500167</v>
      </c>
      <c r="AD103" s="101">
        <v>15647.03</v>
      </c>
      <c r="AE103" s="88">
        <f>$AD103/$AI103</f>
        <v>0.38833732453593517</v>
      </c>
      <c r="AF103" s="3">
        <v>-35515.533999999992</v>
      </c>
      <c r="AG103" s="3">
        <v>-4776.8329999999996</v>
      </c>
      <c r="AH103" s="89">
        <f>SUM(AF103,AG103)</f>
        <v>-40292.366999999991</v>
      </c>
      <c r="AI103" s="3">
        <f>((AF103+AG103)*-1)</f>
        <v>40292.366999999991</v>
      </c>
      <c r="AJ103" s="8">
        <f>AI103/($AI$224)</f>
        <v>3.0748013872543864E-3</v>
      </c>
      <c r="AK103" s="56">
        <f>AJ103*($G$260+$G$313-$B$406)</f>
        <v>5431.0962333324132</v>
      </c>
      <c r="AL103" s="3">
        <v>19265.907987947143</v>
      </c>
      <c r="AM103" s="8">
        <f>AL103/AL$224</f>
        <v>4.0888469400962796E-3</v>
      </c>
      <c r="AN103" s="3">
        <f>(AM103*$B$406)</f>
        <v>5559.134937611102</v>
      </c>
      <c r="AO103" s="3">
        <f>AN103+AK103</f>
        <v>10990.231170943516</v>
      </c>
      <c r="AP103" s="113">
        <f>$AO103/$AI103</f>
        <v>0.27276211325444144</v>
      </c>
      <c r="AQ103" s="3">
        <f>AB103+AD103+AH103</f>
        <v>-16849.707999999991</v>
      </c>
      <c r="AR103" s="3">
        <f>AQ103+AO103</f>
        <v>-5859.4768290564753</v>
      </c>
      <c r="AS103" s="113">
        <f>AR103/AI103</f>
        <v>-0.14542399132462178</v>
      </c>
      <c r="AT103" s="70"/>
      <c r="AU103" s="70"/>
      <c r="AV103" s="70"/>
      <c r="AW103" s="3"/>
      <c r="BA103" s="3"/>
      <c r="BB103" s="3"/>
      <c r="BC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</row>
    <row r="104" spans="1:68" ht="22.2" customHeight="1" x14ac:dyDescent="0.3">
      <c r="A104" s="2" t="s">
        <v>853</v>
      </c>
      <c r="B104" s="3">
        <v>0</v>
      </c>
      <c r="C104" s="88">
        <f>$B104/$AI104</f>
        <v>0</v>
      </c>
      <c r="D104" s="3">
        <v>1250</v>
      </c>
      <c r="E104" s="88">
        <f>$D104/$AI104</f>
        <v>3.9311250537109613E-2</v>
      </c>
      <c r="F104" s="3">
        <v>0</v>
      </c>
      <c r="G104" s="88">
        <f>$F104/$AI104</f>
        <v>0</v>
      </c>
      <c r="H104" s="3">
        <v>0</v>
      </c>
      <c r="I104" s="88">
        <f>$H104/$AI104</f>
        <v>0</v>
      </c>
      <c r="J104" s="3">
        <v>3658.3980000000001</v>
      </c>
      <c r="K104" s="88">
        <f>$J104/$AI104</f>
        <v>0.11505296027396859</v>
      </c>
      <c r="L104" s="3"/>
      <c r="M104" s="88">
        <f>$L104/$AI104</f>
        <v>0</v>
      </c>
      <c r="N104" s="3"/>
      <c r="O104" s="88">
        <f>$N104/$AI104</f>
        <v>0</v>
      </c>
      <c r="P104" s="3">
        <v>70.56</v>
      </c>
      <c r="Q104" s="88">
        <f>$P104/$AI104</f>
        <v>2.2190414703187637E-3</v>
      </c>
      <c r="R104" s="3">
        <v>298.053</v>
      </c>
      <c r="S104" s="88">
        <f>$R104/$AI104</f>
        <v>9.3734689250697042E-3</v>
      </c>
      <c r="U104" s="88">
        <f>$T104/$AI104</f>
        <v>0</v>
      </c>
      <c r="W104" s="88">
        <f>$V104/$AI104</f>
        <v>0</v>
      </c>
      <c r="X104" s="3">
        <v>175.82</v>
      </c>
      <c r="Y104" s="88">
        <f>$X104/$AI104</f>
        <v>5.5293632555476896E-3</v>
      </c>
      <c r="Z104" s="3">
        <v>34.423999999999999</v>
      </c>
      <c r="AA104" s="88">
        <f>$Z104/$AI104</f>
        <v>1.082600390791569E-3</v>
      </c>
      <c r="AB104" s="56">
        <v>5487.2550000000001</v>
      </c>
      <c r="AC104" s="88">
        <f>$AB104/AI104</f>
        <v>0.17256868485280594</v>
      </c>
      <c r="AD104" s="101">
        <v>11652.525</v>
      </c>
      <c r="AE104" s="88">
        <f>$AD104/$AI104</f>
        <v>0.36646026373194657</v>
      </c>
      <c r="AF104" s="3">
        <v>-28150.888000000003</v>
      </c>
      <c r="AG104" s="3">
        <v>-3646.625</v>
      </c>
      <c r="AH104" s="89">
        <f>SUM(AF104,AG104)</f>
        <v>-31797.513000000003</v>
      </c>
      <c r="AI104" s="3">
        <f>((AF104+AG104)*-1)</f>
        <v>31797.513000000003</v>
      </c>
      <c r="AJ104" s="8">
        <f>AI104/($AI$224)</f>
        <v>2.4265399221554645E-3</v>
      </c>
      <c r="AK104" s="56">
        <f>AJ104*($G$260+$G$313-$B$406)</f>
        <v>4286.0562915958371</v>
      </c>
      <c r="AL104" s="3">
        <v>18075.899978995378</v>
      </c>
      <c r="AM104" s="8">
        <f>AL104/AL$224</f>
        <v>3.8362888665740488E-3</v>
      </c>
      <c r="AN104" s="3">
        <f>(AM104*$B$406)</f>
        <v>5215.7607710397979</v>
      </c>
      <c r="AO104" s="3">
        <f>AN104+AK104</f>
        <v>9501.817062635635</v>
      </c>
      <c r="AP104" s="113">
        <f>$AO104/$AI104</f>
        <v>0.29882264888564192</v>
      </c>
      <c r="AQ104" s="3">
        <f>AB104+AD104+AH104</f>
        <v>-14657.733000000004</v>
      </c>
      <c r="AR104" s="3">
        <f>AQ104+AO104</f>
        <v>-5155.9159373643688</v>
      </c>
      <c r="AS104" s="113">
        <f>AR104/AI104</f>
        <v>-0.16214840252960563</v>
      </c>
      <c r="AT104" s="70"/>
      <c r="AU104" s="70"/>
      <c r="AV104" s="70"/>
      <c r="AW104" s="3"/>
      <c r="BA104" s="3"/>
      <c r="BB104" s="3"/>
      <c r="BC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</row>
    <row r="105" spans="1:68" ht="22.2" customHeight="1" x14ac:dyDescent="0.3">
      <c r="A105" s="2" t="s">
        <v>854</v>
      </c>
      <c r="B105" s="3">
        <v>0</v>
      </c>
      <c r="C105" s="88">
        <f>$B105/$AI105</f>
        <v>0</v>
      </c>
      <c r="D105" s="3">
        <v>2200</v>
      </c>
      <c r="E105" s="88">
        <f>$D105/$AI105</f>
        <v>3.8457212697438889E-2</v>
      </c>
      <c r="F105" s="3">
        <v>0</v>
      </c>
      <c r="G105" s="88">
        <f>$F105/$AI105</f>
        <v>0</v>
      </c>
      <c r="H105" s="3">
        <v>0</v>
      </c>
      <c r="I105" s="88">
        <f>$H105/$AI105</f>
        <v>0</v>
      </c>
      <c r="J105" s="3">
        <v>3963.4670000000001</v>
      </c>
      <c r="K105" s="88">
        <f>$J105/$AI105</f>
        <v>6.9283587926490919E-2</v>
      </c>
      <c r="L105" s="3"/>
      <c r="M105" s="88">
        <f>$L105/$AI105</f>
        <v>0</v>
      </c>
      <c r="N105" s="3"/>
      <c r="O105" s="88">
        <f>$N105/$AI105</f>
        <v>0</v>
      </c>
      <c r="P105" s="3">
        <v>85.92</v>
      </c>
      <c r="Q105" s="88">
        <f>$P105/$AI105</f>
        <v>1.5019289613472497E-3</v>
      </c>
      <c r="R105" s="3">
        <v>587.03100000000006</v>
      </c>
      <c r="S105" s="88">
        <f>$R105/$AI105</f>
        <v>1.0261625466813751E-2</v>
      </c>
      <c r="T105" s="3">
        <v>5.62</v>
      </c>
      <c r="U105" s="88">
        <f>$T105/$AI105</f>
        <v>9.8240697890730253E-5</v>
      </c>
      <c r="W105" s="88">
        <f>$V105/$AI105</f>
        <v>0</v>
      </c>
      <c r="X105" s="3">
        <v>302.98199999999997</v>
      </c>
      <c r="Y105" s="88">
        <f>$X105/$AI105</f>
        <v>5.2962923715888311E-3</v>
      </c>
      <c r="Z105" s="3">
        <v>202.744</v>
      </c>
      <c r="AA105" s="88">
        <f>$Z105/$AI105</f>
        <v>3.544076877786159E-3</v>
      </c>
      <c r="AB105" s="56">
        <v>7347.764000000001</v>
      </c>
      <c r="AC105" s="88">
        <f>$AB105/AI105</f>
        <v>0.12844296499935653</v>
      </c>
      <c r="AD105" s="101">
        <v>13463.954000000002</v>
      </c>
      <c r="AE105" s="88">
        <f>$AD105/$AI105</f>
        <v>0.23535733760296962</v>
      </c>
      <c r="AF105" s="3">
        <v>-50003.302000000011</v>
      </c>
      <c r="AG105" s="3">
        <v>-7203.1319999999996</v>
      </c>
      <c r="AH105" s="89">
        <f>SUM(AF105,AG105)</f>
        <v>-57206.434000000008</v>
      </c>
      <c r="AI105" s="3">
        <f>((AF105+AG105)*-1)</f>
        <v>57206.434000000008</v>
      </c>
      <c r="AJ105" s="8">
        <f>AI105/($AI$224)</f>
        <v>4.3655519821676533E-3</v>
      </c>
      <c r="AK105" s="56">
        <f>AJ105*($G$260+$G$313-$B$406)</f>
        <v>7710.9803010525384</v>
      </c>
      <c r="AL105" s="3">
        <v>23305.294394938428</v>
      </c>
      <c r="AM105" s="8">
        <f>AL105/AL$224</f>
        <v>4.9461349931911869E-3</v>
      </c>
      <c r="AN105" s="3">
        <f>(AM105*$B$406)</f>
        <v>6724.6909091056677</v>
      </c>
      <c r="AO105" s="3">
        <f>AN105+AK105</f>
        <v>14435.671210158205</v>
      </c>
      <c r="AP105" s="113">
        <f>$AO105/$AI105</f>
        <v>0.2523434900724314</v>
      </c>
      <c r="AQ105" s="3">
        <f>AB105+AD105+AH105</f>
        <v>-36394.716000000008</v>
      </c>
      <c r="AR105" s="3">
        <f>AQ105+AO105</f>
        <v>-21959.044789841802</v>
      </c>
      <c r="AS105" s="113">
        <f>AR105/AI105</f>
        <v>-0.38385620732524245</v>
      </c>
      <c r="AT105" s="70"/>
      <c r="AU105" s="70"/>
      <c r="AV105" s="70"/>
      <c r="AW105" s="3"/>
      <c r="BA105" s="3"/>
      <c r="BB105" s="3"/>
      <c r="BC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</row>
    <row r="106" spans="1:68" ht="22.2" customHeight="1" x14ac:dyDescent="0.3">
      <c r="A106" s="2" t="s">
        <v>855</v>
      </c>
      <c r="B106" s="3">
        <v>0</v>
      </c>
      <c r="C106" s="88">
        <f>$B106/$AI106</f>
        <v>0</v>
      </c>
      <c r="D106" s="3">
        <v>1680</v>
      </c>
      <c r="E106" s="88">
        <f>$D106/$AI106</f>
        <v>6.6936071071764039E-2</v>
      </c>
      <c r="F106" s="3">
        <v>45.13</v>
      </c>
      <c r="G106" s="88">
        <f>$F106/$AI106</f>
        <v>1.798110052064709E-3</v>
      </c>
      <c r="H106" s="3">
        <v>0</v>
      </c>
      <c r="I106" s="88">
        <f>$H106/$AI106</f>
        <v>0</v>
      </c>
      <c r="J106" s="3">
        <v>2058.654</v>
      </c>
      <c r="K106" s="88">
        <f>$J106/$AI106</f>
        <v>8.202274431914959E-2</v>
      </c>
      <c r="L106" s="3"/>
      <c r="M106" s="88">
        <f>$L106/$AI106</f>
        <v>0</v>
      </c>
      <c r="N106" s="3"/>
      <c r="O106" s="88">
        <f>$N106/$AI106</f>
        <v>0</v>
      </c>
      <c r="P106" s="3">
        <v>379.87</v>
      </c>
      <c r="Q106" s="88">
        <f>$P106/$AI106</f>
        <v>1.5135122213113692E-2</v>
      </c>
      <c r="R106" s="3">
        <v>49.448</v>
      </c>
      <c r="S106" s="88">
        <f>$R106/$AI106</f>
        <v>1.9701516918789212E-3</v>
      </c>
      <c r="U106" s="88">
        <f>$T106/$AI106</f>
        <v>0</v>
      </c>
      <c r="W106" s="88">
        <f>$V106/$AI106</f>
        <v>0</v>
      </c>
      <c r="X106" s="3">
        <v>88.07</v>
      </c>
      <c r="Y106" s="88">
        <f>$X106/$AI106</f>
        <v>3.5089641543394391E-3</v>
      </c>
      <c r="Z106" s="3">
        <v>-154.51000000000002</v>
      </c>
      <c r="AA106" s="88">
        <f>$Z106/$AI106</f>
        <v>-6.1561263936299182E-3</v>
      </c>
      <c r="AB106" s="56">
        <v>4146.6619999999994</v>
      </c>
      <c r="AC106" s="88">
        <f>$AB106/AI106</f>
        <v>0.16521503710868043</v>
      </c>
      <c r="AD106" s="101">
        <v>11932.495999999999</v>
      </c>
      <c r="AE106" s="88">
        <f>$AD106/$AI106</f>
        <v>0.47542523828544048</v>
      </c>
      <c r="AF106" s="3">
        <v>-21991.748</v>
      </c>
      <c r="AG106" s="3">
        <v>-3106.8270000000002</v>
      </c>
      <c r="AH106" s="89">
        <f>SUM(AF106,AG106)</f>
        <v>-25098.575000000001</v>
      </c>
      <c r="AI106" s="3">
        <f>((AF106+AG106)*-1)</f>
        <v>25098.575000000001</v>
      </c>
      <c r="AJ106" s="8">
        <f>AI106/($AI$224)</f>
        <v>1.915328856905038E-3</v>
      </c>
      <c r="AK106" s="56">
        <f>AJ106*($G$260+$G$313-$B$406)</f>
        <v>3383.0917936519118</v>
      </c>
      <c r="AL106" s="3">
        <v>6768.9301486965805</v>
      </c>
      <c r="AM106" s="8">
        <f>AL106/AL$224</f>
        <v>1.4365852543019736E-3</v>
      </c>
      <c r="AN106" s="3">
        <f>(AM106*$B$406)</f>
        <v>1953.1597526267346</v>
      </c>
      <c r="AO106" s="3">
        <f>AN106+AK106</f>
        <v>5336.2515462786469</v>
      </c>
      <c r="AP106" s="113">
        <f>$AO106/$AI106</f>
        <v>0.21261173378483228</v>
      </c>
      <c r="AQ106" s="3">
        <f>AB106+AD106+AH106</f>
        <v>-9019.4170000000013</v>
      </c>
      <c r="AR106" s="3">
        <f>AQ106+AO106</f>
        <v>-3683.1654537213544</v>
      </c>
      <c r="AS106" s="113">
        <f>AR106/AI106</f>
        <v>-0.14674799082104678</v>
      </c>
      <c r="AT106" s="70"/>
      <c r="AU106" s="70"/>
      <c r="AV106" s="70"/>
      <c r="AW106" s="3"/>
      <c r="BA106" s="3"/>
      <c r="BB106" s="3"/>
      <c r="BC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</row>
    <row r="107" spans="1:68" ht="22.2" customHeight="1" x14ac:dyDescent="0.3">
      <c r="A107" s="2" t="s">
        <v>856</v>
      </c>
      <c r="B107" s="3">
        <v>0</v>
      </c>
      <c r="C107" s="88">
        <f>$B107/$AI107</f>
        <v>0</v>
      </c>
      <c r="D107" s="3">
        <v>600</v>
      </c>
      <c r="E107" s="88">
        <f>$D107/$AI107</f>
        <v>2.6034646126025129E-2</v>
      </c>
      <c r="F107" s="3">
        <v>91.28</v>
      </c>
      <c r="G107" s="88">
        <f>$F107/$AI107</f>
        <v>3.9607374973059566E-3</v>
      </c>
      <c r="H107" s="3">
        <v>0</v>
      </c>
      <c r="I107" s="88">
        <f>$H107/$AI107</f>
        <v>0</v>
      </c>
      <c r="J107" s="3">
        <v>2874.3759999999997</v>
      </c>
      <c r="K107" s="88">
        <f>$J107/$AI107</f>
        <v>0.124722269988566</v>
      </c>
      <c r="L107" s="3"/>
      <c r="M107" s="88">
        <f>$L107/$AI107</f>
        <v>0</v>
      </c>
      <c r="N107" s="3"/>
      <c r="O107" s="88">
        <f>$N107/$AI107</f>
        <v>0</v>
      </c>
      <c r="P107" s="3">
        <v>31.02</v>
      </c>
      <c r="Q107" s="88">
        <f>$P107/$AI107</f>
        <v>1.3459912047154993E-3</v>
      </c>
      <c r="R107" s="3">
        <v>2515.4790000000003</v>
      </c>
      <c r="S107" s="88">
        <f>$R107/$AI107</f>
        <v>0.10914934267074596</v>
      </c>
      <c r="U107" s="88">
        <f>$T107/$AI107</f>
        <v>0</v>
      </c>
      <c r="W107" s="88">
        <f>$V107/$AI107</f>
        <v>0</v>
      </c>
      <c r="X107" s="3">
        <v>89.67</v>
      </c>
      <c r="Y107" s="88">
        <f>$X107/$AI107</f>
        <v>3.8908778635344558E-3</v>
      </c>
      <c r="Z107" s="3">
        <v>81.421000000000006</v>
      </c>
      <c r="AA107" s="88">
        <f>$Z107/$AI107</f>
        <v>3.5329448703784873E-3</v>
      </c>
      <c r="AB107" s="56">
        <v>6283.2460000000001</v>
      </c>
      <c r="AC107" s="88">
        <f>$AB107/AI107</f>
        <v>0.27263681022127151</v>
      </c>
      <c r="AD107" s="101">
        <v>13400.297</v>
      </c>
      <c r="AE107" s="88">
        <f>$AD107/$AI107</f>
        <v>0.58145331729772698</v>
      </c>
      <c r="AF107" s="3">
        <v>-20161.513999999999</v>
      </c>
      <c r="AG107" s="3">
        <v>-2884.6990000000001</v>
      </c>
      <c r="AH107" s="89">
        <f>SUM(AF107,AG107)</f>
        <v>-23046.213</v>
      </c>
      <c r="AI107" s="3">
        <f>((AF107+AG107)*-1)</f>
        <v>23046.213</v>
      </c>
      <c r="AJ107" s="8">
        <f>AI107/($AI$224)</f>
        <v>1.7587084844968301E-3</v>
      </c>
      <c r="AK107" s="56">
        <f>AJ107*($G$260+$G$313-$B$406)</f>
        <v>3106.449432888282</v>
      </c>
      <c r="AL107" s="3">
        <v>4461.4279903962206</v>
      </c>
      <c r="AM107" s="8">
        <f>AL107/AL$224</f>
        <v>9.4685888660964417E-4</v>
      </c>
      <c r="AN107" s="3">
        <f>(AM107*$B$406)</f>
        <v>1287.335132533789</v>
      </c>
      <c r="AO107" s="3">
        <f>AN107+AK107</f>
        <v>4393.784565422071</v>
      </c>
      <c r="AP107" s="113">
        <f>$AO107/$AI107</f>
        <v>0.19065104385792456</v>
      </c>
      <c r="AQ107" s="3">
        <f>AB107+AD107+AH107</f>
        <v>-3362.6699999999983</v>
      </c>
      <c r="AR107" s="3">
        <f>AQ107+AO107</f>
        <v>1031.1145654220727</v>
      </c>
      <c r="AS107" s="113">
        <f>AR107/AI107</f>
        <v>4.4741171376923086E-2</v>
      </c>
      <c r="AT107" s="70"/>
      <c r="AU107" s="70"/>
      <c r="AV107" s="70"/>
      <c r="AW107" s="3"/>
      <c r="BA107" s="3"/>
      <c r="BB107" s="3"/>
      <c r="BC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</row>
    <row r="108" spans="1:68" ht="22.2" customHeight="1" x14ac:dyDescent="0.3">
      <c r="A108" s="2" t="s">
        <v>857</v>
      </c>
      <c r="B108" s="3">
        <v>0</v>
      </c>
      <c r="C108" s="88">
        <f>$B108/$AI108</f>
        <v>0</v>
      </c>
      <c r="D108" s="3">
        <v>3230</v>
      </c>
      <c r="E108" s="88">
        <f>$D108/$AI108</f>
        <v>4.1215350076548259E-2</v>
      </c>
      <c r="F108" s="3">
        <v>50</v>
      </c>
      <c r="G108" s="88">
        <f>$F108/$AI108</f>
        <v>6.3800851511684612E-4</v>
      </c>
      <c r="H108" s="3">
        <v>0</v>
      </c>
      <c r="I108" s="88">
        <f>$H108/$AI108</f>
        <v>0</v>
      </c>
      <c r="J108" s="3">
        <v>6034.826</v>
      </c>
      <c r="K108" s="88">
        <f>$J108/$AI108</f>
        <v>7.700540750497073E-2</v>
      </c>
      <c r="L108" s="3"/>
      <c r="M108" s="88">
        <f>$L108/$AI108</f>
        <v>0</v>
      </c>
      <c r="N108" s="3"/>
      <c r="O108" s="88">
        <f>$N108/$AI108</f>
        <v>0</v>
      </c>
      <c r="P108" s="3">
        <v>177.81</v>
      </c>
      <c r="Q108" s="88">
        <f>$P108/$AI108</f>
        <v>2.2688858814585281E-3</v>
      </c>
      <c r="R108" s="3">
        <v>93.927999999999997</v>
      </c>
      <c r="S108" s="88">
        <f>$R108/$AI108</f>
        <v>1.1985372761579025E-3</v>
      </c>
      <c r="U108" s="88">
        <f>$T108/$AI108</f>
        <v>0</v>
      </c>
      <c r="W108" s="88">
        <f>$V108/$AI108</f>
        <v>0</v>
      </c>
      <c r="X108" s="3">
        <v>305.78999999999996</v>
      </c>
      <c r="Y108" s="88">
        <f>$X108/$AI108</f>
        <v>3.9019324767516073E-3</v>
      </c>
      <c r="Z108" s="3">
        <v>623.95699999999999</v>
      </c>
      <c r="AA108" s="88">
        <f>$Z108/$AI108</f>
        <v>7.96179758133524E-3</v>
      </c>
      <c r="AB108" s="56">
        <v>10516.311</v>
      </c>
      <c r="AC108" s="88">
        <f>$AB108/AI108</f>
        <v>0.13418991931233912</v>
      </c>
      <c r="AD108" s="101">
        <v>35314.786</v>
      </c>
      <c r="AE108" s="88">
        <f>$AD108/$AI108</f>
        <v>0.45062268355058371</v>
      </c>
      <c r="AF108" s="3">
        <v>-68731.619000000006</v>
      </c>
      <c r="AG108" s="3">
        <v>-9637.241</v>
      </c>
      <c r="AH108" s="89">
        <f>SUM(AF108,AG108)</f>
        <v>-78368.86</v>
      </c>
      <c r="AI108" s="3">
        <f>((AF108+AG108)*-1)</f>
        <v>78368.86</v>
      </c>
      <c r="AJ108" s="8">
        <f>AI108/($AI$224)</f>
        <v>5.9805044326520914E-3</v>
      </c>
      <c r="AK108" s="56">
        <f>AJ108*($G$260+$G$313-$B$406)</f>
        <v>10563.509965958448</v>
      </c>
      <c r="AL108" s="3">
        <v>26187.194311718467</v>
      </c>
      <c r="AM108" s="8">
        <f>AL108/AL$224</f>
        <v>5.5577670877574904E-3</v>
      </c>
      <c r="AN108" s="3">
        <f>(AM108*$B$406)</f>
        <v>7556.2567259928437</v>
      </c>
      <c r="AO108" s="3">
        <f>AN108+AK108</f>
        <v>18119.766691951292</v>
      </c>
      <c r="AP108" s="113">
        <f>$AO108/$AI108</f>
        <v>0.23121130882791063</v>
      </c>
      <c r="AQ108" s="3">
        <f>AB108+AD108+AH108</f>
        <v>-32537.762999999999</v>
      </c>
      <c r="AR108" s="3">
        <f>AQ108+AO108</f>
        <v>-14417.996308048707</v>
      </c>
      <c r="AS108" s="113">
        <f>AR108/AI108</f>
        <v>-0.18397608830916651</v>
      </c>
      <c r="AT108" s="70"/>
      <c r="AU108" s="70"/>
      <c r="AV108" s="70"/>
      <c r="AW108" s="3"/>
      <c r="BA108" s="3"/>
      <c r="BB108" s="3"/>
      <c r="BC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</row>
    <row r="109" spans="1:68" ht="22.2" customHeight="1" x14ac:dyDescent="0.3">
      <c r="A109" s="2" t="s">
        <v>858</v>
      </c>
      <c r="B109" s="3">
        <v>0</v>
      </c>
      <c r="C109" s="88">
        <f>$B109/$AI109</f>
        <v>0</v>
      </c>
      <c r="D109" s="3">
        <v>1400</v>
      </c>
      <c r="E109" s="88">
        <f>$D109/$AI109</f>
        <v>3.7284028933471706E-2</v>
      </c>
      <c r="F109" s="3">
        <v>0</v>
      </c>
      <c r="G109" s="88">
        <f>$F109/$AI109</f>
        <v>0</v>
      </c>
      <c r="H109" s="3">
        <v>0</v>
      </c>
      <c r="I109" s="88">
        <f>$H109/$AI109</f>
        <v>0</v>
      </c>
      <c r="J109" s="3">
        <v>4979.4400000000005</v>
      </c>
      <c r="K109" s="88">
        <f>$J109/$AI109</f>
        <v>0.13260970359463312</v>
      </c>
      <c r="L109" s="3"/>
      <c r="M109" s="88">
        <f>$L109/$AI109</f>
        <v>0</v>
      </c>
      <c r="N109" s="3"/>
      <c r="O109" s="88">
        <f>$N109/$AI109</f>
        <v>0</v>
      </c>
      <c r="P109" s="3"/>
      <c r="Q109" s="88">
        <f>$P109/$AI109</f>
        <v>0</v>
      </c>
      <c r="R109" s="3">
        <v>166.94900000000001</v>
      </c>
      <c r="S109" s="88">
        <f>$R109/$AI109</f>
        <v>4.446093818867263E-3</v>
      </c>
      <c r="U109" s="88">
        <f>$T109/$AI109</f>
        <v>0</v>
      </c>
      <c r="W109" s="88">
        <f>$V109/$AI109</f>
        <v>0</v>
      </c>
      <c r="X109" s="3">
        <v>246.23999999999998</v>
      </c>
      <c r="Y109" s="88">
        <f>$X109/$AI109</f>
        <v>6.5577280604129087E-3</v>
      </c>
      <c r="Z109" s="3">
        <v>90.603000000000009</v>
      </c>
      <c r="AA109" s="88">
        <f>$Z109/$AI109</f>
        <v>2.412889195328098E-3</v>
      </c>
      <c r="AB109" s="56">
        <v>6883.232</v>
      </c>
      <c r="AC109" s="88">
        <f>$AB109/AI109</f>
        <v>0.18331044360271309</v>
      </c>
      <c r="AD109" s="101">
        <v>15926.401</v>
      </c>
      <c r="AE109" s="88">
        <f>$AD109/$AI109</f>
        <v>0.42414313977862339</v>
      </c>
      <c r="AF109" s="3">
        <v>-32561.026000000002</v>
      </c>
      <c r="AG109" s="3">
        <v>-4988.5640000000003</v>
      </c>
      <c r="AH109" s="89">
        <f>SUM(AF109,AG109)</f>
        <v>-37549.590000000004</v>
      </c>
      <c r="AI109" s="3">
        <f>((AF109+AG109)*-1)</f>
        <v>37549.590000000004</v>
      </c>
      <c r="AJ109" s="8">
        <f>AI109/($AI$224)</f>
        <v>2.8654938892727117E-3</v>
      </c>
      <c r="AK109" s="56">
        <f>AJ109*($G$260+$G$313-$B$406)</f>
        <v>5061.3913253638457</v>
      </c>
      <c r="AL109" s="3">
        <v>13899.826280384212</v>
      </c>
      <c r="AM109" s="8">
        <f>AL109/AL$224</f>
        <v>2.9499913624613312E-3</v>
      </c>
      <c r="AN109" s="3">
        <f>(AM109*$B$406)</f>
        <v>4010.7639852920511</v>
      </c>
      <c r="AO109" s="3">
        <f>AN109+AK109</f>
        <v>9072.1553106558968</v>
      </c>
      <c r="AP109" s="113">
        <f>$AO109/$AI109</f>
        <v>0.24160464363674533</v>
      </c>
      <c r="AQ109" s="3">
        <f>AB109+AD109+AH109</f>
        <v>-14739.957000000002</v>
      </c>
      <c r="AR109" s="3">
        <f>AQ109+AO109</f>
        <v>-5667.8016893441054</v>
      </c>
      <c r="AS109" s="113">
        <f>AR109/AI109</f>
        <v>-0.15094177298191816</v>
      </c>
      <c r="AT109" s="70"/>
      <c r="AU109" s="70"/>
      <c r="AV109" s="70"/>
      <c r="AW109" s="3"/>
      <c r="BA109" s="3"/>
      <c r="BB109" s="3"/>
      <c r="BC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</row>
    <row r="110" spans="1:68" ht="22.2" customHeight="1" x14ac:dyDescent="0.3">
      <c r="A110" s="2" t="s">
        <v>859</v>
      </c>
      <c r="B110" s="3">
        <v>0</v>
      </c>
      <c r="C110" s="88">
        <f>$B110/$AI110</f>
        <v>0</v>
      </c>
      <c r="D110" s="3">
        <v>398.56</v>
      </c>
      <c r="E110" s="88">
        <f>$D110/$AI110</f>
        <v>1.2525004205536653E-2</v>
      </c>
      <c r="F110" s="3">
        <v>9.66</v>
      </c>
      <c r="G110" s="88">
        <f>$F110/$AI110</f>
        <v>3.0357170971869748E-4</v>
      </c>
      <c r="H110" s="3">
        <v>0</v>
      </c>
      <c r="I110" s="88">
        <f>$H110/$AI110</f>
        <v>0</v>
      </c>
      <c r="J110" s="3">
        <v>2206.4009999999998</v>
      </c>
      <c r="K110" s="88">
        <f>$J110/$AI110</f>
        <v>6.9337569761391701E-2</v>
      </c>
      <c r="L110" s="3"/>
      <c r="M110" s="88">
        <f>$L110/$AI110</f>
        <v>0</v>
      </c>
      <c r="N110" s="3"/>
      <c r="O110" s="88">
        <f>$N110/$AI110</f>
        <v>0</v>
      </c>
      <c r="P110" s="3">
        <v>70.77</v>
      </c>
      <c r="Q110" s="88">
        <f>$P110/$AI110</f>
        <v>2.2239927429391531E-3</v>
      </c>
      <c r="R110" s="3">
        <v>202.87099999999998</v>
      </c>
      <c r="S110" s="88">
        <f>$R110/$AI110</f>
        <v>6.3753515861637543E-3</v>
      </c>
      <c r="U110" s="88">
        <f>$T110/$AI110</f>
        <v>0</v>
      </c>
      <c r="W110" s="88">
        <f>$V110/$AI110</f>
        <v>0</v>
      </c>
      <c r="X110" s="3">
        <v>182.17000000000002</v>
      </c>
      <c r="Y110" s="88">
        <f>$X110/$AI110</f>
        <v>5.724809353980862E-3</v>
      </c>
      <c r="Z110" s="3">
        <v>43.048999999999999</v>
      </c>
      <c r="AA110" s="88">
        <f>$Z110/$AI110</f>
        <v>1.3528424981035412E-3</v>
      </c>
      <c r="AB110" s="56">
        <v>3113.4809999999998</v>
      </c>
      <c r="AC110" s="88">
        <f>$AB110/AI110</f>
        <v>9.7843141857834354E-2</v>
      </c>
      <c r="AD110" s="101">
        <v>16405.623</v>
      </c>
      <c r="AE110" s="88">
        <f>$AD110/$AI110</f>
        <v>0.51555724876919118</v>
      </c>
      <c r="AF110" s="3">
        <v>-27918.101999999999</v>
      </c>
      <c r="AG110" s="3">
        <v>-3903.0450000000001</v>
      </c>
      <c r="AH110" s="89">
        <f>SUM(AF110,AG110)</f>
        <v>-31821.146999999997</v>
      </c>
      <c r="AI110" s="3">
        <f>((AF110+AG110)*-1)</f>
        <v>31821.146999999997</v>
      </c>
      <c r="AJ110" s="8">
        <f>AI110/($AI$224)</f>
        <v>2.4283434859914228E-3</v>
      </c>
      <c r="AK110" s="56">
        <f>AJ110*($G$260+$G$313-$B$406)</f>
        <v>4289.2419701234485</v>
      </c>
      <c r="AL110" s="3">
        <v>9655.3086479265603</v>
      </c>
      <c r="AM110" s="8">
        <f>AL110/AL$224</f>
        <v>2.0491678484843793E-3</v>
      </c>
      <c r="AN110" s="3">
        <f>(AM110*$B$406)</f>
        <v>2786.0178545276262</v>
      </c>
      <c r="AO110" s="3">
        <f>AN110+AK110</f>
        <v>7075.2598246510752</v>
      </c>
      <c r="AP110" s="113">
        <f>$AO110/$AI110</f>
        <v>0.22234458816494188</v>
      </c>
      <c r="AQ110" s="3">
        <f>AB110+AD110+AH110</f>
        <v>-12302.042999999998</v>
      </c>
      <c r="AR110" s="3">
        <f>AQ110+AO110</f>
        <v>-5226.7831753489227</v>
      </c>
      <c r="AS110" s="113">
        <f>AR110/AI110</f>
        <v>-0.16425502120803259</v>
      </c>
      <c r="AT110" s="70"/>
      <c r="AU110" s="70"/>
      <c r="AV110" s="70"/>
      <c r="AW110" s="3"/>
      <c r="BA110" s="3"/>
      <c r="BB110" s="3"/>
      <c r="BC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</row>
    <row r="111" spans="1:68" ht="22.2" customHeight="1" x14ac:dyDescent="0.3">
      <c r="A111" s="2" t="s">
        <v>860</v>
      </c>
      <c r="B111" s="3">
        <v>0</v>
      </c>
      <c r="C111" s="88">
        <f>$B111/$AI111</f>
        <v>0</v>
      </c>
      <c r="D111" s="3">
        <v>1700</v>
      </c>
      <c r="E111" s="88">
        <f>$D111/$AI111</f>
        <v>2.855543752641378E-2</v>
      </c>
      <c r="F111" s="3">
        <v>0</v>
      </c>
      <c r="G111" s="88">
        <f>$F111/$AI111</f>
        <v>0</v>
      </c>
      <c r="H111" s="3">
        <v>47.2</v>
      </c>
      <c r="I111" s="88">
        <f>$H111/$AI111</f>
        <v>7.9283332426278259E-4</v>
      </c>
      <c r="J111" s="3">
        <v>5675.4560000000001</v>
      </c>
      <c r="K111" s="88">
        <f>$J111/$AI111</f>
        <v>9.5332428965829552E-2</v>
      </c>
      <c r="L111" s="3"/>
      <c r="M111" s="88">
        <f>$L111/$AI111</f>
        <v>0</v>
      </c>
      <c r="N111" s="3">
        <v>2.2799999999999998</v>
      </c>
      <c r="O111" s="88">
        <f>$N111/$AI111</f>
        <v>3.8297880917778477E-5</v>
      </c>
      <c r="P111" s="3">
        <v>118.69</v>
      </c>
      <c r="Q111" s="88">
        <f>$P111/$AI111</f>
        <v>1.9936734588294419E-3</v>
      </c>
      <c r="R111" s="3">
        <v>1711.4199999999998</v>
      </c>
      <c r="S111" s="88">
        <f>$R111/$AI111</f>
        <v>2.8747262877326509E-2</v>
      </c>
      <c r="U111" s="88">
        <f>$T111/$AI111</f>
        <v>0</v>
      </c>
      <c r="W111" s="88">
        <f>$V111/$AI111</f>
        <v>0</v>
      </c>
      <c r="X111" s="3">
        <v>237.29999999999998</v>
      </c>
      <c r="Y111" s="88">
        <f>$X111/$AI111</f>
        <v>3.986003132363523E-3</v>
      </c>
      <c r="Z111" s="3">
        <v>170.643</v>
      </c>
      <c r="AA111" s="88">
        <f>$Z111/$AI111</f>
        <v>2.8663444269528392E-3</v>
      </c>
      <c r="AB111" s="56">
        <v>9662.9889999999996</v>
      </c>
      <c r="AC111" s="88">
        <f>$AB111/AI111</f>
        <v>0.16231228159289621</v>
      </c>
      <c r="AD111" s="101">
        <v>29007.708000000002</v>
      </c>
      <c r="AE111" s="88">
        <f>$AD111/$AI111</f>
        <v>0.4872516432814431</v>
      </c>
      <c r="AF111" s="3">
        <v>-59522.33</v>
      </c>
      <c r="AG111" s="3">
        <v>-10.99</v>
      </c>
      <c r="AH111" s="89">
        <f>SUM(AF111,AG111)</f>
        <v>-59533.32</v>
      </c>
      <c r="AI111" s="3">
        <f>((AF111+AG111)*-1)</f>
        <v>59533.32</v>
      </c>
      <c r="AJ111" s="8">
        <f>AI111/($AI$224)</f>
        <v>4.5431219000824485E-3</v>
      </c>
      <c r="AK111" s="56">
        <f>AJ111*($G$260+$G$313-$B$406)</f>
        <v>8024.6263519284757</v>
      </c>
      <c r="AL111" s="3">
        <v>18895.736325434955</v>
      </c>
      <c r="AM111" s="8">
        <f>AL111/AL$224</f>
        <v>4.0102845764371049E-3</v>
      </c>
      <c r="AN111" s="3">
        <f>(AM111*$B$406)</f>
        <v>5452.3227269811923</v>
      </c>
      <c r="AO111" s="3">
        <f>AN111+AK111</f>
        <v>13476.949078909667</v>
      </c>
      <c r="AP111" s="113">
        <f>$AO111/$AI111</f>
        <v>0.22637657498203809</v>
      </c>
      <c r="AQ111" s="3">
        <f>AB111+AD111+AH111</f>
        <v>-20862.623</v>
      </c>
      <c r="AR111" s="3">
        <f>AQ111+AO111</f>
        <v>-7385.6739210903324</v>
      </c>
      <c r="AS111" s="113">
        <f>AR111/AI111</f>
        <v>-0.12405950014362264</v>
      </c>
      <c r="AT111" s="70"/>
      <c r="AU111" s="70"/>
      <c r="AV111" s="70"/>
      <c r="AW111" s="3"/>
      <c r="BA111" s="3"/>
      <c r="BB111" s="3"/>
      <c r="BC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</row>
    <row r="112" spans="1:68" ht="22.2" customHeight="1" x14ac:dyDescent="0.3">
      <c r="A112" s="2" t="s">
        <v>861</v>
      </c>
      <c r="B112" s="3">
        <v>0</v>
      </c>
      <c r="C112" s="88">
        <f>$B112/$AI112</f>
        <v>0</v>
      </c>
      <c r="D112" s="3">
        <v>600</v>
      </c>
      <c r="E112" s="88">
        <f>$D112/$AI112</f>
        <v>1.4087627484810961E-2</v>
      </c>
      <c r="F112" s="3">
        <v>133.22999999999999</v>
      </c>
      <c r="G112" s="88">
        <f>$F112/$AI112</f>
        <v>3.1281576830022736E-3</v>
      </c>
      <c r="H112" s="3">
        <v>0</v>
      </c>
      <c r="I112" s="88">
        <f>$H112/$AI112</f>
        <v>0</v>
      </c>
      <c r="J112" s="3">
        <v>3115.6039999999998</v>
      </c>
      <c r="K112" s="88">
        <f>$J112/$AI112</f>
        <v>7.3152447570311613E-2</v>
      </c>
      <c r="L112" s="3"/>
      <c r="M112" s="88">
        <f>$L112/$AI112</f>
        <v>0</v>
      </c>
      <c r="N112" s="3"/>
      <c r="O112" s="88">
        <f>$N112/$AI112</f>
        <v>0</v>
      </c>
      <c r="P112" s="3">
        <v>55.72</v>
      </c>
      <c r="Q112" s="88">
        <f>$P112/$AI112</f>
        <v>1.308271005756111E-3</v>
      </c>
      <c r="R112" s="3">
        <v>104.88300000000001</v>
      </c>
      <c r="S112" s="88">
        <f>$R112/$AI112</f>
        <v>2.4625877224823799E-3</v>
      </c>
      <c r="U112" s="88">
        <f>$T112/$AI112</f>
        <v>0</v>
      </c>
      <c r="W112" s="88">
        <f>$V112/$AI112</f>
        <v>0</v>
      </c>
      <c r="X112" s="3">
        <v>80.930000000000007</v>
      </c>
      <c r="Y112" s="88">
        <f>$X112/$AI112</f>
        <v>1.9001861539095853E-3</v>
      </c>
      <c r="Z112" s="3">
        <v>21.337000000000003</v>
      </c>
      <c r="AA112" s="88">
        <f>$Z112/$AI112</f>
        <v>5.0097951273901913E-4</v>
      </c>
      <c r="AB112" s="56">
        <v>4111.7039999999997</v>
      </c>
      <c r="AC112" s="88">
        <f>$AB112/AI112</f>
        <v>9.6540257133011939E-2</v>
      </c>
      <c r="AD112" s="101">
        <v>21910.65</v>
      </c>
      <c r="AE112" s="88">
        <f>$AD112/$AI112</f>
        <v>0.51444845858345545</v>
      </c>
      <c r="AF112" s="3">
        <v>-36794.833999999988</v>
      </c>
      <c r="AG112" s="3">
        <v>-5795.73</v>
      </c>
      <c r="AH112" s="89">
        <f>SUM(AF112,AG112)</f>
        <v>-42590.563999999984</v>
      </c>
      <c r="AI112" s="3">
        <f>((AF112+AG112)*-1)</f>
        <v>42590.563999999984</v>
      </c>
      <c r="AJ112" s="8">
        <f>AI112/($AI$224)</f>
        <v>3.2501819828839218E-3</v>
      </c>
      <c r="AK112" s="56">
        <f>AJ112*($G$260+$G$313-$B$406)</f>
        <v>5740.875231179717</v>
      </c>
      <c r="AL112" s="3">
        <v>16535.553458441074</v>
      </c>
      <c r="AM112" s="8">
        <f>AL112/AL$224</f>
        <v>3.5093776635725278E-3</v>
      </c>
      <c r="AN112" s="3">
        <f>(AM112*$B$406)</f>
        <v>4771.2972054607353</v>
      </c>
      <c r="AO112" s="3">
        <f>AN112+AK112</f>
        <v>10512.172436640452</v>
      </c>
      <c r="AP112" s="113">
        <f>$AO112/$AI112</f>
        <v>0.24681928223914706</v>
      </c>
      <c r="AQ112" s="3">
        <f>AB112+AD112+AH112</f>
        <v>-16568.209999999985</v>
      </c>
      <c r="AR112" s="3">
        <f>AQ112+AO112</f>
        <v>-6056.0375633595322</v>
      </c>
      <c r="AS112" s="113">
        <f>AR112/AI112</f>
        <v>-0.14219200204438556</v>
      </c>
      <c r="AT112" s="70"/>
      <c r="AU112" s="70"/>
      <c r="AV112" s="70"/>
      <c r="AW112" s="3"/>
      <c r="BA112" s="3"/>
      <c r="BB112" s="3"/>
      <c r="BC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</row>
    <row r="113" spans="1:68" ht="22.2" customHeight="1" x14ac:dyDescent="0.3">
      <c r="A113" s="2" t="s">
        <v>862</v>
      </c>
      <c r="B113" s="3">
        <v>0</v>
      </c>
      <c r="C113" s="88">
        <f>$B113/$AI113</f>
        <v>0</v>
      </c>
      <c r="D113" s="3">
        <v>1365</v>
      </c>
      <c r="E113" s="88">
        <f>$D113/$AI113</f>
        <v>1.7466820207480745E-2</v>
      </c>
      <c r="F113" s="3">
        <v>0</v>
      </c>
      <c r="G113" s="88">
        <f>$F113/$AI113</f>
        <v>0</v>
      </c>
      <c r="H113" s="3">
        <v>0</v>
      </c>
      <c r="I113" s="88">
        <f>$H113/$AI113</f>
        <v>0</v>
      </c>
      <c r="J113" s="3">
        <v>4982.6630000000005</v>
      </c>
      <c r="K113" s="88">
        <f>$J113/$AI113</f>
        <v>6.3759178590085452E-2</v>
      </c>
      <c r="L113" s="3"/>
      <c r="M113" s="88">
        <f>$L113/$AI113</f>
        <v>0</v>
      </c>
      <c r="N113" s="3"/>
      <c r="O113" s="88">
        <f>$N113/$AI113</f>
        <v>0</v>
      </c>
      <c r="P113" s="3"/>
      <c r="Q113" s="88">
        <f>$P113/$AI113</f>
        <v>0</v>
      </c>
      <c r="R113" s="3">
        <v>2155.6479999999997</v>
      </c>
      <c r="S113" s="88">
        <f>$R113/$AI113</f>
        <v>2.7584114319864798E-2</v>
      </c>
      <c r="U113" s="88">
        <f>$T113/$AI113</f>
        <v>0</v>
      </c>
      <c r="W113" s="88">
        <f>$V113/$AI113</f>
        <v>0</v>
      </c>
      <c r="X113" s="3">
        <v>370.19</v>
      </c>
      <c r="Y113" s="88">
        <f>$X113/$AI113</f>
        <v>4.7370272326793389E-3</v>
      </c>
      <c r="Z113" s="3">
        <v>445.07100000000003</v>
      </c>
      <c r="AA113" s="88">
        <f>$Z113/$AI113</f>
        <v>5.6952198802664201E-3</v>
      </c>
      <c r="AB113" s="56">
        <v>9318.5720000000001</v>
      </c>
      <c r="AC113" s="88">
        <f>$AB113/AI113</f>
        <v>0.11924236023037675</v>
      </c>
      <c r="AD113" s="101">
        <v>37700.548000000003</v>
      </c>
      <c r="AE113" s="88">
        <f>$AD113/$AI113</f>
        <v>0.48242395138424748</v>
      </c>
      <c r="AF113" s="3">
        <v>-68257.936999999991</v>
      </c>
      <c r="AG113" s="3">
        <v>-9890.2309999999998</v>
      </c>
      <c r="AH113" s="89">
        <f>SUM(AF113,AG113)</f>
        <v>-78148.167999999991</v>
      </c>
      <c r="AI113" s="3">
        <f>((AF113+AG113)*-1)</f>
        <v>78148.167999999991</v>
      </c>
      <c r="AJ113" s="8">
        <f>AI113/($AI$224)</f>
        <v>5.963662928459598E-3</v>
      </c>
      <c r="AK113" s="56">
        <f>AJ113*($G$260+$G$313-$B$406)</f>
        <v>10533.762408811293</v>
      </c>
      <c r="AL113" s="3">
        <v>26015.041851222068</v>
      </c>
      <c r="AM113" s="8">
        <f>AL113/AL$224</f>
        <v>5.5212307842637167E-3</v>
      </c>
      <c r="AN113" s="3">
        <f>(AM113*$B$406)</f>
        <v>7506.5825160703234</v>
      </c>
      <c r="AO113" s="3">
        <f>AN113+AK113</f>
        <v>18040.344924881618</v>
      </c>
      <c r="AP113" s="113">
        <f>$AO113/$AI113</f>
        <v>0.23084795698450181</v>
      </c>
      <c r="AQ113" s="3">
        <f>AB113+AD113+AH113</f>
        <v>-31129.047999999988</v>
      </c>
      <c r="AR113" s="3">
        <f>AQ113+AO113</f>
        <v>-13088.70307511837</v>
      </c>
      <c r="AS113" s="113">
        <f>AR113/AI113</f>
        <v>-0.16748573140087394</v>
      </c>
      <c r="AT113" s="70"/>
      <c r="AU113" s="70"/>
      <c r="AV113" s="70"/>
      <c r="AW113" s="3"/>
      <c r="BA113" s="3"/>
      <c r="BB113" s="3"/>
      <c r="BC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</row>
    <row r="114" spans="1:68" ht="22.2" customHeight="1" x14ac:dyDescent="0.3">
      <c r="A114" s="2" t="s">
        <v>863</v>
      </c>
      <c r="B114" s="3">
        <v>0</v>
      </c>
      <c r="C114" s="88">
        <f>$B114/$AI114</f>
        <v>0</v>
      </c>
      <c r="D114" s="3">
        <v>780</v>
      </c>
      <c r="E114" s="88">
        <f>$D114/$AI114</f>
        <v>1.7898710235003411E-2</v>
      </c>
      <c r="F114" s="3">
        <v>527.97</v>
      </c>
      <c r="G114" s="88">
        <f>$F114/$AI114</f>
        <v>1.2115361593300962E-2</v>
      </c>
      <c r="H114" s="3">
        <v>0</v>
      </c>
      <c r="I114" s="88">
        <f>$H114/$AI114</f>
        <v>0</v>
      </c>
      <c r="J114" s="3">
        <v>3393.2339999999999</v>
      </c>
      <c r="K114" s="88">
        <f>$J114/$AI114</f>
        <v>7.7864759135335332E-2</v>
      </c>
      <c r="L114" s="3"/>
      <c r="M114" s="88">
        <f>$L114/$AI114</f>
        <v>0</v>
      </c>
      <c r="N114" s="3"/>
      <c r="O114" s="88">
        <f>$N114/$AI114</f>
        <v>0</v>
      </c>
      <c r="P114" s="3">
        <v>36.520000000000003</v>
      </c>
      <c r="Q114" s="88">
        <f>$P114/$AI114</f>
        <v>8.3802679202862125E-4</v>
      </c>
      <c r="R114" s="3">
        <v>2442.5050000000001</v>
      </c>
      <c r="S114" s="88">
        <f>$R114/$AI114</f>
        <v>5.6048319541726933E-2</v>
      </c>
      <c r="U114" s="88">
        <f>$T114/$AI114</f>
        <v>0</v>
      </c>
      <c r="W114" s="88">
        <f>$V114/$AI114</f>
        <v>0</v>
      </c>
      <c r="X114" s="3">
        <v>245.31</v>
      </c>
      <c r="Y114" s="88">
        <f>$X114/$AI114</f>
        <v>5.6291443689085729E-3</v>
      </c>
      <c r="Z114" s="3">
        <v>28.087</v>
      </c>
      <c r="AA114" s="88">
        <f>$Z114/$AI114</f>
        <v>6.4451419791094968E-4</v>
      </c>
      <c r="AB114" s="56">
        <v>7453.6260000000002</v>
      </c>
      <c r="AC114" s="88">
        <f>$AB114/AI114</f>
        <v>0.17103883586421478</v>
      </c>
      <c r="AD114" s="101">
        <v>22756.239000000001</v>
      </c>
      <c r="AE114" s="88">
        <f>$AD114/$AI114</f>
        <v>0.52218888192241508</v>
      </c>
      <c r="AF114" s="3">
        <v>-38584.902000000002</v>
      </c>
      <c r="AG114" s="3">
        <v>-4993.6570000000002</v>
      </c>
      <c r="AH114" s="89">
        <f>SUM(AF114,AG114)</f>
        <v>-43578.559000000001</v>
      </c>
      <c r="AI114" s="3">
        <f>((AF114+AG114)*-1)</f>
        <v>43578.559000000001</v>
      </c>
      <c r="AJ114" s="8">
        <f>AI114/($AI$224)</f>
        <v>3.3255781093165151E-3</v>
      </c>
      <c r="AK114" s="56">
        <f>AJ114*($G$260+$G$313-$B$406)</f>
        <v>5874.0492371409791</v>
      </c>
      <c r="AL114" s="3">
        <v>13838.283783963392</v>
      </c>
      <c r="AM114" s="8">
        <f>AL114/AL$224</f>
        <v>2.9369300601685155E-3</v>
      </c>
      <c r="AN114" s="3">
        <f>(AM114*$B$406)</f>
        <v>3993.0060347083145</v>
      </c>
      <c r="AO114" s="3">
        <f>AN114+AK114</f>
        <v>9867.0552718492945</v>
      </c>
      <c r="AP114" s="113">
        <f>$AO114/$AI114</f>
        <v>0.22641995279947863</v>
      </c>
      <c r="AQ114" s="3">
        <f>AB114+AD114+AH114</f>
        <v>-13368.694</v>
      </c>
      <c r="AR114" s="3">
        <f>AQ114+AO114</f>
        <v>-3501.638728150705</v>
      </c>
      <c r="AS114" s="113">
        <f>AR114/AI114</f>
        <v>-8.0352329413891477E-2</v>
      </c>
      <c r="AT114" s="70"/>
      <c r="AU114" s="70"/>
      <c r="AV114" s="70"/>
      <c r="AW114" s="3"/>
      <c r="BA114" s="3"/>
      <c r="BB114" s="3"/>
      <c r="BC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</row>
    <row r="115" spans="1:68" ht="22.2" customHeight="1" x14ac:dyDescent="0.3">
      <c r="A115" s="2" t="s">
        <v>864</v>
      </c>
      <c r="B115" s="3">
        <v>0</v>
      </c>
      <c r="C115" s="88">
        <v>0</v>
      </c>
      <c r="D115" s="3">
        <v>3000</v>
      </c>
      <c r="E115" s="88">
        <v>0</v>
      </c>
      <c r="F115" s="3">
        <v>0</v>
      </c>
      <c r="G115" s="88">
        <v>0</v>
      </c>
      <c r="H115" s="3">
        <v>0</v>
      </c>
      <c r="I115" s="88">
        <v>0</v>
      </c>
      <c r="J115" s="3">
        <v>7944.6330000000007</v>
      </c>
      <c r="K115" s="88">
        <v>0</v>
      </c>
      <c r="L115" s="3"/>
      <c r="M115" s="88">
        <v>0</v>
      </c>
      <c r="N115" s="3"/>
      <c r="O115" s="88">
        <v>0</v>
      </c>
      <c r="P115" s="3">
        <v>79.33</v>
      </c>
      <c r="Q115" s="88">
        <v>0</v>
      </c>
      <c r="R115" s="3">
        <v>886.66000000000008</v>
      </c>
      <c r="S115" s="88">
        <v>0</v>
      </c>
      <c r="U115" s="88">
        <v>0</v>
      </c>
      <c r="W115" s="88">
        <f>$V115/$AI115</f>
        <v>0</v>
      </c>
      <c r="X115" s="3">
        <v>310.20000000000005</v>
      </c>
      <c r="Y115" s="88">
        <v>0</v>
      </c>
      <c r="Z115" s="3">
        <v>57.445</v>
      </c>
      <c r="AA115" s="88">
        <v>0</v>
      </c>
      <c r="AB115" s="56">
        <v>12278.268000000002</v>
      </c>
      <c r="AC115" s="88">
        <f>$AB115/AI115</f>
        <v>0.12194098115814607</v>
      </c>
      <c r="AD115" s="101">
        <v>49632.912000000004</v>
      </c>
      <c r="AE115" s="88">
        <f>$AD115/$AI115</f>
        <v>0.49292668860265315</v>
      </c>
      <c r="AF115" s="3">
        <v>-87945.262000000032</v>
      </c>
      <c r="AG115" s="3">
        <v>-12744.989</v>
      </c>
      <c r="AH115" s="89">
        <f>SUM(AF115,AG115)</f>
        <v>-100690.25100000003</v>
      </c>
      <c r="AI115" s="3">
        <f>((AF115+AG115)*-1)</f>
        <v>100690.25100000003</v>
      </c>
      <c r="AJ115" s="8">
        <f>AI115/($AI$224)</f>
        <v>7.6839001158157949E-3</v>
      </c>
      <c r="AK115" s="56">
        <f>AJ115*($G$260+$G$313-$B$406)</f>
        <v>13572.259056892724</v>
      </c>
      <c r="AL115" s="3">
        <v>34435.889938102977</v>
      </c>
      <c r="AM115" s="8">
        <f>AL115/AL$224</f>
        <v>7.3084062942162815E-3</v>
      </c>
      <c r="AN115" s="3">
        <f>(AM115*$B$406)</f>
        <v>9936.3995189015168</v>
      </c>
      <c r="AO115" s="3">
        <f>AN115+AK115</f>
        <v>23508.658575794241</v>
      </c>
      <c r="AP115" s="113">
        <v>0</v>
      </c>
      <c r="AQ115" s="3">
        <f>AB115+AD115+AH115</f>
        <v>-38779.071000000025</v>
      </c>
      <c r="AR115" s="3">
        <f>AQ115+AO115</f>
        <v>-15270.412424205784</v>
      </c>
      <c r="AS115" s="113">
        <f>AR115/AI115</f>
        <v>-0.15165730815593834</v>
      </c>
      <c r="AT115" s="70"/>
      <c r="AU115" s="70"/>
      <c r="AV115" s="70"/>
      <c r="AW115" s="3"/>
      <c r="BA115" s="3"/>
      <c r="BB115" s="3"/>
      <c r="BC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</row>
    <row r="116" spans="1:68" ht="22.2" customHeight="1" x14ac:dyDescent="0.3">
      <c r="A116" s="2" t="s">
        <v>865</v>
      </c>
      <c r="B116" s="3">
        <v>0</v>
      </c>
      <c r="C116" s="88">
        <f>$B116/$AI116</f>
        <v>0</v>
      </c>
      <c r="D116" s="3">
        <v>650</v>
      </c>
      <c r="E116" s="88">
        <f>$D116/$AI116</f>
        <v>2.1415385669680528E-2</v>
      </c>
      <c r="F116" s="3">
        <v>0</v>
      </c>
      <c r="G116" s="88">
        <f>$F116/$AI116</f>
        <v>0</v>
      </c>
      <c r="H116" s="3">
        <v>0</v>
      </c>
      <c r="I116" s="88">
        <f>$H116/$AI116</f>
        <v>0</v>
      </c>
      <c r="J116" s="3">
        <v>2081.828</v>
      </c>
      <c r="K116" s="88">
        <f>$J116/$AI116</f>
        <v>6.8589460796830273E-2</v>
      </c>
      <c r="L116" s="3"/>
      <c r="M116" s="88">
        <f>$L116/$AI116</f>
        <v>0</v>
      </c>
      <c r="N116" s="3">
        <v>85</v>
      </c>
      <c r="O116" s="88">
        <f>$N116/$AI116</f>
        <v>2.8004735106505309E-3</v>
      </c>
      <c r="P116" s="3">
        <v>303.83999999999997</v>
      </c>
      <c r="Q116" s="88">
        <f>$P116/$AI116</f>
        <v>1.0010539664424202E-2</v>
      </c>
      <c r="R116" s="3">
        <v>31.923000000000002</v>
      </c>
      <c r="S116" s="88">
        <f>$R116/$AI116</f>
        <v>1.0517590103587869E-3</v>
      </c>
      <c r="U116" s="88">
        <f>$T116/$AI116</f>
        <v>0</v>
      </c>
      <c r="W116" s="88">
        <f>$V116/$AI116</f>
        <v>0</v>
      </c>
      <c r="X116" s="3">
        <v>130.85000000000002</v>
      </c>
      <c r="Y116" s="88">
        <f>$X116/$AI116</f>
        <v>4.3110818690426118E-3</v>
      </c>
      <c r="Z116" s="3">
        <v>80.86</v>
      </c>
      <c r="AA116" s="88">
        <f>$Z116/$AI116</f>
        <v>2.6640739773082576E-3</v>
      </c>
      <c r="AB116" s="56">
        <v>3364.3010000000004</v>
      </c>
      <c r="AC116" s="88">
        <f>$AB116/AI116</f>
        <v>0.1108427744982952</v>
      </c>
      <c r="AD116" s="101">
        <v>14395.514000000001</v>
      </c>
      <c r="AE116" s="88">
        <f>$AD116/$AI116</f>
        <v>0.47428536034351609</v>
      </c>
      <c r="AF116" s="3">
        <v>-26499.174999999996</v>
      </c>
      <c r="AG116" s="3">
        <v>-3852.835</v>
      </c>
      <c r="AH116" s="89">
        <f>SUM(AF116,AG116)</f>
        <v>-30352.009999999995</v>
      </c>
      <c r="AI116" s="3">
        <f>((AF116+AG116)*-1)</f>
        <v>30352.009999999995</v>
      </c>
      <c r="AJ116" s="8">
        <f>AI116/($AI$224)</f>
        <v>2.3162303285373881E-3</v>
      </c>
      <c r="AK116" s="56">
        <f>AJ116*($G$260+$G$313-$B$406)</f>
        <v>4091.2137821306887</v>
      </c>
      <c r="AL116" s="3">
        <v>9563.2612248820369</v>
      </c>
      <c r="AM116" s="8">
        <f>AL116/AL$224</f>
        <v>2.0296324170738897E-3</v>
      </c>
      <c r="AN116" s="3">
        <f>(AM116*$B$406)</f>
        <v>2759.4577751540505</v>
      </c>
      <c r="AO116" s="3">
        <f>AN116+AK116</f>
        <v>6850.6715572847388</v>
      </c>
      <c r="AP116" s="113">
        <f>$AO116/$AI116</f>
        <v>0.22570734383932861</v>
      </c>
      <c r="AQ116" s="3">
        <f>AB116+AD116+AH116</f>
        <v>-12592.194999999992</v>
      </c>
      <c r="AR116" s="3">
        <f>AQ116+AO116</f>
        <v>-5741.5234427152536</v>
      </c>
      <c r="AS116" s="113">
        <f>AR116/AI116</f>
        <v>-0.18916452131886008</v>
      </c>
      <c r="AT116" s="70"/>
      <c r="AU116" s="70"/>
      <c r="AV116" s="70"/>
      <c r="AW116" s="3"/>
      <c r="BA116" s="3"/>
      <c r="BB116" s="3"/>
      <c r="BC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</row>
    <row r="117" spans="1:68" ht="22.2" customHeight="1" x14ac:dyDescent="0.3">
      <c r="A117" s="2" t="s">
        <v>866</v>
      </c>
      <c r="B117" s="3">
        <v>-2149.59</v>
      </c>
      <c r="C117" s="88">
        <f>$B117/$AI117</f>
        <v>-5.12585613951703E-2</v>
      </c>
      <c r="D117" s="3">
        <v>1080</v>
      </c>
      <c r="E117" s="88">
        <f>$D117/$AI117</f>
        <v>2.5753397767380719E-2</v>
      </c>
      <c r="F117" s="3">
        <v>60</v>
      </c>
      <c r="G117" s="88">
        <f>$F117/$AI117</f>
        <v>1.4307443204100399E-3</v>
      </c>
      <c r="H117" s="3">
        <v>0</v>
      </c>
      <c r="I117" s="88">
        <f>$H117/$AI117</f>
        <v>0</v>
      </c>
      <c r="J117" s="3">
        <v>3258.7429999999999</v>
      </c>
      <c r="K117" s="88">
        <f>$J117/$AI117</f>
        <v>7.770713398209958E-2</v>
      </c>
      <c r="L117" s="3"/>
      <c r="M117" s="88">
        <f>$L117/$AI117</f>
        <v>0</v>
      </c>
      <c r="N117" s="3"/>
      <c r="O117" s="88">
        <f>$N117/$AI117</f>
        <v>0</v>
      </c>
      <c r="P117" s="3">
        <v>68.39</v>
      </c>
      <c r="Q117" s="88">
        <f>$P117/$AI117</f>
        <v>1.6308100678807105E-3</v>
      </c>
      <c r="R117" s="3">
        <v>96.8</v>
      </c>
      <c r="S117" s="88">
        <f>$R117/$AI117</f>
        <v>2.3082675035948643E-3</v>
      </c>
      <c r="U117" s="88">
        <f>$T117/$AI117</f>
        <v>0</v>
      </c>
      <c r="W117" s="88">
        <f>$V117/$AI117</f>
        <v>0</v>
      </c>
      <c r="X117" s="3">
        <v>117.37</v>
      </c>
      <c r="Y117" s="88">
        <f>$X117/$AI117</f>
        <v>2.7987743481087731E-3</v>
      </c>
      <c r="Z117" s="3">
        <v>286.71899999999999</v>
      </c>
      <c r="AA117" s="88">
        <f>$Z117/$AI117</f>
        <v>6.8370263467274371E-3</v>
      </c>
      <c r="AB117" s="56">
        <v>2818.4319999999998</v>
      </c>
      <c r="AC117" s="88">
        <f>$AB117/AI117</f>
        <v>6.7207592941031818E-2</v>
      </c>
      <c r="AD117" s="101">
        <v>20249.29</v>
      </c>
      <c r="AE117" s="88">
        <f>$AD117/$AI117</f>
        <v>0.48285927766393028</v>
      </c>
      <c r="AF117" s="3">
        <v>-37150.006000000001</v>
      </c>
      <c r="AG117" s="3">
        <v>-4786.2079999999996</v>
      </c>
      <c r="AH117" s="89">
        <f>SUM(AF117,AG117)</f>
        <v>-41936.214</v>
      </c>
      <c r="AI117" s="3">
        <f>((AF117+AG117)*-1)</f>
        <v>41936.214</v>
      </c>
      <c r="AJ117" s="8">
        <f>AI117/($AI$224)</f>
        <v>3.2002470587889969E-3</v>
      </c>
      <c r="AK117" s="56">
        <f>AJ117*($G$260+$G$313-$B$406)</f>
        <v>5652.6739641684999</v>
      </c>
      <c r="AL117" s="3">
        <v>19106.824564857092</v>
      </c>
      <c r="AM117" s="8">
        <f>AL117/AL$224</f>
        <v>4.0550843077755642E-3</v>
      </c>
      <c r="AN117" s="3">
        <f>(AM117*$B$406)</f>
        <v>5513.2317693904333</v>
      </c>
      <c r="AO117" s="3">
        <f>AN117+AK117</f>
        <v>11165.905733558933</v>
      </c>
      <c r="AP117" s="113">
        <f>$AO117/$AI117</f>
        <v>0.26625927017538908</v>
      </c>
      <c r="AQ117" s="3">
        <f>AB117+AD117+AH117</f>
        <v>-18868.491999999998</v>
      </c>
      <c r="AR117" s="3">
        <f>AQ117+AO117</f>
        <v>-7702.5862664410652</v>
      </c>
      <c r="AS117" s="113">
        <f>AR117/AI117</f>
        <v>-0.18367385921964879</v>
      </c>
      <c r="AT117" s="70"/>
      <c r="AU117" s="70"/>
      <c r="AV117" s="70"/>
      <c r="AW117" s="3"/>
      <c r="BA117" s="3"/>
      <c r="BB117" s="3"/>
      <c r="BC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</row>
    <row r="118" spans="1:68" ht="22.2" customHeight="1" x14ac:dyDescent="0.3">
      <c r="A118" s="2" t="s">
        <v>867</v>
      </c>
      <c r="B118" s="3">
        <v>0</v>
      </c>
      <c r="C118" s="88">
        <v>0</v>
      </c>
      <c r="D118" s="3">
        <v>0</v>
      </c>
      <c r="E118" s="88">
        <v>0</v>
      </c>
      <c r="F118" s="3">
        <v>0</v>
      </c>
      <c r="G118" s="88">
        <v>0</v>
      </c>
      <c r="H118" s="3">
        <v>0</v>
      </c>
      <c r="I118" s="88">
        <v>0</v>
      </c>
      <c r="J118" s="3">
        <v>0</v>
      </c>
      <c r="K118" s="88">
        <v>0</v>
      </c>
      <c r="L118" s="3"/>
      <c r="M118" s="88">
        <v>0</v>
      </c>
      <c r="N118" s="3"/>
      <c r="O118" s="88">
        <v>0</v>
      </c>
      <c r="P118" s="3">
        <v>45.61</v>
      </c>
      <c r="Q118" s="88">
        <v>0</v>
      </c>
      <c r="R118" s="3"/>
      <c r="S118" s="88">
        <v>0</v>
      </c>
      <c r="U118" s="88">
        <v>0</v>
      </c>
      <c r="W118" s="88">
        <v>0</v>
      </c>
      <c r="X118" s="3">
        <v>28.24</v>
      </c>
      <c r="Y118" s="88">
        <v>0</v>
      </c>
      <c r="AA118" s="88">
        <v>0</v>
      </c>
      <c r="AB118" s="56">
        <v>73.849999999999994</v>
      </c>
      <c r="AC118" s="88">
        <v>0</v>
      </c>
      <c r="AD118" s="101"/>
      <c r="AE118" s="88">
        <v>0</v>
      </c>
      <c r="AF118" s="3">
        <v>0</v>
      </c>
      <c r="AG118" s="3">
        <v>0</v>
      </c>
      <c r="AH118" s="89">
        <f>SUM(AF118,AG118)</f>
        <v>0</v>
      </c>
      <c r="AI118" s="3">
        <f>((AF118+AG118)*-1)</f>
        <v>0</v>
      </c>
      <c r="AJ118" s="8">
        <f>AI118/($AI$224)</f>
        <v>0</v>
      </c>
      <c r="AK118" s="56">
        <f>AJ118*($G$260+$G$313-$B$406)</f>
        <v>0</v>
      </c>
      <c r="AL118" s="3">
        <v>0</v>
      </c>
      <c r="AM118" s="8">
        <f>AL118/AL$224</f>
        <v>0</v>
      </c>
      <c r="AN118" s="3">
        <f>(AM118*$B$406)</f>
        <v>0</v>
      </c>
      <c r="AO118" s="3">
        <f>AN118+AK118</f>
        <v>0</v>
      </c>
      <c r="AP118" s="113">
        <v>0</v>
      </c>
      <c r="AQ118" s="3">
        <f>AB118+AD118+AH118</f>
        <v>73.849999999999994</v>
      </c>
      <c r="AR118" s="3">
        <f>AQ118+AO118</f>
        <v>73.849999999999994</v>
      </c>
      <c r="AS118" s="113">
        <v>0</v>
      </c>
      <c r="AT118" s="70"/>
      <c r="AU118" s="70"/>
      <c r="AV118" s="70"/>
      <c r="AW118" s="3"/>
      <c r="BA118" s="3"/>
      <c r="BB118" s="3"/>
      <c r="BC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</row>
    <row r="119" spans="1:68" ht="22.2" customHeight="1" x14ac:dyDescent="0.3">
      <c r="A119" s="2" t="s">
        <v>868</v>
      </c>
      <c r="B119" s="3">
        <v>0</v>
      </c>
      <c r="C119" s="88">
        <f>$B119/$AI119</f>
        <v>0</v>
      </c>
      <c r="D119" s="3">
        <v>3750</v>
      </c>
      <c r="E119" s="88">
        <f>$D119/$AI119</f>
        <v>5.737751873536643E-2</v>
      </c>
      <c r="F119" s="3">
        <v>0</v>
      </c>
      <c r="G119" s="88">
        <f>$F119/$AI119</f>
        <v>0</v>
      </c>
      <c r="H119" s="3">
        <v>0</v>
      </c>
      <c r="I119" s="88">
        <f>$H119/$AI119</f>
        <v>0</v>
      </c>
      <c r="J119" s="3">
        <v>7538.7890000000007</v>
      </c>
      <c r="K119" s="88">
        <f>$J119/$AI119</f>
        <v>0.11534853522385984</v>
      </c>
      <c r="L119" s="3"/>
      <c r="M119" s="88">
        <f>$L119/$AI119</f>
        <v>0</v>
      </c>
      <c r="N119" s="3"/>
      <c r="O119" s="88">
        <f>$N119/$AI119</f>
        <v>0</v>
      </c>
      <c r="P119" s="3">
        <v>298.27</v>
      </c>
      <c r="Q119" s="88">
        <f>$P119/$AI119</f>
        <v>4.563731336852732E-3</v>
      </c>
      <c r="R119" s="3">
        <v>2407.335</v>
      </c>
      <c r="S119" s="88">
        <f>$R119/$AI119</f>
        <v>3.6833842417280896E-2</v>
      </c>
      <c r="U119" s="88">
        <f>$T119/$AI119</f>
        <v>0</v>
      </c>
      <c r="W119" s="88">
        <f>$V119/$AI119</f>
        <v>0</v>
      </c>
      <c r="X119" s="3">
        <v>92.010999999999996</v>
      </c>
      <c r="Y119" s="88">
        <f>$X119/$AI119</f>
        <v>1.4078301003626135E-3</v>
      </c>
      <c r="Z119" s="3">
        <v>205.47700000000003</v>
      </c>
      <c r="AA119" s="88">
        <f>$Z119/$AI119</f>
        <v>3.1439361112498374E-3</v>
      </c>
      <c r="AB119" s="56">
        <v>14291.882000000003</v>
      </c>
      <c r="AC119" s="88">
        <f>$AB119/AI119</f>
        <v>0.21867539392497237</v>
      </c>
      <c r="AD119" s="101">
        <v>35849.849000000009</v>
      </c>
      <c r="AE119" s="88">
        <f>$AD119/$AI119</f>
        <v>0.54852676870868211</v>
      </c>
      <c r="AF119" s="3">
        <v>-56930.516000000003</v>
      </c>
      <c r="AG119" s="3">
        <v>-8426.0920000000006</v>
      </c>
      <c r="AH119" s="89">
        <f>SUM(AF119,AG119)</f>
        <v>-65356.608000000007</v>
      </c>
      <c r="AI119" s="3">
        <f>((AF119+AG119)*-1)</f>
        <v>65356.608000000007</v>
      </c>
      <c r="AJ119" s="8">
        <f>AI119/($AI$224)</f>
        <v>4.9875101391943831E-3</v>
      </c>
      <c r="AK119" s="56">
        <f>AJ119*($G$260+$G$313-$B$406)</f>
        <v>8809.5600720648436</v>
      </c>
      <c r="AL119" s="3">
        <v>23568.99786211651</v>
      </c>
      <c r="AM119" s="8">
        <f>AL119/AL$224</f>
        <v>5.0021013725353855E-3</v>
      </c>
      <c r="AN119" s="3">
        <f>(AM119*$B$406)</f>
        <v>6800.7819585633915</v>
      </c>
      <c r="AO119" s="3">
        <f>AN119+AK119</f>
        <v>15610.342030628235</v>
      </c>
      <c r="AP119" s="113">
        <f>$AO119/$AI119</f>
        <v>0.23884871795409324</v>
      </c>
      <c r="AQ119" s="3">
        <f>AB119+AD119+AH119</f>
        <v>-15214.876999999993</v>
      </c>
      <c r="AR119" s="3">
        <f>AQ119+AO119</f>
        <v>395.46503062824195</v>
      </c>
      <c r="AS119" s="113">
        <f>AR119/AI119</f>
        <v>6.0508805877477895E-3</v>
      </c>
      <c r="AT119" s="70"/>
      <c r="AU119" s="70"/>
      <c r="AV119" s="70"/>
      <c r="AW119" s="3"/>
      <c r="BA119" s="3"/>
      <c r="BB119" s="3"/>
      <c r="BC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</row>
    <row r="120" spans="1:68" ht="22.2" customHeight="1" x14ac:dyDescent="0.3">
      <c r="A120" s="2" t="s">
        <v>869</v>
      </c>
      <c r="B120" s="3">
        <v>0</v>
      </c>
      <c r="C120" s="88">
        <f>$B120/$AI120</f>
        <v>0</v>
      </c>
      <c r="D120" s="3">
        <v>600</v>
      </c>
      <c r="E120" s="88">
        <f>$D120/$AI120</f>
        <v>8.9381115325563101E-3</v>
      </c>
      <c r="F120" s="3">
        <v>100</v>
      </c>
      <c r="G120" s="88">
        <f>$F120/$AI120</f>
        <v>1.4896852554260518E-3</v>
      </c>
      <c r="H120" s="3">
        <v>0</v>
      </c>
      <c r="I120" s="88">
        <f>$H120/$AI120</f>
        <v>0</v>
      </c>
      <c r="J120" s="3">
        <v>3691.6010000000001</v>
      </c>
      <c r="K120" s="88">
        <f>$J120/$AI120</f>
        <v>5.4993235786160687E-2</v>
      </c>
      <c r="L120" s="3"/>
      <c r="M120" s="88">
        <f>$L120/$AI120</f>
        <v>0</v>
      </c>
      <c r="N120" s="3"/>
      <c r="O120" s="88">
        <f>$N120/$AI120</f>
        <v>0</v>
      </c>
      <c r="P120" s="3">
        <v>82.4</v>
      </c>
      <c r="Q120" s="88">
        <f>$P120/$AI120</f>
        <v>1.2275006504710668E-3</v>
      </c>
      <c r="R120" s="3">
        <v>94.683999999999997</v>
      </c>
      <c r="S120" s="88">
        <f>$R120/$AI120</f>
        <v>1.4104935872476028E-3</v>
      </c>
      <c r="U120" s="88">
        <f>$T120/$AI120</f>
        <v>0</v>
      </c>
      <c r="W120" s="88">
        <f>$V120/$AI120</f>
        <v>0</v>
      </c>
      <c r="X120" s="3">
        <v>120.31</v>
      </c>
      <c r="Y120" s="88">
        <f>$X120/$AI120</f>
        <v>1.7922403308030829E-3</v>
      </c>
      <c r="Z120" s="3">
        <v>99.700999999999993</v>
      </c>
      <c r="AA120" s="88">
        <f>$Z120/$AI120</f>
        <v>1.4852310965123279E-3</v>
      </c>
      <c r="AB120" s="56">
        <v>4788.6959999999999</v>
      </c>
      <c r="AC120" s="88">
        <f>$AB120/AI120</f>
        <v>7.1336498239177121E-2</v>
      </c>
      <c r="AD120" s="101">
        <v>35267.780000000006</v>
      </c>
      <c r="AE120" s="88">
        <f>$AD120/$AI120</f>
        <v>0.52537891857609809</v>
      </c>
      <c r="AF120" s="3">
        <v>-58628.650999999998</v>
      </c>
      <c r="AG120" s="3">
        <v>-8499.6229999999996</v>
      </c>
      <c r="AH120" s="89">
        <f>SUM(AF120,AG120)</f>
        <v>-67128.274000000005</v>
      </c>
      <c r="AI120" s="3">
        <f>((AF120+AG120)*-1)</f>
        <v>67128.274000000005</v>
      </c>
      <c r="AJ120" s="8">
        <f>AI120/($AI$224)</f>
        <v>5.122709966857807E-3</v>
      </c>
      <c r="AK120" s="56">
        <f>AJ120*($G$260+$G$313-$B$406)</f>
        <v>9048.366805343212</v>
      </c>
      <c r="AL120" s="3">
        <v>25732.510715753389</v>
      </c>
      <c r="AM120" s="8">
        <f>AL120/AL$224</f>
        <v>5.4612685665750543E-3</v>
      </c>
      <c r="AN120" s="3">
        <f>(AM120*$B$406)</f>
        <v>7425.0587847658107</v>
      </c>
      <c r="AO120" s="3">
        <f>AN120+AK120</f>
        <v>16473.425590109022</v>
      </c>
      <c r="AP120" s="113">
        <f>$AO120/$AI120</f>
        <v>0.24540219207943617</v>
      </c>
      <c r="AQ120" s="3">
        <f>AB120+AD120+AH120</f>
        <v>-27071.797999999995</v>
      </c>
      <c r="AR120" s="3">
        <f>AQ120+AO120</f>
        <v>-10598.372409890973</v>
      </c>
      <c r="AS120" s="113">
        <f>AR120/AI120</f>
        <v>-0.15788239110528854</v>
      </c>
      <c r="AT120" s="70"/>
      <c r="AU120" s="70"/>
      <c r="AV120" s="70"/>
      <c r="AW120" s="3"/>
      <c r="BA120" s="3"/>
      <c r="BB120" s="3"/>
      <c r="BC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</row>
    <row r="121" spans="1:68" ht="22.2" customHeight="1" x14ac:dyDescent="0.3">
      <c r="A121" s="2" t="s">
        <v>870</v>
      </c>
      <c r="B121" s="3">
        <v>0</v>
      </c>
      <c r="C121" s="88">
        <f>$B121/$AI121</f>
        <v>0</v>
      </c>
      <c r="D121" s="3">
        <v>600</v>
      </c>
      <c r="E121" s="88">
        <f>$D121/$AI121</f>
        <v>1.5990914601959751E-2</v>
      </c>
      <c r="F121" s="3">
        <v>40</v>
      </c>
      <c r="G121" s="88">
        <f>$F121/$AI121</f>
        <v>1.0660609734639834E-3</v>
      </c>
      <c r="H121" s="3">
        <v>0</v>
      </c>
      <c r="I121" s="88">
        <f>$H121/$AI121</f>
        <v>0</v>
      </c>
      <c r="J121" s="3">
        <v>2327.8420000000001</v>
      </c>
      <c r="K121" s="88">
        <f>$J121/$AI121</f>
        <v>6.2040537714758655E-2</v>
      </c>
      <c r="L121" s="3"/>
      <c r="M121" s="88">
        <f>$L121/$AI121</f>
        <v>0</v>
      </c>
      <c r="N121" s="3"/>
      <c r="O121" s="88">
        <f>$N121/$AI121</f>
        <v>0</v>
      </c>
      <c r="P121" s="3">
        <v>23.18</v>
      </c>
      <c r="Q121" s="88">
        <f>$P121/$AI121</f>
        <v>6.1778233412237841E-4</v>
      </c>
      <c r="R121" s="3">
        <v>6147.5740000000005</v>
      </c>
      <c r="S121" s="88">
        <f>$R121/$AI121</f>
        <v>0.16384221807204688</v>
      </c>
      <c r="U121" s="88">
        <f>$T121/$AI121</f>
        <v>0</v>
      </c>
      <c r="W121" s="88">
        <f>$V121/$AI121</f>
        <v>0</v>
      </c>
      <c r="X121" s="3">
        <v>60.35</v>
      </c>
      <c r="Y121" s="88">
        <f>$X121/$AI121</f>
        <v>1.6084194937137852E-3</v>
      </c>
      <c r="Z121" s="3">
        <v>518.48400000000004</v>
      </c>
      <c r="AA121" s="88">
        <f>$Z121/$AI121</f>
        <v>1.3818388944137502E-2</v>
      </c>
      <c r="AB121" s="56">
        <v>9717.43</v>
      </c>
      <c r="AC121" s="88">
        <f>$AB121/AI121</f>
        <v>0.25898432213420292</v>
      </c>
      <c r="AD121" s="101">
        <v>20534.973000000002</v>
      </c>
      <c r="AE121" s="88">
        <f>$AD121/$AI121</f>
        <v>0.54728833266091548</v>
      </c>
      <c r="AF121" s="3">
        <v>-32773.269</v>
      </c>
      <c r="AG121" s="3">
        <v>-4748.0370000000003</v>
      </c>
      <c r="AH121" s="89">
        <f>SUM(AF121,AG121)</f>
        <v>-37521.305999999997</v>
      </c>
      <c r="AI121" s="3">
        <f>((AF121+AG121)*-1)</f>
        <v>37521.305999999997</v>
      </c>
      <c r="AJ121" s="8">
        <f>AI121/($AI$224)</f>
        <v>2.8633354734507494E-3</v>
      </c>
      <c r="AK121" s="56">
        <f>AJ121*($G$260+$G$313-$B$406)</f>
        <v>5057.5788631706073</v>
      </c>
      <c r="AL121" s="3">
        <v>14127.390706578468</v>
      </c>
      <c r="AM121" s="8">
        <f>AL121/AL$224</f>
        <v>2.9982878719381368E-3</v>
      </c>
      <c r="AN121" s="3">
        <f>(AM121*$B$406)</f>
        <v>4076.4271947813386</v>
      </c>
      <c r="AO121" s="3">
        <f>AN121+AK121</f>
        <v>9134.006057951945</v>
      </c>
      <c r="AP121" s="113">
        <f>$AO121/$AI121</f>
        <v>0.24343518474415432</v>
      </c>
      <c r="AQ121" s="3">
        <f>AB121+AD121+AH121</f>
        <v>-7268.9029999999948</v>
      </c>
      <c r="AR121" s="3">
        <f>AQ121+AO121</f>
        <v>1865.1030579519502</v>
      </c>
      <c r="AS121" s="113">
        <f>AR121/AI121</f>
        <v>4.9707839539272707E-2</v>
      </c>
      <c r="AT121" s="70"/>
      <c r="AU121" s="70"/>
      <c r="AV121" s="70"/>
      <c r="AW121" s="3"/>
      <c r="BA121" s="3"/>
      <c r="BB121" s="3"/>
      <c r="BC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</row>
    <row r="122" spans="1:68" ht="22.2" customHeight="1" x14ac:dyDescent="0.3">
      <c r="A122" s="2" t="s">
        <v>871</v>
      </c>
      <c r="B122" s="3">
        <v>0</v>
      </c>
      <c r="C122" s="88">
        <f>$B122/$AI122</f>
        <v>0</v>
      </c>
      <c r="D122" s="3">
        <v>830</v>
      </c>
      <c r="E122" s="88">
        <f>$D122/$AI122</f>
        <v>1.3368588179481449E-2</v>
      </c>
      <c r="F122" s="3">
        <v>0</v>
      </c>
      <c r="G122" s="88">
        <f>$F122/$AI122</f>
        <v>0</v>
      </c>
      <c r="H122" s="3">
        <v>0</v>
      </c>
      <c r="I122" s="88">
        <f>$H122/$AI122</f>
        <v>0</v>
      </c>
      <c r="J122" s="3">
        <v>4277.3159999999998</v>
      </c>
      <c r="K122" s="88">
        <f>$J122/$AI122</f>
        <v>6.8893585683743222E-2</v>
      </c>
      <c r="L122" s="3"/>
      <c r="M122" s="88">
        <f>$L122/$AI122</f>
        <v>0</v>
      </c>
      <c r="N122" s="3"/>
      <c r="O122" s="88">
        <f>$N122/$AI122</f>
        <v>0</v>
      </c>
      <c r="P122" s="3">
        <v>50.78</v>
      </c>
      <c r="Q122" s="88">
        <f>$P122/$AI122</f>
        <v>8.1789988886032288E-4</v>
      </c>
      <c r="R122" s="3">
        <v>12.241999999999999</v>
      </c>
      <c r="S122" s="88">
        <f>$R122/$AI122</f>
        <v>1.9717862228097819E-4</v>
      </c>
      <c r="U122" s="88">
        <f>$T122/$AI122</f>
        <v>0</v>
      </c>
      <c r="W122" s="88">
        <f>$V122/$AI122</f>
        <v>0</v>
      </c>
      <c r="X122" s="3">
        <v>721.31</v>
      </c>
      <c r="Y122" s="88">
        <f>$X122/$AI122</f>
        <v>1.1617947397279232E-2</v>
      </c>
      <c r="Z122" s="3">
        <v>7.0439999999999969</v>
      </c>
      <c r="AA122" s="88">
        <f>$Z122/$AI122</f>
        <v>1.1345582546538226E-4</v>
      </c>
      <c r="AB122" s="56">
        <v>5898.692</v>
      </c>
      <c r="AC122" s="88">
        <f>$AB122/AI122</f>
        <v>9.5008655597110581E-2</v>
      </c>
      <c r="AD122" s="101">
        <v>28387.058999999997</v>
      </c>
      <c r="AE122" s="88">
        <f>$AD122/$AI122</f>
        <v>0.45722277276824391</v>
      </c>
      <c r="AF122" s="3">
        <v>-55327.262999999992</v>
      </c>
      <c r="AG122" s="3">
        <v>-6758.5749999999998</v>
      </c>
      <c r="AH122" s="89">
        <f>SUM(AF122,AG122)</f>
        <v>-62085.837999999989</v>
      </c>
      <c r="AI122" s="3">
        <f>((AF122+AG122)*-1)</f>
        <v>62085.837999999989</v>
      </c>
      <c r="AJ122" s="8">
        <f>AI122/($AI$224)</f>
        <v>4.7379103047297047E-3</v>
      </c>
      <c r="AK122" s="56">
        <f>AJ122*($G$260+$G$313-$B$406)</f>
        <v>8368.6858333511755</v>
      </c>
      <c r="AL122" s="3">
        <v>23414.130036101647</v>
      </c>
      <c r="AM122" s="8">
        <f>AL122/AL$224</f>
        <v>4.9692334258537975E-3</v>
      </c>
      <c r="AN122" s="3">
        <f>(AM122*$B$406)</f>
        <v>6756.0951915109545</v>
      </c>
      <c r="AO122" s="3">
        <f>AN122+AK122</f>
        <v>15124.78102486213</v>
      </c>
      <c r="AP122" s="113">
        <f>$AO122/$AI122</f>
        <v>0.2436108058147195</v>
      </c>
      <c r="AQ122" s="3">
        <f>AB122+AD122+AH122</f>
        <v>-27800.086999999992</v>
      </c>
      <c r="AR122" s="3">
        <f>AQ122+AO122</f>
        <v>-12675.305975137862</v>
      </c>
      <c r="AS122" s="113">
        <f>AR122/AI122</f>
        <v>-0.20415776581992603</v>
      </c>
      <c r="AT122" s="70"/>
      <c r="AU122" s="70"/>
      <c r="AV122" s="70"/>
      <c r="AW122" s="3"/>
      <c r="BA122" s="3"/>
      <c r="BB122" s="3"/>
      <c r="BC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</row>
    <row r="123" spans="1:68" ht="22.2" customHeight="1" x14ac:dyDescent="0.3">
      <c r="A123" s="2" t="s">
        <v>872</v>
      </c>
      <c r="B123" s="3">
        <v>0</v>
      </c>
      <c r="C123" s="88">
        <f>$B123/$AI123</f>
        <v>0</v>
      </c>
      <c r="D123" s="3">
        <v>2000</v>
      </c>
      <c r="E123" s="88">
        <f>$D123/$AI123</f>
        <v>1.5459117629121697E-2</v>
      </c>
      <c r="F123" s="3">
        <v>0</v>
      </c>
      <c r="G123" s="88">
        <f>$F123/$AI123</f>
        <v>0</v>
      </c>
      <c r="H123" s="3">
        <v>0</v>
      </c>
      <c r="I123" s="88">
        <f>$H123/$AI123</f>
        <v>0</v>
      </c>
      <c r="J123" s="3">
        <v>6254.6580000000004</v>
      </c>
      <c r="K123" s="88">
        <f>$J123/$AI123</f>
        <v>4.8345746875963533E-2</v>
      </c>
      <c r="L123" s="3"/>
      <c r="M123" s="88">
        <f>$L123/$AI123</f>
        <v>0</v>
      </c>
      <c r="N123" s="3">
        <v>77.210000000000008</v>
      </c>
      <c r="O123" s="88">
        <f>$N123/$AI123</f>
        <v>5.967992360722432E-4</v>
      </c>
      <c r="P123" s="3">
        <v>266.95</v>
      </c>
      <c r="Q123" s="88">
        <f>$P123/$AI123</f>
        <v>2.0634057255470187E-3</v>
      </c>
      <c r="R123" s="3">
        <v>496.274</v>
      </c>
      <c r="S123" s="88">
        <f>$R123/$AI123</f>
        <v>3.8359790711373709E-3</v>
      </c>
      <c r="U123" s="88">
        <f>$T123/$AI123</f>
        <v>0</v>
      </c>
      <c r="W123" s="88">
        <f>$V123/$AI123</f>
        <v>0</v>
      </c>
      <c r="X123" s="3">
        <v>659.48</v>
      </c>
      <c r="Y123" s="88">
        <f>$X123/$AI123</f>
        <v>5.0974894470265887E-3</v>
      </c>
      <c r="Z123" s="3">
        <v>572.53899999999999</v>
      </c>
      <c r="AA123" s="88">
        <f>$Z123/$AI123</f>
        <v>4.4254738741298537E-3</v>
      </c>
      <c r="AB123" s="56">
        <v>10327.111000000003</v>
      </c>
      <c r="AC123" s="88">
        <f>$AB123/AI123</f>
        <v>7.9824011858998317E-2</v>
      </c>
      <c r="AD123" s="101">
        <v>59392.158000000003</v>
      </c>
      <c r="AE123" s="88">
        <f>$AD123/$AI123</f>
        <v>0.45907517838469064</v>
      </c>
      <c r="AF123" s="3">
        <v>-113243.07800000002</v>
      </c>
      <c r="AG123" s="3">
        <v>-16130.412</v>
      </c>
      <c r="AH123" s="89">
        <f>SUM(AF123,AG123)</f>
        <v>-129373.49000000002</v>
      </c>
      <c r="AI123" s="3">
        <f>((AF123+AG123)*-1)</f>
        <v>129373.49000000002</v>
      </c>
      <c r="AJ123" s="8">
        <f>AI123/($AI$224)</f>
        <v>9.8727827661735934E-3</v>
      </c>
      <c r="AK123" s="56">
        <f>AJ123*($G$260+$G$313-$B$406)</f>
        <v>17438.535547739571</v>
      </c>
      <c r="AL123" s="3">
        <v>42539.450697985063</v>
      </c>
      <c r="AM123" s="8">
        <f>AL123/AL$224</f>
        <v>9.0282432018594146E-3</v>
      </c>
      <c r="AN123" s="3">
        <f>(AM123*$B$406)</f>
        <v>12274.66396859668</v>
      </c>
      <c r="AO123" s="3">
        <f>AN123+AK123</f>
        <v>29713.199516336252</v>
      </c>
      <c r="AP123" s="113">
        <f>$AO123/$AI123</f>
        <v>0.22966992323030203</v>
      </c>
      <c r="AQ123" s="3">
        <f>AB123+AD123+AH123</f>
        <v>-59654.22100000002</v>
      </c>
      <c r="AR123" s="3">
        <f>AQ123+AO123</f>
        <v>-29941.021483663768</v>
      </c>
      <c r="AS123" s="113">
        <f>AR123/AI123</f>
        <v>-0.23143088652600902</v>
      </c>
      <c r="AT123" s="70"/>
      <c r="AU123" s="70"/>
      <c r="AV123" s="70"/>
      <c r="AW123" s="3"/>
      <c r="BA123" s="3"/>
      <c r="BB123" s="3"/>
      <c r="BC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</row>
    <row r="124" spans="1:68" ht="22.2" customHeight="1" x14ac:dyDescent="0.3">
      <c r="A124" s="2" t="s">
        <v>873</v>
      </c>
      <c r="B124" s="3">
        <v>0</v>
      </c>
      <c r="C124" s="88">
        <f>$B124/$AI124</f>
        <v>0</v>
      </c>
      <c r="D124" s="3">
        <v>0</v>
      </c>
      <c r="E124" s="88">
        <f>$D124/$AI124</f>
        <v>0</v>
      </c>
      <c r="F124" s="3">
        <v>0</v>
      </c>
      <c r="G124" s="88">
        <f>$F124/$AI124</f>
        <v>0</v>
      </c>
      <c r="H124" s="3">
        <v>0</v>
      </c>
      <c r="I124" s="88">
        <f>$H124/$AI124</f>
        <v>0</v>
      </c>
      <c r="J124" s="3">
        <v>363.798</v>
      </c>
      <c r="K124" s="88">
        <f>$J124/$AI124</f>
        <v>0.12126559578134741</v>
      </c>
      <c r="L124" s="3">
        <v>281.36</v>
      </c>
      <c r="M124" s="88">
        <f>$L124/$AI124</f>
        <v>9.3786354045486534E-2</v>
      </c>
      <c r="N124" s="3"/>
      <c r="O124" s="88">
        <f>$N124/$AI124</f>
        <v>0</v>
      </c>
      <c r="P124" s="3"/>
      <c r="Q124" s="88">
        <f>$P124/$AI124</f>
        <v>0</v>
      </c>
      <c r="R124" s="3"/>
      <c r="S124" s="88">
        <f>$R124/$AI124</f>
        <v>0</v>
      </c>
      <c r="U124" s="88">
        <f>$T124/$AI124</f>
        <v>0</v>
      </c>
      <c r="W124" s="88">
        <f>$V124/$AI124</f>
        <v>0</v>
      </c>
      <c r="Y124" s="88">
        <f>$X124/$AI124</f>
        <v>0</v>
      </c>
      <c r="Z124" s="3">
        <v>1.216</v>
      </c>
      <c r="AA124" s="88">
        <f>$Z124/$AI124</f>
        <v>4.0533198222672594E-4</v>
      </c>
      <c r="AB124" s="56">
        <v>646.37400000000002</v>
      </c>
      <c r="AC124" s="88">
        <f>$AB124/AI124</f>
        <v>0.21545728180906065</v>
      </c>
      <c r="AD124" s="101">
        <v>1886.1869999999999</v>
      </c>
      <c r="AE124" s="88">
        <f>$AD124/$AI124</f>
        <v>0.62872690424365252</v>
      </c>
      <c r="AF124" s="3">
        <v>-2670.8789999999999</v>
      </c>
      <c r="AG124" s="3">
        <v>-329.13099999999997</v>
      </c>
      <c r="AH124" s="89">
        <f>SUM(AF124,AG124)</f>
        <v>-3000.0099999999998</v>
      </c>
      <c r="AI124" s="3">
        <f>((AF124+AG124)*-1)</f>
        <v>3000.0099999999998</v>
      </c>
      <c r="AJ124" s="8">
        <f>AI124/($AI$224)</f>
        <v>2.2893752828611515E-4</v>
      </c>
      <c r="AK124" s="56">
        <f>AJ124*($G$260+$G$313-$B$406)</f>
        <v>404.37790639005084</v>
      </c>
      <c r="AL124" s="3">
        <v>1060.0734717465934</v>
      </c>
      <c r="AM124" s="8">
        <f>AL124/AL$224</f>
        <v>2.249817747463536E-4</v>
      </c>
      <c r="AN124" s="3">
        <f>(AM124*$B$406)</f>
        <v>305.88184459865238</v>
      </c>
      <c r="AO124" s="3">
        <f>AN124+AK124</f>
        <v>710.25975098870322</v>
      </c>
      <c r="AP124" s="113">
        <f>$AO124/$AI124</f>
        <v>0.23675246115469725</v>
      </c>
      <c r="AQ124" s="3">
        <f>AB124+AD124+AH124</f>
        <v>-467.44900000000007</v>
      </c>
      <c r="AR124" s="3">
        <f>AQ124+AO124</f>
        <v>242.81075098870315</v>
      </c>
      <c r="AS124" s="113">
        <f>AR124/AI124</f>
        <v>8.0936647207410367E-2</v>
      </c>
      <c r="AT124" s="70"/>
      <c r="AU124" s="70"/>
      <c r="AV124" s="70"/>
      <c r="AW124" s="3"/>
      <c r="BA124" s="3"/>
      <c r="BB124" s="3"/>
      <c r="BC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</row>
    <row r="125" spans="1:68" ht="22.2" customHeight="1" x14ac:dyDescent="0.3">
      <c r="A125" s="2" t="s">
        <v>874</v>
      </c>
      <c r="B125" s="3">
        <v>0</v>
      </c>
      <c r="C125" s="88">
        <f>$B125/$AI125</f>
        <v>0</v>
      </c>
      <c r="D125" s="3">
        <v>0</v>
      </c>
      <c r="E125" s="88">
        <f>$D125/$AI125</f>
        <v>0</v>
      </c>
      <c r="F125" s="3">
        <v>0</v>
      </c>
      <c r="G125" s="88">
        <f>$F125/$AI125</f>
        <v>0</v>
      </c>
      <c r="H125" s="3">
        <v>0</v>
      </c>
      <c r="I125" s="88">
        <f>$H125/$AI125</f>
        <v>0</v>
      </c>
      <c r="J125" s="3">
        <v>823.899</v>
      </c>
      <c r="K125" s="88">
        <f>$J125/$AI125</f>
        <v>7.7746344105604548E-2</v>
      </c>
      <c r="L125" s="3">
        <v>262.5</v>
      </c>
      <c r="M125" s="88">
        <f>$L125/$AI125</f>
        <v>2.4770530523427259E-2</v>
      </c>
      <c r="N125" s="3"/>
      <c r="O125" s="88">
        <f>$N125/$AI125</f>
        <v>0</v>
      </c>
      <c r="P125" s="3"/>
      <c r="Q125" s="88">
        <f>$P125/$AI125</f>
        <v>0</v>
      </c>
      <c r="R125" s="3"/>
      <c r="S125" s="88">
        <f>$R125/$AI125</f>
        <v>0</v>
      </c>
      <c r="U125" s="88">
        <f>$T125/$AI125</f>
        <v>0</v>
      </c>
      <c r="W125" s="88">
        <f>$V125/$AI125</f>
        <v>0</v>
      </c>
      <c r="Y125" s="88">
        <f>$X125/$AI125</f>
        <v>0</v>
      </c>
      <c r="Z125" s="3">
        <v>3.5030000000000001</v>
      </c>
      <c r="AA125" s="88">
        <f>$Z125/$AI125</f>
        <v>3.3055683208977406E-4</v>
      </c>
      <c r="AB125" s="56">
        <v>1089.902</v>
      </c>
      <c r="AC125" s="88">
        <f>$AB125/AI125</f>
        <v>0.10284743146112159</v>
      </c>
      <c r="AD125" s="101">
        <v>6852.3779999999997</v>
      </c>
      <c r="AE125" s="88">
        <f>$AD125/$AI125</f>
        <v>0.6466172891697578</v>
      </c>
      <c r="AF125" s="3">
        <v>-9370.8880000000008</v>
      </c>
      <c r="AG125" s="3">
        <v>-1226.3820000000001</v>
      </c>
      <c r="AH125" s="89">
        <f>SUM(AF125,AG125)</f>
        <v>-10597.27</v>
      </c>
      <c r="AI125" s="3">
        <f>((AF125+AG125)*-1)</f>
        <v>10597.27</v>
      </c>
      <c r="AJ125" s="8">
        <f>AI125/($AI$224)</f>
        <v>8.0870157112162948E-4</v>
      </c>
      <c r="AK125" s="56">
        <f>AJ125*($G$260+$G$313-$B$406)</f>
        <v>1428.429190586063</v>
      </c>
      <c r="AL125" s="3">
        <v>5008.7603723061857</v>
      </c>
      <c r="AM125" s="8">
        <f>AL125/AL$224</f>
        <v>1.0630204678020929E-3</v>
      </c>
      <c r="AN125" s="3">
        <f>(AM125*$B$406)</f>
        <v>1445.266675062961</v>
      </c>
      <c r="AO125" s="3">
        <f>AN125+AK125</f>
        <v>2873.6958656490242</v>
      </c>
      <c r="AP125" s="113">
        <f>$AO125/$AI125</f>
        <v>0.27117322344802236</v>
      </c>
      <c r="AQ125" s="3">
        <f>AB125+AD125+AH125</f>
        <v>-2654.9900000000007</v>
      </c>
      <c r="AR125" s="3">
        <f>AQ125+AO125</f>
        <v>218.70586564902351</v>
      </c>
      <c r="AS125" s="113">
        <f>AR125/AI125</f>
        <v>2.0637944078901783E-2</v>
      </c>
      <c r="AT125" s="70"/>
      <c r="AU125" s="70"/>
      <c r="AV125" s="70"/>
      <c r="AW125" s="3"/>
      <c r="BA125" s="3"/>
      <c r="BB125" s="3"/>
      <c r="BC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</row>
    <row r="126" spans="1:68" ht="22.2" customHeight="1" x14ac:dyDescent="0.3">
      <c r="A126" s="2" t="s">
        <v>875</v>
      </c>
      <c r="B126" s="3">
        <v>0</v>
      </c>
      <c r="C126" s="88">
        <f>$B126/$AI126</f>
        <v>0</v>
      </c>
      <c r="D126" s="3">
        <v>0</v>
      </c>
      <c r="E126" s="88">
        <f>$D126/$AI126</f>
        <v>0</v>
      </c>
      <c r="F126" s="3">
        <v>0</v>
      </c>
      <c r="G126" s="88">
        <f>$F126/$AI126</f>
        <v>0</v>
      </c>
      <c r="H126" s="3">
        <v>0</v>
      </c>
      <c r="I126" s="88">
        <f>$H126/$AI126</f>
        <v>0</v>
      </c>
      <c r="J126" s="3">
        <v>447.93299999999999</v>
      </c>
      <c r="K126" s="88">
        <f>$J126/$AI126</f>
        <v>0.13281789514415712</v>
      </c>
      <c r="L126" s="3">
        <v>152.5</v>
      </c>
      <c r="M126" s="88">
        <f>$L126/$AI126</f>
        <v>4.5218211226866437E-2</v>
      </c>
      <c r="N126" s="3"/>
      <c r="O126" s="88">
        <f>$N126/$AI126</f>
        <v>0</v>
      </c>
      <c r="P126" s="3"/>
      <c r="Q126" s="88">
        <f>$P126/$AI126</f>
        <v>0</v>
      </c>
      <c r="R126" s="3"/>
      <c r="S126" s="88">
        <f>$R126/$AI126</f>
        <v>0</v>
      </c>
      <c r="U126" s="88">
        <f>$T126/$AI126</f>
        <v>0</v>
      </c>
      <c r="W126" s="88">
        <f>$V126/$AI126</f>
        <v>0</v>
      </c>
      <c r="Y126" s="88">
        <f>$X126/$AI126</f>
        <v>0</v>
      </c>
      <c r="Z126" s="3">
        <v>1.5169999999999999</v>
      </c>
      <c r="AA126" s="88">
        <f>$Z126/$AI126</f>
        <v>4.4981000938463199E-4</v>
      </c>
      <c r="AB126" s="56">
        <v>601.95000000000005</v>
      </c>
      <c r="AC126" s="88">
        <f>$AB126/AI126</f>
        <v>0.1784859163804082</v>
      </c>
      <c r="AD126" s="101">
        <v>2019.3230000000001</v>
      </c>
      <c r="AE126" s="88">
        <f>$AD126/$AI126</f>
        <v>0.59875523901160399</v>
      </c>
      <c r="AF126" s="3">
        <v>-3115.5600000000004</v>
      </c>
      <c r="AG126" s="3">
        <v>-256.97500000000002</v>
      </c>
      <c r="AH126" s="89">
        <f>SUM(AF126,AG126)</f>
        <v>-3372.5350000000003</v>
      </c>
      <c r="AI126" s="3">
        <f>((AF126+AG126)*-1)</f>
        <v>3372.5350000000003</v>
      </c>
      <c r="AJ126" s="8">
        <f>AI126/($AI$224)</f>
        <v>2.5736575110030084E-4</v>
      </c>
      <c r="AK126" s="56">
        <f>AJ126*($G$260+$G$313-$B$406)</f>
        <v>454.59136553783839</v>
      </c>
      <c r="AL126" s="3">
        <v>904.87069845945439</v>
      </c>
      <c r="AM126" s="8">
        <f>AL126/AL$224</f>
        <v>1.920427414525901E-4</v>
      </c>
      <c r="AN126" s="3">
        <f>(AM126*$B$406)</f>
        <v>261.09842925511197</v>
      </c>
      <c r="AO126" s="3">
        <f>AN126+AK126</f>
        <v>715.68979479295035</v>
      </c>
      <c r="AP126" s="113">
        <f>$AO126/$AI126</f>
        <v>0.21221122828760866</v>
      </c>
      <c r="AQ126" s="3">
        <f>AB126+AD126+AH126</f>
        <v>-751.26200000000017</v>
      </c>
      <c r="AR126" s="3">
        <f>AQ126+AO126</f>
        <v>-35.572205207049819</v>
      </c>
      <c r="AS126" s="113">
        <f>AR126/AI126</f>
        <v>-1.0547616320379127E-2</v>
      </c>
      <c r="AT126" s="70"/>
      <c r="AU126" s="70"/>
      <c r="AV126" s="70"/>
      <c r="AW126" s="3"/>
      <c r="BA126" s="3"/>
      <c r="BB126" s="3"/>
      <c r="BC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</row>
    <row r="127" spans="1:68" ht="22.2" customHeight="1" x14ac:dyDescent="0.3">
      <c r="A127" s="2" t="s">
        <v>876</v>
      </c>
      <c r="B127" s="3">
        <v>0</v>
      </c>
      <c r="C127" s="88">
        <f>$B127/$AI127</f>
        <v>0</v>
      </c>
      <c r="D127" s="3">
        <v>0</v>
      </c>
      <c r="E127" s="88">
        <f>$D127/$AI127</f>
        <v>0</v>
      </c>
      <c r="F127" s="3">
        <v>0</v>
      </c>
      <c r="G127" s="88">
        <f>$F127/$AI127</f>
        <v>0</v>
      </c>
      <c r="H127" s="3">
        <v>0</v>
      </c>
      <c r="I127" s="88">
        <f>$H127/$AI127</f>
        <v>0</v>
      </c>
      <c r="J127" s="3">
        <v>355.77699999999999</v>
      </c>
      <c r="K127" s="88">
        <f>$J127/$AI127</f>
        <v>7.809919985950893E-2</v>
      </c>
      <c r="L127" s="3">
        <v>111.15</v>
      </c>
      <c r="M127" s="88">
        <f>$L127/$AI127</f>
        <v>2.4399345838501132E-2</v>
      </c>
      <c r="N127" s="3"/>
      <c r="O127" s="88">
        <f>$N127/$AI127</f>
        <v>0</v>
      </c>
      <c r="P127" s="3"/>
      <c r="Q127" s="88">
        <f>$P127/$AI127</f>
        <v>0</v>
      </c>
      <c r="R127" s="3"/>
      <c r="S127" s="88">
        <f>$R127/$AI127</f>
        <v>0</v>
      </c>
      <c r="U127" s="88">
        <f>$T127/$AI127</f>
        <v>0</v>
      </c>
      <c r="W127" s="88">
        <f>$V127/$AI127</f>
        <v>0</v>
      </c>
      <c r="Y127" s="88">
        <f>$X127/$AI127</f>
        <v>0</v>
      </c>
      <c r="Z127" s="3">
        <v>0.64700000000000002</v>
      </c>
      <c r="AA127" s="88">
        <f>$Z127/$AI127</f>
        <v>1.4202768112919688E-4</v>
      </c>
      <c r="AB127" s="56">
        <v>467.57399999999996</v>
      </c>
      <c r="AC127" s="88">
        <f>$AB127/AI127</f>
        <v>0.10264057337913925</v>
      </c>
      <c r="AD127" s="101">
        <v>2459.6480000000001</v>
      </c>
      <c r="AE127" s="88">
        <f>$AD127/$AI127</f>
        <v>0.539935242401958</v>
      </c>
      <c r="AF127" s="3">
        <v>-3966.5840000000003</v>
      </c>
      <c r="AG127" s="3">
        <v>-588.86599999999999</v>
      </c>
      <c r="AH127" s="89">
        <f>SUM(AF127,AG127)</f>
        <v>-4555.4500000000007</v>
      </c>
      <c r="AI127" s="3">
        <f>((AF127+AG127)*-1)</f>
        <v>4555.4500000000007</v>
      </c>
      <c r="AJ127" s="8">
        <f>AI127/($AI$224)</f>
        <v>3.476366622881202E-4</v>
      </c>
      <c r="AK127" s="56">
        <f>AJ127*($G$260+$G$313-$B$406)</f>
        <v>614.03906442463779</v>
      </c>
      <c r="AL127" s="3">
        <v>1426.8886558404656</v>
      </c>
      <c r="AM127" s="8">
        <f>AL127/AL$224</f>
        <v>3.0283178544926974E-4</v>
      </c>
      <c r="AN127" s="3">
        <f>(AM127*$B$406)</f>
        <v>411.72555083965653</v>
      </c>
      <c r="AO127" s="3">
        <f>AN127+AK127</f>
        <v>1025.7646152642942</v>
      </c>
      <c r="AP127" s="113">
        <f>$AO127/$AI127</f>
        <v>0.22517305979964528</v>
      </c>
      <c r="AQ127" s="3">
        <f>AB127+AD127+AH127</f>
        <v>-1628.2280000000005</v>
      </c>
      <c r="AR127" s="3">
        <f>AQ127+AO127</f>
        <v>-602.46338473570631</v>
      </c>
      <c r="AS127" s="113">
        <f>AR127/AI127</f>
        <v>-0.13225112441925743</v>
      </c>
      <c r="AT127" s="70"/>
      <c r="AU127" s="70"/>
      <c r="AV127" s="70"/>
      <c r="AW127" s="3"/>
      <c r="BA127" s="3"/>
      <c r="BB127" s="3"/>
      <c r="BC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</row>
    <row r="128" spans="1:68" ht="22.2" customHeight="1" x14ac:dyDescent="0.3">
      <c r="A128" s="2" t="s">
        <v>877</v>
      </c>
      <c r="B128" s="3">
        <v>0</v>
      </c>
      <c r="C128" s="88">
        <f>$B128/$AI128</f>
        <v>0</v>
      </c>
      <c r="D128" s="3">
        <v>0</v>
      </c>
      <c r="E128" s="88">
        <f>$D128/$AI128</f>
        <v>0</v>
      </c>
      <c r="F128" s="3">
        <v>0</v>
      </c>
      <c r="G128" s="88">
        <f>$F128/$AI128</f>
        <v>0</v>
      </c>
      <c r="H128" s="3">
        <v>0</v>
      </c>
      <c r="I128" s="88">
        <f>$H128/$AI128</f>
        <v>0</v>
      </c>
      <c r="J128" s="3">
        <v>639.27700000000004</v>
      </c>
      <c r="K128" s="88">
        <f>$J128/$AI128</f>
        <v>0.23519528017868574</v>
      </c>
      <c r="L128" s="3">
        <v>79.14</v>
      </c>
      <c r="M128" s="88">
        <f>$L128/$AI128</f>
        <v>2.9116258638025749E-2</v>
      </c>
      <c r="N128" s="3"/>
      <c r="O128" s="88">
        <f>$N128/$AI128</f>
        <v>0</v>
      </c>
      <c r="P128" s="3"/>
      <c r="Q128" s="88">
        <f>$P128/$AI128</f>
        <v>0</v>
      </c>
      <c r="R128" s="3">
        <v>52.474000000000004</v>
      </c>
      <c r="S128" s="88">
        <f>$R128/$AI128</f>
        <v>1.9305617333481972E-2</v>
      </c>
      <c r="U128" s="88">
        <f>$T128/$AI128</f>
        <v>0</v>
      </c>
      <c r="W128" s="88">
        <f>$V128/$AI128</f>
        <v>0</v>
      </c>
      <c r="Y128" s="88">
        <f>$X128/$AI128</f>
        <v>0</v>
      </c>
      <c r="Z128" s="3">
        <v>0.86699999999999999</v>
      </c>
      <c r="AA128" s="88">
        <f>$Z128/$AI128</f>
        <v>3.1897644982522525E-4</v>
      </c>
      <c r="AB128" s="56">
        <v>771.75799999999992</v>
      </c>
      <c r="AC128" s="88">
        <f>$AB128/AI128</f>
        <v>0.28393613260001865</v>
      </c>
      <c r="AD128" s="101">
        <v>1775.6740000000002</v>
      </c>
      <c r="AE128" s="88">
        <f>$AD128/$AI128</f>
        <v>0.65328510792036576</v>
      </c>
      <c r="AF128" s="3">
        <v>-2389.6549999999997</v>
      </c>
      <c r="AG128" s="3">
        <v>-328.41399999999999</v>
      </c>
      <c r="AH128" s="89">
        <f>SUM(AF128,AG128)</f>
        <v>-2718.0689999999995</v>
      </c>
      <c r="AI128" s="3">
        <f>((AF128+AG128)*-1)</f>
        <v>2718.0689999999995</v>
      </c>
      <c r="AJ128" s="8">
        <f>AI128/($AI$224)</f>
        <v>2.0742197478378828E-4</v>
      </c>
      <c r="AK128" s="56">
        <f>AJ128*($G$260+$G$313-$B$406)</f>
        <v>366.37446263302422</v>
      </c>
      <c r="AL128" s="3">
        <v>597.5000101560654</v>
      </c>
      <c r="AM128" s="8">
        <f>AL128/AL$224</f>
        <v>1.268087696547981E-4</v>
      </c>
      <c r="AN128" s="3">
        <f>(AM128*$B$406)</f>
        <v>172.40730017809551</v>
      </c>
      <c r="AO128" s="3">
        <f>AN128+AK128</f>
        <v>538.78176281111973</v>
      </c>
      <c r="AP128" s="113">
        <f>$AO128/$AI128</f>
        <v>0.19822225367020477</v>
      </c>
      <c r="AQ128" s="3">
        <f>AB128+AD128+AH128</f>
        <v>-170.63699999999926</v>
      </c>
      <c r="AR128" s="3">
        <f>AQ128+AO128</f>
        <v>368.14476281112047</v>
      </c>
      <c r="AS128" s="113">
        <f>AR128/AI128</f>
        <v>0.13544349419058918</v>
      </c>
      <c r="AT128" s="70"/>
      <c r="AU128" s="70"/>
      <c r="AV128" s="70"/>
      <c r="AW128" s="3"/>
      <c r="BA128" s="3"/>
      <c r="BB128" s="3"/>
      <c r="BC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</row>
    <row r="129" spans="1:68" ht="22.2" customHeight="1" x14ac:dyDescent="0.3">
      <c r="A129" s="2" t="s">
        <v>878</v>
      </c>
      <c r="B129" s="3">
        <v>0</v>
      </c>
      <c r="C129" s="88">
        <v>0</v>
      </c>
      <c r="D129" s="3">
        <v>0</v>
      </c>
      <c r="E129" s="88">
        <v>0</v>
      </c>
      <c r="F129" s="3">
        <v>0</v>
      </c>
      <c r="G129" s="88">
        <v>0</v>
      </c>
      <c r="H129" s="3">
        <v>0</v>
      </c>
      <c r="I129" s="88">
        <v>0</v>
      </c>
      <c r="J129" s="3">
        <v>459.8</v>
      </c>
      <c r="K129" s="88">
        <v>0</v>
      </c>
      <c r="L129" s="3">
        <v>216.32</v>
      </c>
      <c r="M129" s="88">
        <v>0</v>
      </c>
      <c r="N129" s="3"/>
      <c r="O129" s="88">
        <v>0</v>
      </c>
      <c r="P129" s="3"/>
      <c r="Q129" s="88">
        <v>0</v>
      </c>
      <c r="R129" s="3">
        <v>71</v>
      </c>
      <c r="S129" s="88">
        <v>0</v>
      </c>
      <c r="U129" s="88">
        <v>0</v>
      </c>
      <c r="W129" s="88">
        <v>0</v>
      </c>
      <c r="Y129" s="88">
        <v>0</v>
      </c>
      <c r="Z129" s="3">
        <v>125.33499999999999</v>
      </c>
      <c r="AA129" s="88">
        <v>0</v>
      </c>
      <c r="AB129" s="56">
        <v>872.45499999999993</v>
      </c>
      <c r="AC129" s="88">
        <v>0</v>
      </c>
      <c r="AD129" s="101">
        <v>50.454999999999998</v>
      </c>
      <c r="AE129" s="88">
        <v>0</v>
      </c>
      <c r="AF129" s="3">
        <v>0</v>
      </c>
      <c r="AG129" s="3">
        <v>0</v>
      </c>
      <c r="AH129" s="89">
        <f>SUM(AF129,AG129)</f>
        <v>0</v>
      </c>
      <c r="AI129" s="3">
        <f>((AF129+AG129)*-1)</f>
        <v>0</v>
      </c>
      <c r="AJ129" s="8">
        <f>AI129/($AI$224)</f>
        <v>0</v>
      </c>
      <c r="AK129" s="56">
        <f>AJ129*($G$260+$G$313-$B$406)</f>
        <v>0</v>
      </c>
      <c r="AL129" s="3">
        <v>0</v>
      </c>
      <c r="AM129" s="8">
        <f>AL129/AL$224</f>
        <v>0</v>
      </c>
      <c r="AN129" s="3">
        <f>(AM129*$B$406)</f>
        <v>0</v>
      </c>
      <c r="AO129" s="3">
        <f>AN129+AK129</f>
        <v>0</v>
      </c>
      <c r="AP129" s="113">
        <v>0</v>
      </c>
      <c r="AQ129" s="3">
        <f>AB129+AD129+AH129</f>
        <v>922.91</v>
      </c>
      <c r="AR129" s="3">
        <f>AQ129+AO129</f>
        <v>922.91</v>
      </c>
      <c r="AS129" s="113">
        <v>0</v>
      </c>
      <c r="AT129" s="70"/>
      <c r="AU129" s="70"/>
      <c r="AV129" s="70"/>
      <c r="AW129" s="3"/>
      <c r="BA129" s="3"/>
      <c r="BB129" s="3"/>
      <c r="BC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</row>
    <row r="130" spans="1:68" ht="22.2" customHeight="1" x14ac:dyDescent="0.3">
      <c r="A130" s="2" t="s">
        <v>879</v>
      </c>
      <c r="B130" s="3">
        <v>0</v>
      </c>
      <c r="C130" s="88">
        <f>$B130/$AI130</f>
        <v>0</v>
      </c>
      <c r="D130" s="3">
        <v>0</v>
      </c>
      <c r="E130" s="88">
        <f>$D130/$AI130</f>
        <v>0</v>
      </c>
      <c r="F130" s="3">
        <v>0</v>
      </c>
      <c r="G130" s="88">
        <f>$F130/$AI130</f>
        <v>0</v>
      </c>
      <c r="H130" s="3">
        <v>0</v>
      </c>
      <c r="I130" s="88">
        <f>$H130/$AI130</f>
        <v>0</v>
      </c>
      <c r="J130" s="3">
        <v>810.327</v>
      </c>
      <c r="K130" s="88">
        <f>$J130/$AI130</f>
        <v>0.65122859749016504</v>
      </c>
      <c r="L130" s="3">
        <v>63.27</v>
      </c>
      <c r="M130" s="88">
        <f>$L130/$AI130</f>
        <v>5.0847661947834327E-2</v>
      </c>
      <c r="N130" s="3"/>
      <c r="O130" s="88">
        <f>$N130/$AI130</f>
        <v>0</v>
      </c>
      <c r="P130" s="3"/>
      <c r="Q130" s="88">
        <f>$P130/$AI130</f>
        <v>0</v>
      </c>
      <c r="R130" s="3"/>
      <c r="S130" s="88">
        <f>$R130/$AI130</f>
        <v>0</v>
      </c>
      <c r="U130" s="88">
        <f>$T130/$AI130</f>
        <v>0</v>
      </c>
      <c r="W130" s="88">
        <f>$V130/$AI130</f>
        <v>0</v>
      </c>
      <c r="Y130" s="88">
        <f>$X130/$AI130</f>
        <v>0</v>
      </c>
      <c r="Z130" s="3">
        <v>1.149</v>
      </c>
      <c r="AA130" s="88">
        <f>$Z130/$AI130</f>
        <v>9.2340704248556401E-4</v>
      </c>
      <c r="AB130" s="56">
        <v>874.74599999999998</v>
      </c>
      <c r="AC130" s="88">
        <f>$AB130/AI130</f>
        <v>0.70299966648048495</v>
      </c>
      <c r="AD130" s="101">
        <v>498.01300000000003</v>
      </c>
      <c r="AE130" s="88">
        <f>$AD130/$AI130</f>
        <v>0.40023386549117773</v>
      </c>
      <c r="AF130" s="3">
        <v>-1075.0500000000002</v>
      </c>
      <c r="AG130" s="3">
        <v>-169.255</v>
      </c>
      <c r="AH130" s="89">
        <f>SUM(AF130,AG130)</f>
        <v>-1244.3050000000003</v>
      </c>
      <c r="AI130" s="3">
        <f>((AF130+AG130)*-1)</f>
        <v>1244.3050000000003</v>
      </c>
      <c r="AJ130" s="8">
        <f>AI130/($AI$224)</f>
        <v>9.4955720525616454E-5</v>
      </c>
      <c r="AK130" s="56">
        <f>AJ130*($G$260+$G$313-$B$406)</f>
        <v>167.72259119492017</v>
      </c>
      <c r="AL130" s="3">
        <v>310.52478577768335</v>
      </c>
      <c r="AM130" s="8">
        <f>AL130/AL$224</f>
        <v>6.5903372991579594E-5</v>
      </c>
      <c r="AN130" s="3">
        <f>(AM130*$B$406)</f>
        <v>89.601236894252452</v>
      </c>
      <c r="AO130" s="3">
        <f>AN130+AK130</f>
        <v>257.32382808917259</v>
      </c>
      <c r="AP130" s="113">
        <f>$AO130/$AI130</f>
        <v>0.20680124896160712</v>
      </c>
      <c r="AQ130" s="3">
        <f>AB130+AD130+AH130</f>
        <v>128.45399999999972</v>
      </c>
      <c r="AR130" s="3">
        <f>AQ130+AO130</f>
        <v>385.77782808917232</v>
      </c>
      <c r="AS130" s="113">
        <f>AR130/AI130</f>
        <v>0.31003478093326975</v>
      </c>
      <c r="AT130" s="70"/>
      <c r="AU130" s="70"/>
      <c r="AV130" s="70"/>
      <c r="AW130" s="3"/>
      <c r="BA130" s="3"/>
      <c r="BB130" s="3"/>
      <c r="BC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</row>
    <row r="131" spans="1:68" ht="22.2" customHeight="1" x14ac:dyDescent="0.3">
      <c r="A131" s="2" t="s">
        <v>880</v>
      </c>
      <c r="B131" s="3">
        <v>0</v>
      </c>
      <c r="C131" s="88">
        <f>$B131/$AI131</f>
        <v>0</v>
      </c>
      <c r="D131" s="3">
        <v>0</v>
      </c>
      <c r="E131" s="88">
        <f>$D131/$AI131</f>
        <v>0</v>
      </c>
      <c r="F131" s="3">
        <v>19.93</v>
      </c>
      <c r="G131" s="88">
        <f>$F131/$AI131</f>
        <v>9.4685272425634268E-3</v>
      </c>
      <c r="H131" s="3">
        <v>0</v>
      </c>
      <c r="I131" s="88">
        <f>$H131/$AI131</f>
        <v>0</v>
      </c>
      <c r="J131" s="3">
        <v>100</v>
      </c>
      <c r="K131" s="88">
        <f>$J131/$AI131</f>
        <v>4.7508917423800437E-2</v>
      </c>
      <c r="L131" s="3">
        <v>18.05</v>
      </c>
      <c r="M131" s="88">
        <f>$L131/$AI131</f>
        <v>8.575359594995979E-3</v>
      </c>
      <c r="N131" s="3"/>
      <c r="O131" s="88">
        <f>$N131/$AI131</f>
        <v>0</v>
      </c>
      <c r="P131" s="3"/>
      <c r="Q131" s="88">
        <f>$P131/$AI131</f>
        <v>0</v>
      </c>
      <c r="R131" s="3">
        <v>146.32400000000001</v>
      </c>
      <c r="S131" s="88">
        <f>$R131/$AI131</f>
        <v>6.9516948331201756E-2</v>
      </c>
      <c r="U131" s="88">
        <f>$T131/$AI131</f>
        <v>0</v>
      </c>
      <c r="W131" s="88">
        <f>$V131/$AI131</f>
        <v>0</v>
      </c>
      <c r="Y131" s="88">
        <f>$X131/$AI131</f>
        <v>0</v>
      </c>
      <c r="Z131" s="3">
        <v>52.286000000000001</v>
      </c>
      <c r="AA131" s="88">
        <f>$Z131/$AI131</f>
        <v>2.4840512564208297E-2</v>
      </c>
      <c r="AB131" s="56">
        <v>336.59000000000003</v>
      </c>
      <c r="AC131" s="88">
        <f>$AB131/AI131</f>
        <v>0.1599102651567699</v>
      </c>
      <c r="AD131" s="101">
        <v>1227.4000000000001</v>
      </c>
      <c r="AE131" s="88">
        <f>$AD131/$AI131</f>
        <v>0.58312445245972666</v>
      </c>
      <c r="AF131" s="3">
        <v>-1815.5850000000003</v>
      </c>
      <c r="AG131" s="3">
        <v>-289.28300000000002</v>
      </c>
      <c r="AH131" s="89">
        <f>SUM(AF131,AG131)</f>
        <v>-2104.8680000000004</v>
      </c>
      <c r="AI131" s="3">
        <f>((AF131+AG131)*-1)</f>
        <v>2104.8680000000004</v>
      </c>
      <c r="AJ131" s="8">
        <f>AI131/($AI$224)</f>
        <v>1.6062722367210069E-4</v>
      </c>
      <c r="AK131" s="56">
        <f>AJ131*($G$260+$G$313-$B$406)</f>
        <v>283.71975928994033</v>
      </c>
      <c r="AL131" s="3">
        <v>684.32035941053516</v>
      </c>
      <c r="AM131" s="8">
        <f>AL131/AL$224</f>
        <v>1.4523484745031733E-4</v>
      </c>
      <c r="AN131" s="3">
        <f>(AM131*$B$406)</f>
        <v>197.45911902504878</v>
      </c>
      <c r="AO131" s="3">
        <f>AN131+AK131</f>
        <v>481.17887831498911</v>
      </c>
      <c r="AP131" s="113">
        <f>$AO131/$AI131</f>
        <v>0.22860287595943737</v>
      </c>
      <c r="AQ131" s="3">
        <f>AB131+AD131+AH131</f>
        <v>-540.87800000000016</v>
      </c>
      <c r="AR131" s="3">
        <f>AQ131+AO131</f>
        <v>-59.69912168501105</v>
      </c>
      <c r="AS131" s="113">
        <f>AR131/AI131</f>
        <v>-2.8362406424066042E-2</v>
      </c>
      <c r="AT131" s="70"/>
      <c r="AU131" s="70"/>
      <c r="AV131" s="70"/>
      <c r="AW131" s="3"/>
      <c r="BA131" s="3"/>
      <c r="BB131" s="3"/>
      <c r="BC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</row>
    <row r="132" spans="1:68" ht="22.2" customHeight="1" x14ac:dyDescent="0.3">
      <c r="A132" s="2" t="s">
        <v>881</v>
      </c>
      <c r="B132" s="3">
        <v>0</v>
      </c>
      <c r="C132" s="88">
        <f>$B132/$AI132</f>
        <v>0</v>
      </c>
      <c r="D132" s="3">
        <v>400</v>
      </c>
      <c r="E132" s="88">
        <f>$D132/$AI132</f>
        <v>7.88755874850945E-3</v>
      </c>
      <c r="F132" s="3">
        <v>20</v>
      </c>
      <c r="G132" s="88">
        <f>$F132/$AI132</f>
        <v>3.9437793742547249E-4</v>
      </c>
      <c r="H132" s="3">
        <v>0</v>
      </c>
      <c r="I132" s="88">
        <f>$H132/$AI132</f>
        <v>0</v>
      </c>
      <c r="J132" s="3">
        <v>3580.9720000000002</v>
      </c>
      <c r="K132" s="88">
        <f>$J132/$AI132</f>
        <v>7.0612817566918465E-2</v>
      </c>
      <c r="L132" s="3"/>
      <c r="M132" s="88">
        <f>$L132/$AI132</f>
        <v>0</v>
      </c>
      <c r="N132" s="3"/>
      <c r="O132" s="88">
        <f>$N132/$AI132</f>
        <v>0</v>
      </c>
      <c r="P132" s="3">
        <v>68.14</v>
      </c>
      <c r="Q132" s="88">
        <f>$P132/$AI132</f>
        <v>1.3436456328085849E-3</v>
      </c>
      <c r="R132" s="3">
        <v>-1754.0980000000002</v>
      </c>
      <c r="S132" s="88">
        <f>$R132/$AI132</f>
        <v>-3.4588877564107327E-2</v>
      </c>
      <c r="U132" s="88">
        <f>$T132/$AI132</f>
        <v>0</v>
      </c>
      <c r="W132" s="88">
        <f>$V132/$AI132</f>
        <v>0</v>
      </c>
      <c r="X132" s="3">
        <v>168.78</v>
      </c>
      <c r="Y132" s="88">
        <f>$X132/$AI132</f>
        <v>3.3281554139335625E-3</v>
      </c>
      <c r="Z132" s="3">
        <v>201.60000000000002</v>
      </c>
      <c r="AA132" s="88">
        <f>$Z132/$AI132</f>
        <v>3.9753296092487631E-3</v>
      </c>
      <c r="AB132" s="56">
        <v>2685.3939999999993</v>
      </c>
      <c r="AC132" s="88">
        <f>$AB132/AI132</f>
        <v>5.2953007344736951E-2</v>
      </c>
      <c r="AD132" s="101">
        <v>23651.610000000004</v>
      </c>
      <c r="AE132" s="88">
        <f>$AD132/$AI132</f>
        <v>0.46638365842958407</v>
      </c>
      <c r="AF132" s="3">
        <v>-44351.743999999992</v>
      </c>
      <c r="AG132" s="3">
        <v>-6361.0320000000002</v>
      </c>
      <c r="AH132" s="89">
        <f>SUM(AF132,AG132)</f>
        <v>-50712.775999999991</v>
      </c>
      <c r="AI132" s="3">
        <f>((AF132+AG132)*-1)</f>
        <v>50712.775999999991</v>
      </c>
      <c r="AJ132" s="8">
        <f>AI132/($AI$224)</f>
        <v>3.8700062966348179E-3</v>
      </c>
      <c r="AK132" s="56">
        <f>AJ132*($G$260+$G$313-$B$406)</f>
        <v>6835.685943082728</v>
      </c>
      <c r="AL132" s="3">
        <v>21151.20176967654</v>
      </c>
      <c r="AM132" s="8">
        <f>AL132/AL$224</f>
        <v>4.4889670753854851E-3</v>
      </c>
      <c r="AN132" s="3">
        <f>(AM132*$B$406)</f>
        <v>6103.1322688674118</v>
      </c>
      <c r="AO132" s="3">
        <f>AN132+AK132</f>
        <v>12938.81821195014</v>
      </c>
      <c r="AP132" s="113">
        <f>$AO132/$AI132</f>
        <v>0.2551392219576018</v>
      </c>
      <c r="AQ132" s="3">
        <f>AB132+AD132+AH132</f>
        <v>-24375.771999999986</v>
      </c>
      <c r="AR132" s="3">
        <f>AQ132+AO132</f>
        <v>-11436.953788049846</v>
      </c>
      <c r="AS132" s="113">
        <f>AR132/AI132</f>
        <v>-0.22552411226807714</v>
      </c>
      <c r="AT132" s="70"/>
      <c r="AU132" s="70"/>
      <c r="AV132" s="70"/>
      <c r="AW132" s="3"/>
      <c r="BA132" s="3"/>
      <c r="BB132" s="3"/>
      <c r="BC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</row>
    <row r="133" spans="1:68" ht="22.2" customHeight="1" x14ac:dyDescent="0.3">
      <c r="A133" s="2" t="s">
        <v>882</v>
      </c>
      <c r="B133" s="3">
        <v>0</v>
      </c>
      <c r="C133" s="88">
        <f>$B133/$AI133</f>
        <v>0</v>
      </c>
      <c r="D133" s="3">
        <v>350</v>
      </c>
      <c r="E133" s="88">
        <f>$D133/$AI133</f>
        <v>9.891124716400258E-3</v>
      </c>
      <c r="F133" s="3">
        <v>0</v>
      </c>
      <c r="G133" s="88">
        <f>$F133/$AI133</f>
        <v>0</v>
      </c>
      <c r="H133" s="3">
        <v>0</v>
      </c>
      <c r="I133" s="88">
        <f>$H133/$AI133</f>
        <v>0</v>
      </c>
      <c r="J133" s="3">
        <v>3493.2809999999999</v>
      </c>
      <c r="K133" s="88">
        <f>$J133/$AI133</f>
        <v>9.8721365829804036E-2</v>
      </c>
      <c r="L133" s="3"/>
      <c r="M133" s="88">
        <f>$L133/$AI133</f>
        <v>0</v>
      </c>
      <c r="N133" s="3"/>
      <c r="O133" s="88">
        <f>$N133/$AI133</f>
        <v>0</v>
      </c>
      <c r="P133" s="3">
        <v>52.85</v>
      </c>
      <c r="Q133" s="88">
        <f>$P133/$AI133</f>
        <v>1.4935598321764391E-3</v>
      </c>
      <c r="R133" s="3"/>
      <c r="S133" s="88">
        <f>$R133/$AI133</f>
        <v>0</v>
      </c>
      <c r="U133" s="88">
        <f>$T133/$AI133</f>
        <v>0</v>
      </c>
      <c r="W133" s="88">
        <f>$V133/$AI133</f>
        <v>0</v>
      </c>
      <c r="X133" s="3">
        <v>290.04000000000002</v>
      </c>
      <c r="Y133" s="88">
        <f>$X133/$AI133</f>
        <v>8.196633750699232E-3</v>
      </c>
      <c r="Z133" s="3">
        <v>677.07900000000006</v>
      </c>
      <c r="AA133" s="88">
        <f>$Z133/$AI133</f>
        <v>1.9134493805301633E-2</v>
      </c>
      <c r="AB133" s="56">
        <v>4863.2499999999991</v>
      </c>
      <c r="AC133" s="88">
        <f>$AB133/AI133</f>
        <v>0.13743717793438157</v>
      </c>
      <c r="AD133" s="101">
        <v>18326.455000000002</v>
      </c>
      <c r="AE133" s="88">
        <f>$AD133/$AI133</f>
        <v>0.51791214861284895</v>
      </c>
      <c r="AF133" s="3">
        <v>-30863.508000000002</v>
      </c>
      <c r="AG133" s="3">
        <v>-4521.75</v>
      </c>
      <c r="AH133" s="89">
        <f>SUM(AF133,AG133)</f>
        <v>-35385.258000000002</v>
      </c>
      <c r="AI133" s="3">
        <f>((AF133+AG133)*-1)</f>
        <v>35385.258000000002</v>
      </c>
      <c r="AJ133" s="8">
        <f>AI133/($AI$224)</f>
        <v>2.7003288336660491E-3</v>
      </c>
      <c r="AK133" s="56">
        <f>AJ133*($G$260+$G$313-$B$406)</f>
        <v>4769.6562835163222</v>
      </c>
      <c r="AL133" s="3">
        <v>16357.286400920037</v>
      </c>
      <c r="AM133" s="8">
        <f>AL133/AL$224</f>
        <v>3.4715436454135669E-3</v>
      </c>
      <c r="AN133" s="3">
        <f>(AM133*$B$406)</f>
        <v>4719.8586421544896</v>
      </c>
      <c r="AO133" s="3">
        <f>AN133+AK133</f>
        <v>9489.5149256708119</v>
      </c>
      <c r="AP133" s="113">
        <f>$AO133/$AI133</f>
        <v>0.26817707322271922</v>
      </c>
      <c r="AQ133" s="3">
        <f>AB133+AD133+AH133</f>
        <v>-12195.553</v>
      </c>
      <c r="AR133" s="3">
        <f>AQ133+AO133</f>
        <v>-2706.038074329188</v>
      </c>
      <c r="AS133" s="113">
        <f>AR133/AI133</f>
        <v>-7.6473600230050259E-2</v>
      </c>
      <c r="AT133" s="70"/>
      <c r="AU133" s="70"/>
      <c r="AV133" s="70"/>
      <c r="AW133" s="3"/>
      <c r="BA133" s="3"/>
      <c r="BB133" s="3"/>
      <c r="BC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</row>
    <row r="134" spans="1:68" ht="22.2" customHeight="1" x14ac:dyDescent="0.3">
      <c r="A134" s="2" t="s">
        <v>883</v>
      </c>
      <c r="B134" s="3">
        <v>0</v>
      </c>
      <c r="C134" s="88">
        <f>$B134/$AI134</f>
        <v>0</v>
      </c>
      <c r="D134" s="3">
        <v>1900</v>
      </c>
      <c r="E134" s="88">
        <f>$D134/$AI134</f>
        <v>1.2242870560859173E-2</v>
      </c>
      <c r="F134" s="3">
        <v>20</v>
      </c>
      <c r="G134" s="88">
        <f>$F134/$AI134</f>
        <v>1.2887232169325445E-4</v>
      </c>
      <c r="H134" s="3">
        <v>0</v>
      </c>
      <c r="I134" s="88">
        <f>$H134/$AI134</f>
        <v>0</v>
      </c>
      <c r="J134" s="3">
        <v>7704.4339999999993</v>
      </c>
      <c r="K134" s="88">
        <f>$J134/$AI134</f>
        <v>4.9644414845622355E-2</v>
      </c>
      <c r="L134" s="3"/>
      <c r="M134" s="88">
        <f>$L134/$AI134</f>
        <v>0</v>
      </c>
      <c r="N134" s="3"/>
      <c r="O134" s="88">
        <f>$N134/$AI134</f>
        <v>0</v>
      </c>
      <c r="P134" s="3">
        <v>163.53</v>
      </c>
      <c r="Q134" s="88">
        <f>$P134/$AI134</f>
        <v>1.0537245383248949E-3</v>
      </c>
      <c r="R134" s="3">
        <v>6535.2030000000004</v>
      </c>
      <c r="S134" s="88">
        <f>$R134/$AI134</f>
        <v>4.2110339167336079E-2</v>
      </c>
      <c r="U134" s="88">
        <f>$T134/$AI134</f>
        <v>0</v>
      </c>
      <c r="W134" s="88">
        <f>$V134/$AI134</f>
        <v>0</v>
      </c>
      <c r="X134" s="3">
        <v>209.29000000000002</v>
      </c>
      <c r="Y134" s="88">
        <f>$X134/$AI134</f>
        <v>1.3485844103590613E-3</v>
      </c>
      <c r="Z134" s="3">
        <v>1053.1849999999999</v>
      </c>
      <c r="AA134" s="88">
        <f>$Z134/$AI134</f>
        <v>6.7863198061255091E-3</v>
      </c>
      <c r="AB134" s="56">
        <v>17585.641999999996</v>
      </c>
      <c r="AC134" s="88">
        <f>$AB134/AI134</f>
        <v>0.1133151256503203</v>
      </c>
      <c r="AD134" s="101">
        <v>83107.282999999981</v>
      </c>
      <c r="AE134" s="88">
        <f>$AD134/$AI134</f>
        <v>0.53551142549141673</v>
      </c>
      <c r="AF134" s="3">
        <v>-138174.90400000001</v>
      </c>
      <c r="AG134" s="3">
        <v>-17017.457999999999</v>
      </c>
      <c r="AH134" s="89">
        <f>SUM(AF134,AG134)</f>
        <v>-155192.36200000002</v>
      </c>
      <c r="AI134" s="3">
        <f>((AF134+AG134)*-1)</f>
        <v>155192.36200000002</v>
      </c>
      <c r="AJ134" s="8">
        <f>AI134/($AI$224)</f>
        <v>1.1843079111457638E-2</v>
      </c>
      <c r="AK134" s="56">
        <f>AJ134*($G$260+$G$313-$B$406)</f>
        <v>20918.717748703137</v>
      </c>
      <c r="AL134" s="3">
        <v>50589.850205642753</v>
      </c>
      <c r="AM134" s="8">
        <f>AL134/AL$224</f>
        <v>1.0736797577497029E-2</v>
      </c>
      <c r="AN134" s="3">
        <f>(AM134*$B$406)</f>
        <v>14597.588857096354</v>
      </c>
      <c r="AO134" s="3">
        <f>AN134+AK134</f>
        <v>35516.306605799487</v>
      </c>
      <c r="AP134" s="113">
        <f>$AO134/$AI134</f>
        <v>0.22885344451294248</v>
      </c>
      <c r="AQ134" s="3">
        <f>AB134+AD134+AH134</f>
        <v>-54499.437000000049</v>
      </c>
      <c r="AR134" s="3">
        <f>AQ134+AO134</f>
        <v>-18983.130394200562</v>
      </c>
      <c r="AS134" s="113">
        <f>AR134/AI134</f>
        <v>-0.12232000434532055</v>
      </c>
      <c r="AT134" s="70"/>
      <c r="AU134" s="70"/>
      <c r="AV134" s="70"/>
      <c r="AW134" s="3"/>
      <c r="BA134" s="3"/>
      <c r="BB134" s="3"/>
      <c r="BC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</row>
    <row r="135" spans="1:68" ht="22.2" customHeight="1" x14ac:dyDescent="0.3">
      <c r="A135" s="2" t="s">
        <v>884</v>
      </c>
      <c r="B135" s="3">
        <v>0</v>
      </c>
      <c r="C135" s="88">
        <f>$B135/$AI135</f>
        <v>0</v>
      </c>
      <c r="D135" s="3">
        <v>1560</v>
      </c>
      <c r="E135" s="88">
        <f>$D135/$AI135</f>
        <v>1.5079054116067057E-2</v>
      </c>
      <c r="F135" s="3">
        <v>20.67</v>
      </c>
      <c r="G135" s="88">
        <f>$F135/$AI135</f>
        <v>1.9979746703788852E-4</v>
      </c>
      <c r="H135" s="3">
        <v>0</v>
      </c>
      <c r="I135" s="88">
        <f>$H135/$AI135</f>
        <v>0</v>
      </c>
      <c r="J135" s="3">
        <v>5882.6759999999995</v>
      </c>
      <c r="K135" s="88">
        <f>$J135/$AI135</f>
        <v>5.6862301122621077E-2</v>
      </c>
      <c r="L135" s="3"/>
      <c r="M135" s="88">
        <f>$L135/$AI135</f>
        <v>0</v>
      </c>
      <c r="N135" s="3"/>
      <c r="O135" s="88">
        <f>$N135/$AI135</f>
        <v>0</v>
      </c>
      <c r="P135" s="3">
        <v>182.38</v>
      </c>
      <c r="Q135" s="88">
        <f>$P135/$AI135</f>
        <v>1.7628960831335319E-3</v>
      </c>
      <c r="R135" s="3">
        <v>168.327</v>
      </c>
      <c r="S135" s="88">
        <f>$R135/$AI135</f>
        <v>1.6270589373046278E-3</v>
      </c>
      <c r="U135" s="88">
        <f>$T135/$AI135</f>
        <v>0</v>
      </c>
      <c r="W135" s="88">
        <f>$V135/$AI135</f>
        <v>0</v>
      </c>
      <c r="X135" s="3">
        <v>71.63000000000001</v>
      </c>
      <c r="Y135" s="88">
        <f>$X135/$AI135</f>
        <v>6.9237990149607909E-4</v>
      </c>
      <c r="Z135" s="3">
        <v>62.42</v>
      </c>
      <c r="AA135" s="88">
        <f>$Z135/$AI135</f>
        <v>6.0335548584929848E-4</v>
      </c>
      <c r="AB135" s="56">
        <v>7948.1029999999992</v>
      </c>
      <c r="AC135" s="88">
        <f>$AB135/AI135</f>
        <v>7.6826843113509555E-2</v>
      </c>
      <c r="AD135" s="101">
        <v>52878.370999999999</v>
      </c>
      <c r="AE135" s="88">
        <f>$AD135/$AI135</f>
        <v>0.51112552428107105</v>
      </c>
      <c r="AF135" s="3">
        <v>-90898.308999999994</v>
      </c>
      <c r="AG135" s="3">
        <v>-12556.456</v>
      </c>
      <c r="AH135" s="89">
        <f>SUM(AF135,AG135)</f>
        <v>-103454.765</v>
      </c>
      <c r="AI135" s="3">
        <f>((AF135+AG135)*-1)</f>
        <v>103454.765</v>
      </c>
      <c r="AJ135" s="8">
        <f>AI135/($AI$224)</f>
        <v>7.8948664132855884E-3</v>
      </c>
      <c r="AK135" s="56">
        <f>AJ135*($G$260+$G$313-$B$406)</f>
        <v>13944.893942611763</v>
      </c>
      <c r="AL135" s="3">
        <v>37508.997961555848</v>
      </c>
      <c r="AM135" s="8">
        <f>AL135/AL$224</f>
        <v>7.9606189148797666E-3</v>
      </c>
      <c r="AN135" s="3">
        <f>(AM135*$B$406)</f>
        <v>10823.13801007035</v>
      </c>
      <c r="AO135" s="3">
        <f>AN135+AK135</f>
        <v>24768.031952682111</v>
      </c>
      <c r="AP135" s="113">
        <f>$AO135/$AI135</f>
        <v>0.23940929113010997</v>
      </c>
      <c r="AQ135" s="3">
        <f>AB135+AD135+AH135</f>
        <v>-42628.290999999997</v>
      </c>
      <c r="AR135" s="3">
        <f>AQ135+AO135</f>
        <v>-17860.259047317886</v>
      </c>
      <c r="AS135" s="113">
        <f>AR135/AI135</f>
        <v>-0.1726383414753094</v>
      </c>
      <c r="AT135" s="70"/>
      <c r="AU135" s="70"/>
      <c r="AV135" s="70"/>
      <c r="AW135" s="3"/>
      <c r="BA135" s="3"/>
      <c r="BB135" s="3"/>
      <c r="BC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</row>
    <row r="136" spans="1:68" ht="22.2" customHeight="1" x14ac:dyDescent="0.3">
      <c r="A136" s="2" t="s">
        <v>885</v>
      </c>
      <c r="B136" s="3">
        <v>0</v>
      </c>
      <c r="C136" s="88">
        <f>$B136/$AI136</f>
        <v>0</v>
      </c>
      <c r="D136" s="3">
        <v>300</v>
      </c>
      <c r="E136" s="88">
        <f>$D136/$AI136</f>
        <v>7.4455176110193077E-3</v>
      </c>
      <c r="F136" s="3">
        <v>65.11</v>
      </c>
      <c r="G136" s="88">
        <f>$F136/$AI136</f>
        <v>1.6159255055115571E-3</v>
      </c>
      <c r="H136" s="3">
        <v>0</v>
      </c>
      <c r="I136" s="88">
        <f>$H136/$AI136</f>
        <v>0</v>
      </c>
      <c r="J136" s="3">
        <v>3046.1220000000003</v>
      </c>
      <c r="K136" s="88">
        <f>$J136/$AI136</f>
        <v>7.5599849987711187E-2</v>
      </c>
      <c r="L136" s="3"/>
      <c r="M136" s="88">
        <f>$L136/$AI136</f>
        <v>0</v>
      </c>
      <c r="N136" s="3"/>
      <c r="O136" s="88">
        <f>$N136/$AI136</f>
        <v>0</v>
      </c>
      <c r="P136" s="3">
        <v>44.57</v>
      </c>
      <c r="Q136" s="88">
        <f>$P136/$AI136</f>
        <v>1.1061557330771018E-3</v>
      </c>
      <c r="R136" s="3">
        <v>2341.5940000000001</v>
      </c>
      <c r="S136" s="88">
        <f>$R136/$AI136</f>
        <v>5.8114597882857152E-2</v>
      </c>
      <c r="T136" s="3">
        <v>160</v>
      </c>
      <c r="U136" s="88">
        <f>$T136/$AI136</f>
        <v>3.9709427258769643E-3</v>
      </c>
      <c r="W136" s="88">
        <f>$V136/$AI136</f>
        <v>0</v>
      </c>
      <c r="X136" s="3">
        <v>100.73</v>
      </c>
      <c r="Y136" s="88">
        <f>$X136/$AI136</f>
        <v>2.4999566298599162E-3</v>
      </c>
      <c r="Z136" s="3">
        <v>290.11199999999997</v>
      </c>
      <c r="AA136" s="88">
        <f>$Z136/$AI136</f>
        <v>7.2001133505601106E-3</v>
      </c>
      <c r="AB136" s="56">
        <v>6348.2379999999985</v>
      </c>
      <c r="AC136" s="88">
        <f>$AB136/AI136</f>
        <v>0.15755305942647327</v>
      </c>
      <c r="AD136" s="101">
        <v>21217.678</v>
      </c>
      <c r="AE136" s="88">
        <f>$AD136/$AI136</f>
        <v>0.52658865071312311</v>
      </c>
      <c r="AF136" s="3">
        <v>-35316.122999999992</v>
      </c>
      <c r="AG136" s="3">
        <v>-4976.576</v>
      </c>
      <c r="AH136" s="89">
        <f>SUM(AF136,AG136)</f>
        <v>-40292.698999999993</v>
      </c>
      <c r="AI136" s="3">
        <f>((AF136+AG136)*-1)</f>
        <v>40292.698999999993</v>
      </c>
      <c r="AJ136" s="8">
        <f>AI136/($AI$224)</f>
        <v>3.0748267229230644E-3</v>
      </c>
      <c r="AK136" s="56">
        <f>AJ136*($G$260+$G$313-$B$406)</f>
        <v>5431.1409843382171</v>
      </c>
      <c r="AL136" s="3">
        <v>14679.118060839122</v>
      </c>
      <c r="AM136" s="8">
        <f>AL136/AL$224</f>
        <v>3.1153822079874635E-3</v>
      </c>
      <c r="AN136" s="3">
        <f>(AM136*$B$406)</f>
        <v>4235.6268968158829</v>
      </c>
      <c r="AO136" s="3">
        <f>AN136+AK136</f>
        <v>9666.7678811541009</v>
      </c>
      <c r="AP136" s="113">
        <f>$AO136/$AI136</f>
        <v>0.23991363500256219</v>
      </c>
      <c r="AQ136" s="3">
        <f>AB136+AD136+AH136</f>
        <v>-12726.782999999996</v>
      </c>
      <c r="AR136" s="3">
        <f>AQ136+AO136</f>
        <v>-3060.0151188458949</v>
      </c>
      <c r="AS136" s="113">
        <f>AR136/AI136</f>
        <v>-7.5944654857841506E-2</v>
      </c>
      <c r="AT136" s="70"/>
      <c r="AU136" s="70"/>
      <c r="AV136" s="70"/>
      <c r="AW136" s="3"/>
      <c r="BA136" s="3"/>
      <c r="BB136" s="3"/>
      <c r="BC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</row>
    <row r="137" spans="1:68" ht="22.2" customHeight="1" x14ac:dyDescent="0.3">
      <c r="A137" s="2" t="s">
        <v>886</v>
      </c>
      <c r="B137" s="3">
        <v>0</v>
      </c>
      <c r="C137" s="88">
        <v>0</v>
      </c>
      <c r="D137" s="3">
        <v>1480</v>
      </c>
      <c r="E137" s="88">
        <v>0</v>
      </c>
      <c r="F137" s="3">
        <v>0</v>
      </c>
      <c r="G137" s="88">
        <v>0</v>
      </c>
      <c r="H137" s="3">
        <v>0</v>
      </c>
      <c r="I137" s="88">
        <v>0</v>
      </c>
      <c r="J137" s="3">
        <v>3760.4809999999998</v>
      </c>
      <c r="K137" s="88">
        <v>0</v>
      </c>
      <c r="L137" s="3"/>
      <c r="M137" s="88">
        <v>0</v>
      </c>
      <c r="N137" s="3"/>
      <c r="O137" s="88">
        <v>0</v>
      </c>
      <c r="P137" s="3">
        <v>103.87</v>
      </c>
      <c r="Q137" s="88">
        <v>0</v>
      </c>
      <c r="R137" s="3">
        <v>365.52699999999999</v>
      </c>
      <c r="S137" s="88">
        <v>0</v>
      </c>
      <c r="U137" s="88">
        <v>0</v>
      </c>
      <c r="W137" s="88">
        <f>$V137/$AI137</f>
        <v>0</v>
      </c>
      <c r="X137" s="3">
        <v>328.38</v>
      </c>
      <c r="Y137" s="88">
        <v>0</v>
      </c>
      <c r="Z137" s="3">
        <v>50.388000000000005</v>
      </c>
      <c r="AA137" s="88">
        <v>0</v>
      </c>
      <c r="AB137" s="56">
        <v>6088.6459999999997</v>
      </c>
      <c r="AC137" s="88">
        <f>$AB137/AI137</f>
        <v>9.8075533085769356E-2</v>
      </c>
      <c r="AD137" s="101">
        <v>27039.458000000006</v>
      </c>
      <c r="AE137" s="88">
        <f>$AD137/$AI137</f>
        <v>0.43554991663175552</v>
      </c>
      <c r="AF137" s="3">
        <v>-54368.21</v>
      </c>
      <c r="AG137" s="3">
        <v>-7712.982</v>
      </c>
      <c r="AH137" s="89">
        <f>SUM(AF137,AG137)</f>
        <v>-62081.191999999995</v>
      </c>
      <c r="AI137" s="3">
        <f>((AF137+AG137)*-1)</f>
        <v>62081.191999999995</v>
      </c>
      <c r="AJ137" s="8">
        <f>AI137/($AI$224)</f>
        <v>4.7375557579927216E-3</v>
      </c>
      <c r="AK137" s="56">
        <f>AJ137*($G$260+$G$313-$B$406)</f>
        <v>8368.0595888542939</v>
      </c>
      <c r="AL137" s="3">
        <v>22553.038796817909</v>
      </c>
      <c r="AM137" s="8">
        <f>AL137/AL$224</f>
        <v>4.7864820973884219E-3</v>
      </c>
      <c r="AN137" s="3">
        <f>(AM137*$B$406)</f>
        <v>6507.6292279151658</v>
      </c>
      <c r="AO137" s="3">
        <f>AN137+AK137</f>
        <v>14875.68881676946</v>
      </c>
      <c r="AP137" s="113">
        <v>0</v>
      </c>
      <c r="AQ137" s="3">
        <f>AB137+AD137+AH137</f>
        <v>-28953.087999999989</v>
      </c>
      <c r="AR137" s="3">
        <f>AQ137+AO137</f>
        <v>-14077.399183230529</v>
      </c>
      <c r="AS137" s="113">
        <f>AR137/AI137</f>
        <v>-0.2267578751263431</v>
      </c>
      <c r="AT137" s="70"/>
      <c r="AU137" s="70"/>
      <c r="AV137" s="70"/>
      <c r="AW137" s="3"/>
      <c r="BA137" s="3"/>
      <c r="BB137" s="3"/>
      <c r="BC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</row>
    <row r="138" spans="1:68" ht="22.2" customHeight="1" x14ac:dyDescent="0.3">
      <c r="A138" s="2" t="s">
        <v>887</v>
      </c>
      <c r="B138" s="3">
        <v>0</v>
      </c>
      <c r="C138" s="88">
        <v>0</v>
      </c>
      <c r="D138" s="3">
        <v>550</v>
      </c>
      <c r="E138" s="88">
        <v>0</v>
      </c>
      <c r="F138" s="3">
        <v>149.93</v>
      </c>
      <c r="G138" s="88">
        <v>0</v>
      </c>
      <c r="H138" s="3">
        <v>0</v>
      </c>
      <c r="I138" s="88">
        <v>0</v>
      </c>
      <c r="J138" s="3">
        <v>2372.8969999999999</v>
      </c>
      <c r="K138" s="88">
        <v>0</v>
      </c>
      <c r="L138" s="3"/>
      <c r="M138" s="88">
        <v>0</v>
      </c>
      <c r="N138" s="3"/>
      <c r="O138" s="88">
        <v>0</v>
      </c>
      <c r="P138" s="3">
        <v>77.849999999999994</v>
      </c>
      <c r="Q138" s="88">
        <v>0</v>
      </c>
      <c r="R138" s="3">
        <v>1248.4010000000001</v>
      </c>
      <c r="S138" s="88">
        <v>0</v>
      </c>
      <c r="U138" s="88">
        <v>0</v>
      </c>
      <c r="W138" s="88">
        <f>$V138/$AI138</f>
        <v>0</v>
      </c>
      <c r="X138" s="3">
        <v>93.240000000000009</v>
      </c>
      <c r="Y138" s="88">
        <v>0</v>
      </c>
      <c r="Z138" s="3">
        <v>270.15100000000001</v>
      </c>
      <c r="AA138" s="88">
        <v>0</v>
      </c>
      <c r="AB138" s="56">
        <v>4762.469000000001</v>
      </c>
      <c r="AC138" s="88">
        <f>$AB138/AI138</f>
        <v>0.18855447674198553</v>
      </c>
      <c r="AD138" s="101">
        <v>13146.991999999998</v>
      </c>
      <c r="AE138" s="88">
        <f>$AD138/$AI138</f>
        <v>0.52051240591614745</v>
      </c>
      <c r="AF138" s="3">
        <v>-21987.076000000001</v>
      </c>
      <c r="AG138" s="3">
        <v>-3270.712</v>
      </c>
      <c r="AH138" s="89">
        <f>SUM(AF138,AG138)</f>
        <v>-25257.788</v>
      </c>
      <c r="AI138" s="3">
        <f>((AF138+AG138)*-1)</f>
        <v>25257.788</v>
      </c>
      <c r="AJ138" s="8">
        <f>AI138/($AI$224)</f>
        <v>1.9274787599690335E-3</v>
      </c>
      <c r="AK138" s="56">
        <f>AJ138*($G$260+$G$313-$B$406)</f>
        <v>3404.5524619863768</v>
      </c>
      <c r="AL138" s="3">
        <v>7055.5520493450022</v>
      </c>
      <c r="AM138" s="8">
        <f>AL138/AL$224</f>
        <v>1.4974156642761133E-3</v>
      </c>
      <c r="AN138" s="3">
        <f>(AM138*$B$406)</f>
        <v>2035.8638651334466</v>
      </c>
      <c r="AO138" s="3">
        <f>AN138+AK138</f>
        <v>5440.4163271198231</v>
      </c>
      <c r="AP138" s="113">
        <v>0</v>
      </c>
      <c r="AQ138" s="3">
        <f>AB138+AD138+AH138</f>
        <v>-7348.3270000000011</v>
      </c>
      <c r="AR138" s="3">
        <f>AQ138+AO138</f>
        <v>-1907.910672880178</v>
      </c>
      <c r="AS138" s="113">
        <f>AR138/AI138</f>
        <v>-7.5537520264251881E-2</v>
      </c>
      <c r="AT138" s="70"/>
      <c r="AU138" s="70"/>
      <c r="AV138" s="70"/>
      <c r="AW138" s="3"/>
      <c r="BA138" s="3"/>
      <c r="BB138" s="3"/>
      <c r="BC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</row>
    <row r="139" spans="1:68" ht="22.2" customHeight="1" x14ac:dyDescent="0.3">
      <c r="A139" s="2" t="s">
        <v>888</v>
      </c>
      <c r="B139" s="3">
        <v>0</v>
      </c>
      <c r="C139" s="88">
        <v>0</v>
      </c>
      <c r="D139" s="3">
        <v>480</v>
      </c>
      <c r="E139" s="88">
        <v>0</v>
      </c>
      <c r="F139" s="3">
        <v>41.94</v>
      </c>
      <c r="G139" s="88">
        <v>0</v>
      </c>
      <c r="H139" s="3">
        <v>0</v>
      </c>
      <c r="I139" s="88">
        <v>0</v>
      </c>
      <c r="J139" s="3">
        <v>4534.857</v>
      </c>
      <c r="K139" s="88">
        <v>0</v>
      </c>
      <c r="L139" s="3"/>
      <c r="M139" s="88">
        <v>0</v>
      </c>
      <c r="N139" s="3"/>
      <c r="O139" s="88">
        <v>0</v>
      </c>
      <c r="P139" s="3">
        <v>186.54</v>
      </c>
      <c r="Q139" s="88">
        <v>0</v>
      </c>
      <c r="R139" s="3">
        <v>132.053</v>
      </c>
      <c r="S139" s="88">
        <v>0</v>
      </c>
      <c r="U139" s="88">
        <v>0</v>
      </c>
      <c r="W139" s="88">
        <f>$V139/$AI139</f>
        <v>0</v>
      </c>
      <c r="X139" s="3">
        <v>199.05</v>
      </c>
      <c r="Y139" s="88">
        <v>0</v>
      </c>
      <c r="Z139" s="3">
        <v>298.202</v>
      </c>
      <c r="AA139" s="88">
        <v>0</v>
      </c>
      <c r="AB139" s="56">
        <v>5872.6419999999998</v>
      </c>
      <c r="AC139" s="88">
        <f>$AB139/AI139</f>
        <v>5.805997738834829E-2</v>
      </c>
      <c r="AD139" s="101">
        <v>46064.281000000003</v>
      </c>
      <c r="AE139" s="88">
        <f>$AD139/$AI139</f>
        <v>0.45541531618486564</v>
      </c>
      <c r="AF139" s="3">
        <v>-88462.964000000007</v>
      </c>
      <c r="AG139" s="3">
        <v>-12684.887999999999</v>
      </c>
      <c r="AH139" s="89">
        <f>SUM(AF139,AG139)</f>
        <v>-101147.85200000001</v>
      </c>
      <c r="AI139" s="3">
        <f>((AF139+AG139)*-1)</f>
        <v>101147.85200000001</v>
      </c>
      <c r="AJ139" s="8">
        <f>AI139/($AI$224)</f>
        <v>7.7188206800409978E-3</v>
      </c>
      <c r="AK139" s="56">
        <f>AJ139*($G$260+$G$313-$B$406)</f>
        <v>13633.940096069922</v>
      </c>
      <c r="AL139" s="3">
        <v>36887.604293449753</v>
      </c>
      <c r="AM139" s="8">
        <f>AL139/AL$224</f>
        <v>7.8287391405125108E-3</v>
      </c>
      <c r="AN139" s="3">
        <f>(AM139*$B$406)</f>
        <v>10643.836247986779</v>
      </c>
      <c r="AO139" s="3">
        <f>AN139+AK139</f>
        <v>24277.7763440567</v>
      </c>
      <c r="AP139" s="113">
        <v>0</v>
      </c>
      <c r="AQ139" s="3">
        <f>AB139+AD139+AH139</f>
        <v>-49210.929000000011</v>
      </c>
      <c r="AR139" s="3">
        <f>AQ139+AO139</f>
        <v>-24933.152655943311</v>
      </c>
      <c r="AS139" s="113">
        <f>AR139/AI139</f>
        <v>-0.24650204787288324</v>
      </c>
      <c r="AT139" s="70"/>
      <c r="AU139" s="70"/>
      <c r="AV139" s="70"/>
      <c r="AW139" s="3"/>
      <c r="BA139" s="3"/>
      <c r="BB139" s="3"/>
      <c r="BC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</row>
    <row r="140" spans="1:68" ht="22.2" customHeight="1" x14ac:dyDescent="0.3">
      <c r="A140" s="2" t="s">
        <v>889</v>
      </c>
      <c r="B140" s="3">
        <v>0</v>
      </c>
      <c r="C140" s="88">
        <v>0</v>
      </c>
      <c r="D140" s="3">
        <v>0</v>
      </c>
      <c r="E140" s="88">
        <v>0</v>
      </c>
      <c r="F140" s="3">
        <v>0</v>
      </c>
      <c r="G140" s="88">
        <v>0</v>
      </c>
      <c r="H140" s="3">
        <v>0</v>
      </c>
      <c r="I140" s="88">
        <v>0</v>
      </c>
      <c r="J140" s="3">
        <v>0</v>
      </c>
      <c r="K140" s="88">
        <v>0</v>
      </c>
      <c r="L140" s="3"/>
      <c r="M140" s="88">
        <v>0</v>
      </c>
      <c r="N140" s="3"/>
      <c r="O140" s="88">
        <v>0</v>
      </c>
      <c r="P140" s="3"/>
      <c r="Q140" s="88">
        <v>0</v>
      </c>
      <c r="R140" s="3"/>
      <c r="S140" s="88">
        <v>0</v>
      </c>
      <c r="U140" s="88">
        <v>0</v>
      </c>
      <c r="W140" s="88">
        <v>0</v>
      </c>
      <c r="Y140" s="88">
        <v>0</v>
      </c>
      <c r="AA140" s="88">
        <v>0</v>
      </c>
      <c r="AB140" s="56">
        <v>0</v>
      </c>
      <c r="AC140" s="88">
        <v>0</v>
      </c>
      <c r="AD140" s="101"/>
      <c r="AE140" s="88">
        <v>0</v>
      </c>
      <c r="AF140" s="3">
        <v>0</v>
      </c>
      <c r="AG140" s="3">
        <v>0</v>
      </c>
      <c r="AH140" s="89">
        <f>SUM(AF140,AG140)</f>
        <v>0</v>
      </c>
      <c r="AI140" s="3">
        <f>((AF140+AG140)*-1)</f>
        <v>0</v>
      </c>
      <c r="AJ140" s="8">
        <f>AI140/($AI$224)</f>
        <v>0</v>
      </c>
      <c r="AK140" s="56">
        <f>AJ140*($G$260+$G$313-$B$406)</f>
        <v>0</v>
      </c>
      <c r="AL140" s="3">
        <v>0</v>
      </c>
      <c r="AM140" s="8">
        <f>AL140/AL$224</f>
        <v>0</v>
      </c>
      <c r="AN140" s="3">
        <f>(AM140*$B$406)</f>
        <v>0</v>
      </c>
      <c r="AO140" s="3">
        <f>AN140+AK140</f>
        <v>0</v>
      </c>
      <c r="AP140" s="113">
        <v>0</v>
      </c>
      <c r="AQ140" s="3">
        <f>AB140+AD140+AH140</f>
        <v>0</v>
      </c>
      <c r="AR140" s="3">
        <f>AQ140+AO140</f>
        <v>0</v>
      </c>
      <c r="AS140" s="113">
        <v>0</v>
      </c>
      <c r="AT140" s="70"/>
      <c r="AU140" s="70"/>
      <c r="AV140" s="70"/>
      <c r="AW140" s="3"/>
      <c r="BA140" s="3"/>
      <c r="BB140" s="3"/>
      <c r="BC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</row>
    <row r="141" spans="1:68" ht="22.2" customHeight="1" x14ac:dyDescent="0.3">
      <c r="A141" s="2" t="s">
        <v>1035</v>
      </c>
      <c r="B141" s="3">
        <v>0</v>
      </c>
      <c r="C141" s="88">
        <v>0</v>
      </c>
      <c r="D141" s="3">
        <v>0</v>
      </c>
      <c r="E141" s="88">
        <v>0</v>
      </c>
      <c r="F141" s="3">
        <v>0</v>
      </c>
      <c r="G141" s="88">
        <v>0</v>
      </c>
      <c r="H141" s="3">
        <v>0</v>
      </c>
      <c r="I141" s="88">
        <v>0</v>
      </c>
      <c r="J141" s="3">
        <v>0</v>
      </c>
      <c r="K141" s="88">
        <v>0</v>
      </c>
      <c r="L141" s="3"/>
      <c r="M141" s="88">
        <v>0</v>
      </c>
      <c r="N141" s="3"/>
      <c r="O141" s="88">
        <v>0</v>
      </c>
      <c r="P141" s="3"/>
      <c r="Q141" s="88">
        <v>0</v>
      </c>
      <c r="R141" s="3"/>
      <c r="S141" s="88">
        <v>0</v>
      </c>
      <c r="U141" s="88">
        <v>0</v>
      </c>
      <c r="W141" s="88">
        <v>0</v>
      </c>
      <c r="Y141" s="88">
        <v>0</v>
      </c>
      <c r="AA141" s="88">
        <v>0</v>
      </c>
      <c r="AB141" s="56">
        <v>0</v>
      </c>
      <c r="AC141" s="88">
        <v>0</v>
      </c>
      <c r="AD141" s="101">
        <v>183.98099999999999</v>
      </c>
      <c r="AE141" s="88">
        <v>0</v>
      </c>
      <c r="AF141" s="3">
        <v>0</v>
      </c>
      <c r="AG141" s="3">
        <v>0</v>
      </c>
      <c r="AH141" s="89">
        <f>SUM(AF141,AG141)</f>
        <v>0</v>
      </c>
      <c r="AI141" s="3">
        <f>((AF141+AG141)*-1)</f>
        <v>0</v>
      </c>
      <c r="AJ141" s="8">
        <f>AI141/($AI$224)</f>
        <v>0</v>
      </c>
      <c r="AK141" s="56">
        <f>AJ141*($G$260+$G$313-$B$406)</f>
        <v>0</v>
      </c>
      <c r="AL141" s="3">
        <v>0</v>
      </c>
      <c r="AM141" s="8">
        <f>AL141/AL$224</f>
        <v>0</v>
      </c>
      <c r="AN141" s="3">
        <f>(AM141*$B$406)</f>
        <v>0</v>
      </c>
      <c r="AO141" s="3">
        <f>AN141+AK141</f>
        <v>0</v>
      </c>
      <c r="AP141" s="113">
        <v>0</v>
      </c>
      <c r="AQ141" s="3">
        <f>AB141+AD141+AH141</f>
        <v>183.98099999999999</v>
      </c>
      <c r="AR141" s="3">
        <f>AQ141+AO141</f>
        <v>183.98099999999999</v>
      </c>
      <c r="AS141" s="113">
        <v>0</v>
      </c>
      <c r="AT141" s="70"/>
      <c r="AU141" s="70"/>
      <c r="AV141" s="70"/>
      <c r="AW141" s="3"/>
      <c r="BA141" s="3"/>
      <c r="BB141" s="3"/>
      <c r="BC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</row>
    <row r="142" spans="1:68" ht="22.2" customHeight="1" x14ac:dyDescent="0.3">
      <c r="A142" s="2" t="s">
        <v>890</v>
      </c>
      <c r="B142" s="3">
        <v>0</v>
      </c>
      <c r="C142" s="88">
        <v>0</v>
      </c>
      <c r="D142" s="3">
        <v>0</v>
      </c>
      <c r="E142" s="88">
        <v>0</v>
      </c>
      <c r="F142" s="3">
        <v>0</v>
      </c>
      <c r="G142" s="88">
        <v>0</v>
      </c>
      <c r="H142" s="3">
        <v>0</v>
      </c>
      <c r="I142" s="88">
        <v>0</v>
      </c>
      <c r="J142" s="3">
        <v>0</v>
      </c>
      <c r="K142" s="88">
        <v>0</v>
      </c>
      <c r="L142" s="3"/>
      <c r="M142" s="88">
        <v>0</v>
      </c>
      <c r="N142" s="3"/>
      <c r="O142" s="88">
        <v>0</v>
      </c>
      <c r="P142" s="3"/>
      <c r="Q142" s="88">
        <v>0</v>
      </c>
      <c r="R142" s="3"/>
      <c r="S142" s="88">
        <v>0</v>
      </c>
      <c r="U142" s="88">
        <v>0</v>
      </c>
      <c r="W142" s="88">
        <v>0</v>
      </c>
      <c r="Y142" s="88">
        <v>0</v>
      </c>
      <c r="AA142" s="88">
        <v>0</v>
      </c>
      <c r="AB142" s="56">
        <v>0</v>
      </c>
      <c r="AC142" s="88">
        <v>0</v>
      </c>
      <c r="AD142" s="101"/>
      <c r="AE142" s="88">
        <v>0</v>
      </c>
      <c r="AF142" s="3">
        <v>0</v>
      </c>
      <c r="AG142" s="3">
        <v>0</v>
      </c>
      <c r="AH142" s="89">
        <f>SUM(AF142,AG142)</f>
        <v>0</v>
      </c>
      <c r="AI142" s="3">
        <f>((AF142+AG142)*-1)</f>
        <v>0</v>
      </c>
      <c r="AJ142" s="8">
        <f>AI142/($AI$224)</f>
        <v>0</v>
      </c>
      <c r="AK142" s="56">
        <f>AJ142*($G$260+$G$313-$B$406)</f>
        <v>0</v>
      </c>
      <c r="AL142" s="3">
        <v>0</v>
      </c>
      <c r="AM142" s="8">
        <f>AL142/AL$224</f>
        <v>0</v>
      </c>
      <c r="AN142" s="3">
        <f>(AM142*$B$406)</f>
        <v>0</v>
      </c>
      <c r="AO142" s="3">
        <f>AN142+AK142</f>
        <v>0</v>
      </c>
      <c r="AP142" s="113">
        <v>0</v>
      </c>
      <c r="AQ142" s="3">
        <f>AB142+AD142+AH142</f>
        <v>0</v>
      </c>
      <c r="AR142" s="3">
        <f>AQ142+AO142</f>
        <v>0</v>
      </c>
      <c r="AS142" s="113">
        <v>0</v>
      </c>
      <c r="AT142" s="70"/>
      <c r="AU142" s="70"/>
      <c r="AV142" s="70"/>
      <c r="AW142" s="3"/>
      <c r="BA142" s="3"/>
      <c r="BB142" s="3"/>
      <c r="BC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</row>
    <row r="143" spans="1:68" ht="22.2" customHeight="1" x14ac:dyDescent="0.3">
      <c r="A143" s="2" t="s">
        <v>1036</v>
      </c>
      <c r="B143" s="3">
        <v>0</v>
      </c>
      <c r="C143" s="88">
        <v>0</v>
      </c>
      <c r="D143" s="3">
        <v>0</v>
      </c>
      <c r="E143" s="88">
        <v>0</v>
      </c>
      <c r="F143" s="3">
        <v>0</v>
      </c>
      <c r="G143" s="88">
        <v>0</v>
      </c>
      <c r="H143" s="3">
        <v>0</v>
      </c>
      <c r="I143" s="88">
        <v>0</v>
      </c>
      <c r="J143" s="3">
        <v>0</v>
      </c>
      <c r="K143" s="88">
        <v>0</v>
      </c>
      <c r="L143" s="3"/>
      <c r="M143" s="88">
        <v>0</v>
      </c>
      <c r="N143" s="3"/>
      <c r="O143" s="88">
        <v>0</v>
      </c>
      <c r="P143" s="3"/>
      <c r="Q143" s="88">
        <v>0</v>
      </c>
      <c r="R143" s="3"/>
      <c r="S143" s="88">
        <v>0</v>
      </c>
      <c r="U143" s="88">
        <v>0</v>
      </c>
      <c r="W143" s="88">
        <v>0</v>
      </c>
      <c r="Y143" s="88">
        <v>0</v>
      </c>
      <c r="AA143" s="88">
        <v>0</v>
      </c>
      <c r="AB143" s="56">
        <v>0</v>
      </c>
      <c r="AC143" s="88">
        <v>0</v>
      </c>
      <c r="AD143" s="101">
        <v>-14.718999999999999</v>
      </c>
      <c r="AE143" s="88">
        <v>0</v>
      </c>
      <c r="AF143" s="3">
        <v>0</v>
      </c>
      <c r="AG143" s="3">
        <v>0</v>
      </c>
      <c r="AH143" s="89">
        <f>SUM(AF143,AG143)</f>
        <v>0</v>
      </c>
      <c r="AI143" s="3">
        <f>((AF143+AG143)*-1)</f>
        <v>0</v>
      </c>
      <c r="AJ143" s="8">
        <f>AI143/($AI$224)</f>
        <v>0</v>
      </c>
      <c r="AK143" s="56">
        <f>AJ143*($G$260+$G$313-$B$406)</f>
        <v>0</v>
      </c>
      <c r="AL143" s="3">
        <v>0</v>
      </c>
      <c r="AM143" s="8">
        <f>AL143/AL$224</f>
        <v>0</v>
      </c>
      <c r="AN143" s="3">
        <f>(AM143*$B$406)</f>
        <v>0</v>
      </c>
      <c r="AO143" s="3">
        <f>AN143+AK143</f>
        <v>0</v>
      </c>
      <c r="AP143" s="113">
        <v>0</v>
      </c>
      <c r="AQ143" s="3">
        <f>AB143+AD143+AH143</f>
        <v>-14.718999999999999</v>
      </c>
      <c r="AR143" s="3">
        <f>AQ143+AO143</f>
        <v>-14.718999999999999</v>
      </c>
      <c r="AS143" s="113">
        <v>0</v>
      </c>
      <c r="AT143" s="70"/>
      <c r="AU143" s="70"/>
      <c r="AV143" s="70"/>
      <c r="AW143" s="3"/>
      <c r="BA143" s="3"/>
      <c r="BB143" s="3"/>
      <c r="BC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</row>
    <row r="144" spans="1:68" ht="22.2" customHeight="1" x14ac:dyDescent="0.3">
      <c r="A144" s="2" t="s">
        <v>1037</v>
      </c>
      <c r="B144" s="3">
        <v>0</v>
      </c>
      <c r="C144" s="88">
        <v>0</v>
      </c>
      <c r="D144" s="3">
        <v>0</v>
      </c>
      <c r="E144" s="88">
        <v>0</v>
      </c>
      <c r="F144" s="3">
        <v>0</v>
      </c>
      <c r="G144" s="88">
        <v>0</v>
      </c>
      <c r="H144" s="3">
        <v>0</v>
      </c>
      <c r="I144" s="88">
        <v>0</v>
      </c>
      <c r="J144" s="3">
        <v>0</v>
      </c>
      <c r="K144" s="88">
        <v>0</v>
      </c>
      <c r="L144" s="3"/>
      <c r="M144" s="88">
        <v>0</v>
      </c>
      <c r="N144" s="3"/>
      <c r="O144" s="88">
        <v>0</v>
      </c>
      <c r="P144" s="3"/>
      <c r="Q144" s="88">
        <v>0</v>
      </c>
      <c r="R144" s="3"/>
      <c r="S144" s="88">
        <v>0</v>
      </c>
      <c r="U144" s="88">
        <v>0</v>
      </c>
      <c r="W144" s="88">
        <v>0</v>
      </c>
      <c r="Y144" s="88">
        <v>0</v>
      </c>
      <c r="AA144" s="88">
        <v>0</v>
      </c>
      <c r="AB144" s="56">
        <v>0</v>
      </c>
      <c r="AC144" s="88">
        <v>0</v>
      </c>
      <c r="AD144" s="101">
        <v>-5.0540000000000003</v>
      </c>
      <c r="AE144" s="88">
        <v>0</v>
      </c>
      <c r="AF144" s="3">
        <v>0</v>
      </c>
      <c r="AG144" s="3">
        <v>0</v>
      </c>
      <c r="AH144" s="89">
        <f>SUM(AF144,AG144)</f>
        <v>0</v>
      </c>
      <c r="AI144" s="3">
        <f>((AF144+AG144)*-1)</f>
        <v>0</v>
      </c>
      <c r="AJ144" s="8">
        <f>AI144/($AI$224)</f>
        <v>0</v>
      </c>
      <c r="AK144" s="56">
        <f>AJ144*($G$260+$G$313-$B$406)</f>
        <v>0</v>
      </c>
      <c r="AL144" s="3">
        <v>0</v>
      </c>
      <c r="AM144" s="8">
        <f>AL144/AL$224</f>
        <v>0</v>
      </c>
      <c r="AN144" s="3">
        <f>(AM144*$B$406)</f>
        <v>0</v>
      </c>
      <c r="AO144" s="3">
        <f>AN144+AK144</f>
        <v>0</v>
      </c>
      <c r="AP144" s="113">
        <v>0</v>
      </c>
      <c r="AQ144" s="3">
        <f>AB144+AD144+AH144</f>
        <v>-5.0540000000000003</v>
      </c>
      <c r="AR144" s="3">
        <f>AQ144+AO144</f>
        <v>-5.0540000000000003</v>
      </c>
      <c r="AS144" s="113">
        <v>0</v>
      </c>
      <c r="AT144" s="70"/>
      <c r="AU144" s="70"/>
      <c r="AV144" s="70"/>
      <c r="AW144" s="3"/>
      <c r="BA144" s="3"/>
      <c r="BB144" s="3"/>
      <c r="BC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</row>
    <row r="145" spans="1:68" ht="22.2" customHeight="1" x14ac:dyDescent="0.3">
      <c r="A145" s="2" t="s">
        <v>1038</v>
      </c>
      <c r="B145" s="3">
        <v>0</v>
      </c>
      <c r="C145" s="88">
        <v>0</v>
      </c>
      <c r="D145" s="3">
        <v>0</v>
      </c>
      <c r="E145" s="88">
        <v>0</v>
      </c>
      <c r="F145" s="3">
        <v>0</v>
      </c>
      <c r="G145" s="88">
        <v>0</v>
      </c>
      <c r="H145" s="3">
        <v>0</v>
      </c>
      <c r="I145" s="88">
        <v>0</v>
      </c>
      <c r="J145" s="3">
        <v>0</v>
      </c>
      <c r="K145" s="88">
        <v>0</v>
      </c>
      <c r="L145" s="3"/>
      <c r="M145" s="88">
        <v>0</v>
      </c>
      <c r="N145" s="3"/>
      <c r="O145" s="88">
        <v>0</v>
      </c>
      <c r="P145" s="3"/>
      <c r="Q145" s="88">
        <v>0</v>
      </c>
      <c r="R145" s="3">
        <v>117.129</v>
      </c>
      <c r="S145" s="88">
        <v>0</v>
      </c>
      <c r="U145" s="88">
        <v>0</v>
      </c>
      <c r="W145" s="88">
        <v>0</v>
      </c>
      <c r="Y145" s="88">
        <v>0</v>
      </c>
      <c r="Z145" s="3">
        <v>0.73099999999999998</v>
      </c>
      <c r="AA145" s="88">
        <v>0</v>
      </c>
      <c r="AB145" s="56">
        <v>117.86</v>
      </c>
      <c r="AC145" s="88">
        <v>0</v>
      </c>
      <c r="AD145" s="101">
        <v>-53.36699999999999</v>
      </c>
      <c r="AE145" s="88">
        <v>0</v>
      </c>
      <c r="AF145" s="3">
        <v>0</v>
      </c>
      <c r="AG145" s="3">
        <v>0</v>
      </c>
      <c r="AH145" s="89">
        <f>SUM(AF145,AG145)</f>
        <v>0</v>
      </c>
      <c r="AI145" s="3">
        <f>((AF145+AG145)*-1)</f>
        <v>0</v>
      </c>
      <c r="AJ145" s="8">
        <f>AI145/($AI$224)</f>
        <v>0</v>
      </c>
      <c r="AK145" s="56">
        <f>AJ145*($G$260+$G$313-$B$406)</f>
        <v>0</v>
      </c>
      <c r="AL145" s="3">
        <v>0</v>
      </c>
      <c r="AM145" s="8">
        <f>AL145/AL$224</f>
        <v>0</v>
      </c>
      <c r="AN145" s="3">
        <f>(AM145*$B$406)</f>
        <v>0</v>
      </c>
      <c r="AO145" s="3">
        <f>AN145+AK145</f>
        <v>0</v>
      </c>
      <c r="AP145" s="113">
        <v>0</v>
      </c>
      <c r="AQ145" s="3">
        <f>AB145+AD145+AH145</f>
        <v>64.493000000000009</v>
      </c>
      <c r="AR145" s="3">
        <f>AQ145+AO145</f>
        <v>64.493000000000009</v>
      </c>
      <c r="AS145" s="113">
        <v>0</v>
      </c>
      <c r="AT145" s="70"/>
      <c r="AU145" s="70"/>
      <c r="AV145" s="70"/>
      <c r="AW145" s="3"/>
      <c r="BA145" s="3"/>
      <c r="BB145" s="3"/>
      <c r="BC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</row>
    <row r="146" spans="1:68" ht="22.2" customHeight="1" x14ac:dyDescent="0.3">
      <c r="A146" s="2" t="s">
        <v>891</v>
      </c>
      <c r="B146" s="3">
        <v>0</v>
      </c>
      <c r="C146" s="88">
        <v>0</v>
      </c>
      <c r="D146" s="3">
        <v>0</v>
      </c>
      <c r="E146" s="88">
        <v>0</v>
      </c>
      <c r="F146" s="3">
        <v>0</v>
      </c>
      <c r="G146" s="88">
        <v>0</v>
      </c>
      <c r="H146" s="3">
        <v>0</v>
      </c>
      <c r="I146" s="88">
        <v>0</v>
      </c>
      <c r="J146" s="3">
        <v>0</v>
      </c>
      <c r="K146" s="88">
        <v>0</v>
      </c>
      <c r="L146" s="3"/>
      <c r="M146" s="88">
        <v>0</v>
      </c>
      <c r="N146" s="3"/>
      <c r="O146" s="88">
        <v>0</v>
      </c>
      <c r="P146" s="3"/>
      <c r="Q146" s="88">
        <v>0</v>
      </c>
      <c r="R146" s="3"/>
      <c r="S146" s="88">
        <v>0</v>
      </c>
      <c r="U146" s="88">
        <v>0</v>
      </c>
      <c r="W146" s="88">
        <v>0</v>
      </c>
      <c r="Y146" s="88">
        <v>0</v>
      </c>
      <c r="AA146" s="88">
        <v>0</v>
      </c>
      <c r="AB146" s="56">
        <v>0</v>
      </c>
      <c r="AC146" s="88">
        <v>0</v>
      </c>
      <c r="AD146" s="101">
        <v>-9.718</v>
      </c>
      <c r="AE146" s="88">
        <v>0</v>
      </c>
      <c r="AF146" s="3">
        <v>0</v>
      </c>
      <c r="AG146" s="3">
        <v>0</v>
      </c>
      <c r="AH146" s="89">
        <f>SUM(AF146,AG146)</f>
        <v>0</v>
      </c>
      <c r="AI146" s="3">
        <f>((AF146+AG146)*-1)</f>
        <v>0</v>
      </c>
      <c r="AJ146" s="8">
        <f>AI146/($AI$224)</f>
        <v>0</v>
      </c>
      <c r="AK146" s="56">
        <f>AJ146*($G$260+$G$313-$B$406)</f>
        <v>0</v>
      </c>
      <c r="AL146" s="3">
        <v>0</v>
      </c>
      <c r="AM146" s="8">
        <f>AL146/AL$224</f>
        <v>0</v>
      </c>
      <c r="AN146" s="3">
        <f>(AM146*$B$406)</f>
        <v>0</v>
      </c>
      <c r="AO146" s="3">
        <f>AN146+AK146</f>
        <v>0</v>
      </c>
      <c r="AP146" s="113">
        <v>0</v>
      </c>
      <c r="AQ146" s="3">
        <f>AB146+AD146+AH146</f>
        <v>-9.718</v>
      </c>
      <c r="AR146" s="3">
        <f>AQ146+AO146</f>
        <v>-9.718</v>
      </c>
      <c r="AS146" s="113">
        <v>0</v>
      </c>
      <c r="AT146" s="70"/>
      <c r="AU146" s="70"/>
      <c r="AV146" s="70"/>
      <c r="AW146" s="3"/>
      <c r="BA146" s="3"/>
      <c r="BB146" s="3"/>
      <c r="BC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</row>
    <row r="147" spans="1:68" ht="22.2" customHeight="1" x14ac:dyDescent="0.3">
      <c r="A147" s="2" t="s">
        <v>892</v>
      </c>
      <c r="B147" s="3">
        <v>0</v>
      </c>
      <c r="C147" s="88">
        <v>0</v>
      </c>
      <c r="D147" s="3">
        <v>0</v>
      </c>
      <c r="E147" s="88">
        <v>0</v>
      </c>
      <c r="F147" s="3">
        <v>0</v>
      </c>
      <c r="G147" s="88">
        <v>0</v>
      </c>
      <c r="H147" s="3">
        <v>0</v>
      </c>
      <c r="I147" s="88">
        <v>0</v>
      </c>
      <c r="J147" s="3">
        <v>0</v>
      </c>
      <c r="K147" s="88">
        <v>0</v>
      </c>
      <c r="L147" s="3"/>
      <c r="M147" s="88">
        <v>0</v>
      </c>
      <c r="N147" s="3"/>
      <c r="O147" s="88">
        <v>0</v>
      </c>
      <c r="P147" s="3"/>
      <c r="Q147" s="88">
        <v>0</v>
      </c>
      <c r="R147" s="3">
        <v>0.5</v>
      </c>
      <c r="S147" s="88">
        <v>0</v>
      </c>
      <c r="U147" s="88">
        <v>0</v>
      </c>
      <c r="W147" s="88">
        <v>0</v>
      </c>
      <c r="Y147" s="88">
        <v>0</v>
      </c>
      <c r="Z147" s="3">
        <v>0.86699999999999999</v>
      </c>
      <c r="AA147" s="88">
        <v>0</v>
      </c>
      <c r="AB147" s="56">
        <v>1.367</v>
      </c>
      <c r="AC147" s="88">
        <v>0</v>
      </c>
      <c r="AD147" s="101">
        <v>50.291000000000004</v>
      </c>
      <c r="AE147" s="88">
        <v>0</v>
      </c>
      <c r="AF147" s="3">
        <v>0</v>
      </c>
      <c r="AG147" s="3">
        <v>0</v>
      </c>
      <c r="AH147" s="89">
        <f>SUM(AF147,AG147)</f>
        <v>0</v>
      </c>
      <c r="AI147" s="3">
        <f>((AF147+AG147)*-1)</f>
        <v>0</v>
      </c>
      <c r="AJ147" s="8">
        <f>AI147/($AI$224)</f>
        <v>0</v>
      </c>
      <c r="AK147" s="56">
        <f>AJ147*($G$260+$G$313-$B$406)</f>
        <v>0</v>
      </c>
      <c r="AL147" s="3">
        <v>0</v>
      </c>
      <c r="AM147" s="8">
        <f>AL147/AL$224</f>
        <v>0</v>
      </c>
      <c r="AN147" s="3">
        <f>(AM147*$B$406)</f>
        <v>0</v>
      </c>
      <c r="AO147" s="3">
        <f>AN147+AK147</f>
        <v>0</v>
      </c>
      <c r="AP147" s="113">
        <v>0</v>
      </c>
      <c r="AQ147" s="3">
        <f>AB147+AD147+AH147</f>
        <v>51.658000000000001</v>
      </c>
      <c r="AR147" s="3">
        <f>AQ147+AO147</f>
        <v>51.658000000000001</v>
      </c>
      <c r="AS147" s="113">
        <v>0</v>
      </c>
      <c r="AT147" s="70"/>
      <c r="AU147" s="70"/>
      <c r="AV147" s="70"/>
      <c r="AW147" s="3"/>
      <c r="BA147" s="3"/>
      <c r="BB147" s="3"/>
      <c r="BC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</row>
    <row r="148" spans="1:68" ht="22.2" customHeight="1" x14ac:dyDescent="0.3">
      <c r="A148" s="2" t="s">
        <v>893</v>
      </c>
      <c r="B148" s="3">
        <v>0</v>
      </c>
      <c r="C148" s="88">
        <f>$B148/$AI148</f>
        <v>0</v>
      </c>
      <c r="D148" s="3">
        <v>800</v>
      </c>
      <c r="E148" s="88">
        <f>$D148/$AI148</f>
        <v>9.6402952774242E-3</v>
      </c>
      <c r="F148" s="3">
        <v>0</v>
      </c>
      <c r="G148" s="88">
        <f>$F148/$AI148</f>
        <v>0</v>
      </c>
      <c r="H148" s="3">
        <v>0</v>
      </c>
      <c r="I148" s="88">
        <f>$H148/$AI148</f>
        <v>0</v>
      </c>
      <c r="J148" s="3">
        <v>4454.5599999999995</v>
      </c>
      <c r="K148" s="88">
        <f>$J148/$AI148</f>
        <v>5.3679092163753425E-2</v>
      </c>
      <c r="L148" s="3"/>
      <c r="M148" s="88">
        <f>$L148/$AI148</f>
        <v>0</v>
      </c>
      <c r="N148" s="3">
        <v>9.82</v>
      </c>
      <c r="O148" s="88">
        <f>$N148/$AI148</f>
        <v>1.1833462453038206E-4</v>
      </c>
      <c r="P148" s="3">
        <v>86.27</v>
      </c>
      <c r="Q148" s="88">
        <f>$P148/$AI148</f>
        <v>1.0395853419792322E-3</v>
      </c>
      <c r="R148" s="3">
        <v>2225.223</v>
      </c>
      <c r="S148" s="88">
        <f>$R148/$AI148</f>
        <v>2.681475847264464E-2</v>
      </c>
      <c r="U148" s="88">
        <f>$T148/$AI148</f>
        <v>0</v>
      </c>
      <c r="W148" s="88">
        <f>$V148/$AI148</f>
        <v>0</v>
      </c>
      <c r="X148" s="3">
        <v>138.67000000000002</v>
      </c>
      <c r="Y148" s="88">
        <f>$X148/$AI148</f>
        <v>1.6710246826505176E-3</v>
      </c>
      <c r="Z148" s="3">
        <v>318.91699999999997</v>
      </c>
      <c r="AA148" s="88">
        <f>$Z148/$AI148</f>
        <v>3.8430675612378669E-3</v>
      </c>
      <c r="AB148" s="56">
        <v>8033.46</v>
      </c>
      <c r="AC148" s="88">
        <f>$AB148/AI148</f>
        <v>9.6806158124220276E-2</v>
      </c>
      <c r="AD148" s="101">
        <v>47496.539000000004</v>
      </c>
      <c r="AE148" s="88">
        <f>$AD148/$AI148</f>
        <v>0.57235082576961804</v>
      </c>
      <c r="AF148" s="3">
        <v>-82985</v>
      </c>
      <c r="AG148" s="3">
        <v>-0.01</v>
      </c>
      <c r="AH148" s="89">
        <f>SUM(AF148,AG148)</f>
        <v>-82985.009999999995</v>
      </c>
      <c r="AI148" s="3">
        <f>((AF148+AG148)*-1)</f>
        <v>82985.009999999995</v>
      </c>
      <c r="AJ148" s="8">
        <f>AI148/($AI$224)</f>
        <v>6.3327732488220202E-3</v>
      </c>
      <c r="AK148" s="56">
        <f>AJ148*($G$260+$G$313-$B$406)</f>
        <v>11185.730916082757</v>
      </c>
      <c r="AL148" s="3">
        <v>24376.923843052089</v>
      </c>
      <c r="AM148" s="8">
        <f>AL148/AL$224</f>
        <v>5.1735693187665941E-3</v>
      </c>
      <c r="AN148" s="3">
        <f>(AM148*$B$406)</f>
        <v>7033.9072050055802</v>
      </c>
      <c r="AO148" s="3">
        <f>AN148+AK148</f>
        <v>18219.638121088337</v>
      </c>
      <c r="AP148" s="113">
        <f>$AO148/$AI148</f>
        <v>0.2195533641688823</v>
      </c>
      <c r="AQ148" s="3">
        <f>AB148+AD148+AH148</f>
        <v>-27455.010999999991</v>
      </c>
      <c r="AR148" s="3">
        <f>AQ148+AO148</f>
        <v>-9235.372878911654</v>
      </c>
      <c r="AS148" s="113">
        <f>AR148/AI148</f>
        <v>-0.11128965193727945</v>
      </c>
      <c r="AT148" s="70"/>
      <c r="AU148" s="70"/>
      <c r="AV148" s="70"/>
      <c r="AW148" s="3"/>
      <c r="BA148" s="3"/>
      <c r="BB148" s="3"/>
      <c r="BC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</row>
    <row r="149" spans="1:68" ht="22.2" customHeight="1" x14ac:dyDescent="0.3">
      <c r="A149" s="2" t="s">
        <v>894</v>
      </c>
      <c r="B149" s="3">
        <v>0</v>
      </c>
      <c r="C149" s="88">
        <f>$B149/$AI149</f>
        <v>0</v>
      </c>
      <c r="D149" s="3">
        <v>1100</v>
      </c>
      <c r="E149" s="88">
        <f>$D149/$AI149</f>
        <v>2.244536955188901E-2</v>
      </c>
      <c r="F149" s="3">
        <v>105.62</v>
      </c>
      <c r="G149" s="88">
        <f>$F149/$AI149</f>
        <v>2.1551635746095612E-3</v>
      </c>
      <c r="H149" s="3">
        <v>0</v>
      </c>
      <c r="I149" s="88">
        <f>$H149/$AI149</f>
        <v>0</v>
      </c>
      <c r="J149" s="3">
        <v>2813.2150000000001</v>
      </c>
      <c r="K149" s="88">
        <f>$J149/$AI149</f>
        <v>5.740331845810677E-2</v>
      </c>
      <c r="L149" s="3"/>
      <c r="M149" s="88">
        <f>$L149/$AI149</f>
        <v>0</v>
      </c>
      <c r="N149" s="3">
        <v>203.66</v>
      </c>
      <c r="O149" s="88">
        <f>$N149/$AI149</f>
        <v>4.1556581481251966E-3</v>
      </c>
      <c r="P149" s="3">
        <v>1616.26</v>
      </c>
      <c r="Q149" s="88">
        <f>$P149/$AI149</f>
        <v>3.2979593629032848E-2</v>
      </c>
      <c r="R149" s="3">
        <v>247.37799999999999</v>
      </c>
      <c r="S149" s="88">
        <f>$R149/$AI149</f>
        <v>5.0477187536429081E-3</v>
      </c>
      <c r="U149" s="88">
        <f>$T149/$AI149</f>
        <v>0</v>
      </c>
      <c r="W149" s="88">
        <f>$V149/$AI149</f>
        <v>0</v>
      </c>
      <c r="X149" s="3">
        <v>361.93</v>
      </c>
      <c r="Y149" s="88">
        <f>$X149/$AI149</f>
        <v>7.3851387290138088E-3</v>
      </c>
      <c r="Z149" s="3">
        <v>1205.433</v>
      </c>
      <c r="AA149" s="88">
        <f>$Z149/$AI149</f>
        <v>2.4596717413674751E-2</v>
      </c>
      <c r="AB149" s="56">
        <v>7653.4960000000001</v>
      </c>
      <c r="AC149" s="88">
        <f>$AB149/AI149</f>
        <v>0.15616867825809486</v>
      </c>
      <c r="AD149" s="101">
        <v>22307.844999999998</v>
      </c>
      <c r="AE149" s="88">
        <f>$AD149/$AI149</f>
        <v>0.45518893175569042</v>
      </c>
      <c r="AF149" s="3">
        <v>-42764.673999999999</v>
      </c>
      <c r="AG149" s="3">
        <v>-6243.2069999999994</v>
      </c>
      <c r="AH149" s="89">
        <f>SUM(AF149,AG149)</f>
        <v>-49007.881000000001</v>
      </c>
      <c r="AI149" s="3">
        <f>((AF149+AG149)*-1)</f>
        <v>49007.881000000001</v>
      </c>
      <c r="AJ149" s="8">
        <f>AI149/($AI$224)</f>
        <v>3.7399019145536402E-3</v>
      </c>
      <c r="AK149" s="56">
        <f>AJ149*($G$260+$G$313-$B$406)</f>
        <v>6605.8794188661886</v>
      </c>
      <c r="AL149" s="3">
        <v>17082.084144910325</v>
      </c>
      <c r="AM149" s="8">
        <f>AL149/AL$224</f>
        <v>3.6253690991402956E-3</v>
      </c>
      <c r="AN149" s="3">
        <f>(AM149*$B$406)</f>
        <v>4928.9974205520011</v>
      </c>
      <c r="AO149" s="3">
        <f>AN149+AK149</f>
        <v>11534.87683941819</v>
      </c>
      <c r="AP149" s="113">
        <f>$AO149/$AI149</f>
        <v>0.23536779399660618</v>
      </c>
      <c r="AQ149" s="3">
        <f>AB149+AD149+AH149</f>
        <v>-19046.540000000005</v>
      </c>
      <c r="AR149" s="3">
        <f>AQ149+AO149</f>
        <v>-7511.6631605818147</v>
      </c>
      <c r="AS149" s="113">
        <f>AR149/AI149</f>
        <v>-0.15327459598960858</v>
      </c>
      <c r="AT149" s="70"/>
      <c r="AU149" s="70"/>
      <c r="AV149" s="70"/>
      <c r="AW149" s="3"/>
      <c r="BA149" s="3"/>
      <c r="BB149" s="3"/>
      <c r="BC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</row>
    <row r="150" spans="1:68" ht="22.2" customHeight="1" x14ac:dyDescent="0.3">
      <c r="A150" s="2" t="s">
        <v>895</v>
      </c>
      <c r="B150" s="3">
        <v>0</v>
      </c>
      <c r="C150" s="88">
        <f>$B150/$AI150</f>
        <v>0</v>
      </c>
      <c r="D150" s="3">
        <v>2500</v>
      </c>
      <c r="E150" s="88">
        <f>$D150/$AI150</f>
        <v>2.6923035420182321E-2</v>
      </c>
      <c r="F150" s="3">
        <v>88.92</v>
      </c>
      <c r="G150" s="88">
        <f>$F150/$AI150</f>
        <v>9.575985238250448E-4</v>
      </c>
      <c r="H150" s="3">
        <v>47.2</v>
      </c>
      <c r="I150" s="88">
        <f>$H150/$AI150</f>
        <v>5.0830690873304219E-4</v>
      </c>
      <c r="J150" s="3">
        <v>7946.6720000000005</v>
      </c>
      <c r="K150" s="88">
        <f>$J150/$AI150</f>
        <v>8.5579412691428436E-2</v>
      </c>
      <c r="L150" s="3">
        <v>2.08</v>
      </c>
      <c r="M150" s="88">
        <f>$L150/$AI150</f>
        <v>2.2399965469591691E-5</v>
      </c>
      <c r="N150" s="3"/>
      <c r="O150" s="88">
        <f>$N150/$AI150</f>
        <v>0</v>
      </c>
      <c r="P150" s="3">
        <v>260.98</v>
      </c>
      <c r="Q150" s="88">
        <f>$P150/$AI150</f>
        <v>2.8105495135836728E-3</v>
      </c>
      <c r="R150" s="3">
        <v>235.315</v>
      </c>
      <c r="S150" s="88">
        <f>$R150/$AI150</f>
        <v>2.534157631960081E-3</v>
      </c>
      <c r="U150" s="88">
        <f>$T150/$AI150</f>
        <v>0</v>
      </c>
      <c r="W150" s="88">
        <f>$V150/$AI150</f>
        <v>0</v>
      </c>
      <c r="X150" s="3">
        <v>360.24</v>
      </c>
      <c r="Y150" s="88">
        <f>$X150/$AI150</f>
        <v>3.8795017119065914E-3</v>
      </c>
      <c r="Z150" s="3">
        <v>171.94499999999999</v>
      </c>
      <c r="AA150" s="88">
        <f>$Z150/$AI150</f>
        <v>1.8517125301292995E-3</v>
      </c>
      <c r="AB150" s="56">
        <v>11613.352000000001</v>
      </c>
      <c r="AC150" s="88">
        <f>$AB150/AI150</f>
        <v>0.12506667489721807</v>
      </c>
      <c r="AD150" s="101">
        <v>43266.657999999996</v>
      </c>
      <c r="AE150" s="88">
        <f>$AD150/$AI150</f>
        <v>0.46594790633876582</v>
      </c>
      <c r="AF150" s="3">
        <v>-82245.286000000007</v>
      </c>
      <c r="AG150" s="3">
        <v>-10612</v>
      </c>
      <c r="AH150" s="89">
        <f>SUM(AF150,AG150)</f>
        <v>-92857.286000000007</v>
      </c>
      <c r="AI150" s="3">
        <f>((AF150+AG150)*-1)</f>
        <v>92857.286000000007</v>
      </c>
      <c r="AJ150" s="8">
        <f>AI150/($AI$224)</f>
        <v>7.0861488929026524E-3</v>
      </c>
      <c r="AK150" s="56">
        <f>AJ150*($G$260+$G$313-$B$406)</f>
        <v>12516.436580458792</v>
      </c>
      <c r="AL150" s="3">
        <v>35403.300748257047</v>
      </c>
      <c r="AM150" s="8">
        <f>AL150/AL$224</f>
        <v>7.5137220640927472E-3</v>
      </c>
      <c r="AN150" s="3">
        <f>(AM150*$B$406)</f>
        <v>10215.543758410739</v>
      </c>
      <c r="AO150" s="3">
        <f>AN150+AK150</f>
        <v>22731.980338869529</v>
      </c>
      <c r="AP150" s="113">
        <f>$AO150/$AI150</f>
        <v>0.24480556473370896</v>
      </c>
      <c r="AQ150" s="3">
        <f>AB150+AD150+AH150</f>
        <v>-37977.276000000013</v>
      </c>
      <c r="AR150" s="3">
        <f>AQ150+AO150</f>
        <v>-15245.295661130483</v>
      </c>
      <c r="AS150" s="113">
        <f>AR150/AI150</f>
        <v>-0.16417985403030713</v>
      </c>
      <c r="AT150" s="70"/>
      <c r="AU150" s="70"/>
      <c r="AV150" s="70"/>
      <c r="AW150" s="3"/>
      <c r="BA150" s="3"/>
      <c r="BB150" s="3"/>
      <c r="BC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</row>
    <row r="151" spans="1:68" ht="22.2" customHeight="1" x14ac:dyDescent="0.3">
      <c r="A151" s="2" t="s">
        <v>896</v>
      </c>
      <c r="B151" s="3">
        <v>0</v>
      </c>
      <c r="C151" s="88">
        <f>$B151/$AI151</f>
        <v>0</v>
      </c>
      <c r="D151" s="3">
        <v>400</v>
      </c>
      <c r="E151" s="88">
        <f>$D151/$AI151</f>
        <v>1.0778775125863754E-2</v>
      </c>
      <c r="F151" s="3">
        <v>0</v>
      </c>
      <c r="G151" s="88">
        <f>$F151/$AI151</f>
        <v>0</v>
      </c>
      <c r="H151" s="3">
        <v>0</v>
      </c>
      <c r="I151" s="88">
        <f>$H151/$AI151</f>
        <v>0</v>
      </c>
      <c r="J151" s="3">
        <v>2749.8690000000001</v>
      </c>
      <c r="K151" s="88">
        <f>$J151/$AI151</f>
        <v>7.4100548941459593E-2</v>
      </c>
      <c r="L151" s="3"/>
      <c r="M151" s="88">
        <f>$L151/$AI151</f>
        <v>0</v>
      </c>
      <c r="N151" s="3"/>
      <c r="O151" s="88">
        <f>$N151/$AI151</f>
        <v>0</v>
      </c>
      <c r="P151" s="3">
        <v>166.95</v>
      </c>
      <c r="Q151" s="88">
        <f>$P151/$AI151</f>
        <v>4.4987912681573846E-3</v>
      </c>
      <c r="R151" s="3">
        <v>2.4089999999999998</v>
      </c>
      <c r="S151" s="88">
        <f>$R151/$AI151</f>
        <v>6.491517319551446E-5</v>
      </c>
      <c r="U151" s="88">
        <f>$T151/$AI151</f>
        <v>0</v>
      </c>
      <c r="W151" s="88">
        <f>$V151/$AI151</f>
        <v>0</v>
      </c>
      <c r="X151" s="3">
        <v>201.14999999999998</v>
      </c>
      <c r="Y151" s="88">
        <f>$X151/$AI151</f>
        <v>5.4203765414187347E-3</v>
      </c>
      <c r="Z151" s="3">
        <v>31.005000000000003</v>
      </c>
      <c r="AA151" s="88">
        <f>$Z151/$AI151</f>
        <v>8.3548980694351431E-4</v>
      </c>
      <c r="AB151" s="56">
        <v>3551.3829999999994</v>
      </c>
      <c r="AC151" s="88">
        <f>$AB151/AI151</f>
        <v>9.5698896857038487E-2</v>
      </c>
      <c r="AD151" s="101">
        <v>15009.564</v>
      </c>
      <c r="AE151" s="88">
        <f>$AD151/$AI151</f>
        <v>0.40446178773315022</v>
      </c>
      <c r="AF151" s="3">
        <v>-32742.743000000006</v>
      </c>
      <c r="AG151" s="3">
        <v>-4367.2250000000004</v>
      </c>
      <c r="AH151" s="89">
        <f>SUM(AF151,AG151)</f>
        <v>-37109.968000000008</v>
      </c>
      <c r="AI151" s="3">
        <f>((AF151+AG151)*-1)</f>
        <v>37109.968000000008</v>
      </c>
      <c r="AJ151" s="8">
        <f>AI151/($AI$224)</f>
        <v>2.8319453430811332E-3</v>
      </c>
      <c r="AK151" s="56">
        <f>AJ151*($G$260+$G$313-$B$406)</f>
        <v>5002.1337149015462</v>
      </c>
      <c r="AL151" s="3">
        <v>14037.099588647818</v>
      </c>
      <c r="AM151" s="8">
        <f>AL151/AL$224</f>
        <v>2.9791251851081376E-3</v>
      </c>
      <c r="AN151" s="3">
        <f>(AM151*$B$406)</f>
        <v>4050.3738933455456</v>
      </c>
      <c r="AO151" s="3">
        <f>AN151+AK151</f>
        <v>9052.5076082470914</v>
      </c>
      <c r="AP151" s="113">
        <f>$AO151/$AI151</f>
        <v>0.24393735958616536</v>
      </c>
      <c r="AQ151" s="3">
        <f>AB151+AD151+AH151</f>
        <v>-18549.021000000008</v>
      </c>
      <c r="AR151" s="3">
        <f>AQ151+AO151</f>
        <v>-9496.5133917529165</v>
      </c>
      <c r="AS151" s="113">
        <f>AR151/AI151</f>
        <v>-0.25590195582364594</v>
      </c>
      <c r="AT151" s="70"/>
      <c r="AU151" s="70"/>
      <c r="AV151" s="70"/>
      <c r="AW151" s="3"/>
      <c r="BA151" s="3"/>
      <c r="BB151" s="3"/>
      <c r="BC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</row>
    <row r="152" spans="1:68" ht="22.2" customHeight="1" x14ac:dyDescent="0.3">
      <c r="A152" s="2" t="s">
        <v>897</v>
      </c>
      <c r="B152" s="3">
        <v>0</v>
      </c>
      <c r="C152" s="88">
        <f>$B152/$AI152</f>
        <v>0</v>
      </c>
      <c r="D152" s="3">
        <v>3400</v>
      </c>
      <c r="E152" s="88">
        <f>$D152/$AI152</f>
        <v>6.2391802979604963E-2</v>
      </c>
      <c r="F152" s="3">
        <v>0</v>
      </c>
      <c r="G152" s="88">
        <f>$F152/$AI152</f>
        <v>0</v>
      </c>
      <c r="H152" s="3">
        <v>0</v>
      </c>
      <c r="I152" s="88">
        <f>$H152/$AI152</f>
        <v>0</v>
      </c>
      <c r="J152" s="3">
        <v>4040.1</v>
      </c>
      <c r="K152" s="88">
        <f>$J152/$AI152</f>
        <v>7.4137977417030002E-2</v>
      </c>
      <c r="L152" s="3"/>
      <c r="M152" s="88">
        <f>$L152/$AI152</f>
        <v>0</v>
      </c>
      <c r="N152" s="3"/>
      <c r="O152" s="88">
        <f>$N152/$AI152</f>
        <v>0</v>
      </c>
      <c r="P152" s="3">
        <v>47.93</v>
      </c>
      <c r="Q152" s="88">
        <f>$P152/$AI152</f>
        <v>8.7954091670954871E-4</v>
      </c>
      <c r="R152" s="3">
        <v>11.745000000000001</v>
      </c>
      <c r="S152" s="88">
        <f>$R152/$AI152</f>
        <v>2.1552697823395891E-4</v>
      </c>
      <c r="U152" s="88">
        <f>$T152/$AI152</f>
        <v>0</v>
      </c>
      <c r="W152" s="88">
        <f>$V152/$AI152</f>
        <v>0</v>
      </c>
      <c r="X152" s="3">
        <v>265.38</v>
      </c>
      <c r="Y152" s="88">
        <f>$X152/$AI152</f>
        <v>4.8698637278610478E-3</v>
      </c>
      <c r="Z152" s="3">
        <v>50.646000000000001</v>
      </c>
      <c r="AA152" s="88">
        <f>$Z152/$AI152</f>
        <v>9.293809569720803E-4</v>
      </c>
      <c r="AB152" s="56">
        <v>7815.8009999999995</v>
      </c>
      <c r="AC152" s="88">
        <f>$AB152/AI152</f>
        <v>0.14342409297641159</v>
      </c>
      <c r="AD152" s="101">
        <v>25118.36</v>
      </c>
      <c r="AE152" s="88">
        <f>$AD152/$AI152</f>
        <v>0.46093522596787945</v>
      </c>
      <c r="AF152" s="3">
        <v>-47335.763000000006</v>
      </c>
      <c r="AG152" s="3">
        <v>-7158.5749999999998</v>
      </c>
      <c r="AH152" s="89">
        <f>SUM(AF152,AG152)</f>
        <v>-54494.338000000003</v>
      </c>
      <c r="AI152" s="3">
        <f>((AF152+AG152)*-1)</f>
        <v>54494.338000000003</v>
      </c>
      <c r="AJ152" s="8">
        <f>AI152/($AI$224)</f>
        <v>4.1585858204833057E-3</v>
      </c>
      <c r="AK152" s="56">
        <f>AJ152*($G$260+$G$313-$B$406)</f>
        <v>7345.4109521474247</v>
      </c>
      <c r="AL152" s="3">
        <v>23741.014218528733</v>
      </c>
      <c r="AM152" s="8">
        <f>AL152/AL$224</f>
        <v>5.0386087903535673E-3</v>
      </c>
      <c r="AN152" s="3">
        <f>(AM152*$B$406)</f>
        <v>6850.4168959548706</v>
      </c>
      <c r="AO152" s="3">
        <f>AN152+AK152</f>
        <v>14195.827848102295</v>
      </c>
      <c r="AP152" s="113">
        <f>$AO152/$AI152</f>
        <v>0.26050096889152585</v>
      </c>
      <c r="AQ152" s="3">
        <f>AB152+AD152+AH152</f>
        <v>-21560.177000000003</v>
      </c>
      <c r="AR152" s="3">
        <f>AQ152+AO152</f>
        <v>-7364.349151897708</v>
      </c>
      <c r="AS152" s="113">
        <f>AR152/AI152</f>
        <v>-0.13513971216418313</v>
      </c>
      <c r="AT152" s="70"/>
      <c r="AU152" s="70"/>
      <c r="AV152" s="70"/>
      <c r="AW152" s="3"/>
      <c r="BA152" s="3"/>
      <c r="BB152" s="3"/>
      <c r="BC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</row>
    <row r="153" spans="1:68" ht="22.2" customHeight="1" x14ac:dyDescent="0.3">
      <c r="A153" s="2" t="s">
        <v>898</v>
      </c>
      <c r="B153" s="3">
        <v>0</v>
      </c>
      <c r="C153" s="88">
        <f>$B153/$AI153</f>
        <v>0</v>
      </c>
      <c r="D153" s="3">
        <v>450</v>
      </c>
      <c r="E153" s="88">
        <f>$D153/$AI153</f>
        <v>7.6102825063704398E-3</v>
      </c>
      <c r="F153" s="3">
        <v>75</v>
      </c>
      <c r="G153" s="88">
        <f>$F153/$AI153</f>
        <v>1.2683804177284065E-3</v>
      </c>
      <c r="H153" s="3">
        <v>0</v>
      </c>
      <c r="I153" s="88">
        <f>$H153/$AI153</f>
        <v>0</v>
      </c>
      <c r="J153" s="3">
        <v>4298.991</v>
      </c>
      <c r="K153" s="88">
        <f>$J153/$AI153</f>
        <v>7.2703413338542133E-2</v>
      </c>
      <c r="L153" s="3"/>
      <c r="M153" s="88">
        <f>$L153/$AI153</f>
        <v>0</v>
      </c>
      <c r="N153" s="3"/>
      <c r="O153" s="88">
        <f>$N153/$AI153</f>
        <v>0</v>
      </c>
      <c r="P153" s="3">
        <v>89.63</v>
      </c>
      <c r="Q153" s="88">
        <f>$P153/$AI153</f>
        <v>1.515799157879961E-3</v>
      </c>
      <c r="R153" s="3">
        <v>412.83699999999999</v>
      </c>
      <c r="S153" s="88">
        <f>$R153/$AI153</f>
        <v>6.9817915535165627E-3</v>
      </c>
      <c r="U153" s="88">
        <f>$T153/$AI153</f>
        <v>0</v>
      </c>
      <c r="W153" s="88">
        <f>$V153/$AI153</f>
        <v>0</v>
      </c>
      <c r="X153" s="3">
        <v>299.34000000000003</v>
      </c>
      <c r="Y153" s="88">
        <f>$X153/$AI153</f>
        <v>5.0623599232376172E-3</v>
      </c>
      <c r="Z153" s="3">
        <v>83.682000000000002</v>
      </c>
      <c r="AA153" s="88">
        <f>$Z153/$AI153</f>
        <v>1.4152081348846469E-3</v>
      </c>
      <c r="AB153" s="56">
        <v>5709.4800000000005</v>
      </c>
      <c r="AC153" s="88">
        <f>$AB153/AI153</f>
        <v>9.655723503215978E-2</v>
      </c>
      <c r="AD153" s="101">
        <v>26872.552999999996</v>
      </c>
      <c r="AE153" s="88">
        <f>$AD153/$AI153</f>
        <v>0.4544615999942499</v>
      </c>
      <c r="AF153" s="3">
        <v>-51791.161000000007</v>
      </c>
      <c r="AG153" s="3">
        <v>-7339.3639999999996</v>
      </c>
      <c r="AH153" s="89">
        <f>SUM(AF153,AG153)</f>
        <v>-59130.525000000009</v>
      </c>
      <c r="AI153" s="3">
        <f>((AF153+AG153)*-1)</f>
        <v>59130.525000000009</v>
      </c>
      <c r="AJ153" s="8">
        <f>AI153/($AI$224)</f>
        <v>4.5123837053077627E-3</v>
      </c>
      <c r="AK153" s="56">
        <f>AJ153*($G$260+$G$313-$B$406)</f>
        <v>7970.3327333057441</v>
      </c>
      <c r="AL153" s="3">
        <v>29230.769191015956</v>
      </c>
      <c r="AM153" s="8">
        <f>AL153/AL$224</f>
        <v>6.2037118228800148E-3</v>
      </c>
      <c r="AN153" s="3">
        <f>(AM153*$B$406)</f>
        <v>8434.4734940435992</v>
      </c>
      <c r="AO153" s="3">
        <f>AN153+AK153</f>
        <v>16404.806227349341</v>
      </c>
      <c r="AP153" s="113">
        <f>$AO153/$AI153</f>
        <v>0.27743379967198567</v>
      </c>
      <c r="AQ153" s="3">
        <f>AB153+AD153+AH153</f>
        <v>-26548.492000000013</v>
      </c>
      <c r="AR153" s="3">
        <f>AQ153+AO153</f>
        <v>-10143.685772650671</v>
      </c>
      <c r="AS153" s="113">
        <f>AR153/AI153</f>
        <v>-0.17154736530160472</v>
      </c>
      <c r="AT153" s="70"/>
      <c r="AU153" s="70"/>
      <c r="AV153" s="70"/>
      <c r="AW153" s="3"/>
      <c r="BA153" s="3"/>
      <c r="BB153" s="3"/>
      <c r="BC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</row>
    <row r="154" spans="1:68" ht="22.2" customHeight="1" x14ac:dyDescent="0.3">
      <c r="A154" s="2" t="s">
        <v>899</v>
      </c>
      <c r="B154" s="3">
        <v>0</v>
      </c>
      <c r="C154" s="88">
        <f>$B154/$AI154</f>
        <v>0</v>
      </c>
      <c r="D154" s="3">
        <v>800</v>
      </c>
      <c r="E154" s="88">
        <f>$D154/$AI154</f>
        <v>1.2076821932378159E-2</v>
      </c>
      <c r="F154" s="3">
        <v>0</v>
      </c>
      <c r="G154" s="88">
        <f>$F154/$AI154</f>
        <v>0</v>
      </c>
      <c r="H154" s="3">
        <v>0</v>
      </c>
      <c r="I154" s="88">
        <f>$H154/$AI154</f>
        <v>0</v>
      </c>
      <c r="J154" s="3">
        <v>4221.3040000000001</v>
      </c>
      <c r="K154" s="88">
        <f>$J154/$AI154</f>
        <v>6.3724920913044561E-2</v>
      </c>
      <c r="L154" s="3"/>
      <c r="M154" s="88">
        <f>$L154/$AI154</f>
        <v>0</v>
      </c>
      <c r="N154" s="3"/>
      <c r="O154" s="88">
        <f>$N154/$AI154</f>
        <v>0</v>
      </c>
      <c r="P154" s="3">
        <v>104.14</v>
      </c>
      <c r="Q154" s="88">
        <f>$P154/$AI154</f>
        <v>1.572100295047327E-3</v>
      </c>
      <c r="R154" s="3">
        <v>15.015000000000001</v>
      </c>
      <c r="S154" s="88">
        <f>$R154/$AI154</f>
        <v>2.2666685164332258E-4</v>
      </c>
      <c r="U154" s="88">
        <f>$T154/$AI154</f>
        <v>0</v>
      </c>
      <c r="W154" s="88">
        <f>$V154/$AI154</f>
        <v>0</v>
      </c>
      <c r="X154" s="3">
        <v>294.09999999999997</v>
      </c>
      <c r="Y154" s="88">
        <f>$X154/$AI154</f>
        <v>4.4397416628905199E-3</v>
      </c>
      <c r="Z154" s="3">
        <v>4.51</v>
      </c>
      <c r="AA154" s="88">
        <f>$Z154/$AI154</f>
        <v>6.8083083643781861E-5</v>
      </c>
      <c r="AB154" s="56">
        <v>5439.0690000000004</v>
      </c>
      <c r="AC154" s="88">
        <f>$AB154/AI154</f>
        <v>8.2108334738647676E-2</v>
      </c>
      <c r="AD154" s="101">
        <v>32499.891</v>
      </c>
      <c r="AE154" s="88">
        <f>$AD154/$AI154</f>
        <v>0.49061924553587444</v>
      </c>
      <c r="AF154" s="3">
        <v>-58310.270000000004</v>
      </c>
      <c r="AG154" s="3">
        <v>-7932.3230000000003</v>
      </c>
      <c r="AH154" s="89">
        <f>SUM(AF154,AG154)</f>
        <v>-66242.593000000008</v>
      </c>
      <c r="AI154" s="3">
        <f>((AF154+AG154)*-1)</f>
        <v>66242.593000000008</v>
      </c>
      <c r="AJ154" s="8">
        <f>AI154/($AI$224)</f>
        <v>5.0551216524888642E-3</v>
      </c>
      <c r="AK154" s="56">
        <f>AJ154*($G$260+$G$313-$B$406)</f>
        <v>8928.9839271163255</v>
      </c>
      <c r="AL154" s="3">
        <v>27111.494877919165</v>
      </c>
      <c r="AM154" s="8">
        <f>AL154/AL$224</f>
        <v>5.7539334736970132E-3</v>
      </c>
      <c r="AN154" s="3">
        <f>(AM154*$B$406)</f>
        <v>7822.9616004080317</v>
      </c>
      <c r="AO154" s="3">
        <f>AN154+AK154</f>
        <v>16751.945527524356</v>
      </c>
      <c r="AP154" s="113">
        <f>$AO154/$AI154</f>
        <v>0.25288782894601292</v>
      </c>
      <c r="AQ154" s="3">
        <f>AB154+AD154+AH154</f>
        <v>-28303.633000000009</v>
      </c>
      <c r="AR154" s="3">
        <f>AQ154+AO154</f>
        <v>-11551.687472475653</v>
      </c>
      <c r="AS154" s="113">
        <f>AR154/AI154</f>
        <v>-0.17438459077946497</v>
      </c>
      <c r="AT154" s="70"/>
      <c r="AU154" s="70"/>
      <c r="AV154" s="70"/>
      <c r="AW154" s="3"/>
      <c r="BA154" s="3"/>
      <c r="BB154" s="3"/>
      <c r="BC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</row>
    <row r="155" spans="1:68" ht="22.2" customHeight="1" x14ac:dyDescent="0.3">
      <c r="A155" s="2" t="s">
        <v>900</v>
      </c>
      <c r="B155" s="3">
        <v>0</v>
      </c>
      <c r="C155" s="88">
        <f>$B155/$AI155</f>
        <v>0</v>
      </c>
      <c r="D155" s="3">
        <v>1900</v>
      </c>
      <c r="E155" s="88">
        <f>$D155/$AI155</f>
        <v>1.6843486634356489E-2</v>
      </c>
      <c r="F155" s="3">
        <v>39.729999999999997</v>
      </c>
      <c r="G155" s="88">
        <f>$F155/$AI155</f>
        <v>3.5220617051735955E-4</v>
      </c>
      <c r="H155" s="3">
        <v>0</v>
      </c>
      <c r="I155" s="88">
        <f>$H155/$AI155</f>
        <v>0</v>
      </c>
      <c r="J155" s="3">
        <v>7220.9039999999995</v>
      </c>
      <c r="K155" s="88">
        <f>$J155/$AI155</f>
        <v>6.4013263164195408E-2</v>
      </c>
      <c r="L155" s="3"/>
      <c r="M155" s="88">
        <f>$L155/$AI155</f>
        <v>0</v>
      </c>
      <c r="N155" s="3"/>
      <c r="O155" s="88">
        <f>$N155/$AI155</f>
        <v>0</v>
      </c>
      <c r="P155" s="3">
        <v>262.97000000000003</v>
      </c>
      <c r="Q155" s="88">
        <f>$P155/$AI155</f>
        <v>2.3312272001245926E-3</v>
      </c>
      <c r="R155" s="3">
        <v>4656.576</v>
      </c>
      <c r="S155" s="88">
        <f>$R155/$AI155</f>
        <v>4.1280513483086943E-2</v>
      </c>
      <c r="U155" s="88">
        <f>$T155/$AI155</f>
        <v>0</v>
      </c>
      <c r="W155" s="88">
        <f>$V155/$AI155</f>
        <v>0</v>
      </c>
      <c r="X155" s="3">
        <v>158.22</v>
      </c>
      <c r="Y155" s="88">
        <f>$X155/$AI155</f>
        <v>1.4026191869936228E-3</v>
      </c>
      <c r="Z155" s="3">
        <v>1982.357</v>
      </c>
      <c r="AA155" s="88">
        <f>$Z155/$AI155</f>
        <v>1.7573580860012115E-2</v>
      </c>
      <c r="AB155" s="56">
        <v>16220.757</v>
      </c>
      <c r="AC155" s="88">
        <f>$AB155/AI155</f>
        <v>0.14379689669928652</v>
      </c>
      <c r="AD155" s="101">
        <v>56094.024999999994</v>
      </c>
      <c r="AE155" s="88">
        <f>$AD155/$AI155</f>
        <v>0.49727313702882031</v>
      </c>
      <c r="AF155" s="3">
        <v>-98945.328999999998</v>
      </c>
      <c r="AG155" s="3">
        <v>-13857.919</v>
      </c>
      <c r="AH155" s="89">
        <f>SUM(AF155,AG155)</f>
        <v>-112803.24799999999</v>
      </c>
      <c r="AI155" s="3">
        <f>((AF155+AG155)*-1)</f>
        <v>112803.24799999999</v>
      </c>
      <c r="AJ155" s="8">
        <f>AI155/($AI$224)</f>
        <v>8.6082702323544459E-3</v>
      </c>
      <c r="AK155" s="56">
        <f>AJ155*($G$260+$G$313-$B$406)</f>
        <v>15204.996403424551</v>
      </c>
      <c r="AL155" s="3">
        <v>41167.76570116177</v>
      </c>
      <c r="AM155" s="8">
        <f>AL155/AL$224</f>
        <v>8.7371274129982995E-3</v>
      </c>
      <c r="AN155" s="3">
        <f>(AM155*$B$406)</f>
        <v>11878.867310893975</v>
      </c>
      <c r="AO155" s="3">
        <f>AN155+AK155</f>
        <v>27083.863714318526</v>
      </c>
      <c r="AP155" s="113">
        <f>$AO155/$AI155</f>
        <v>0.24009826130466144</v>
      </c>
      <c r="AQ155" s="3">
        <f>AB155+AD155+AH155</f>
        <v>-40488.466</v>
      </c>
      <c r="AR155" s="3">
        <f>AQ155+AO155</f>
        <v>-13404.602285681474</v>
      </c>
      <c r="AS155" s="113">
        <f>AR155/AI155</f>
        <v>-0.11883170496723175</v>
      </c>
      <c r="AT155" s="70"/>
      <c r="AU155" s="70"/>
      <c r="AV155" s="70"/>
      <c r="AW155" s="3"/>
      <c r="BA155" s="3"/>
      <c r="BB155" s="3"/>
      <c r="BC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</row>
    <row r="156" spans="1:68" ht="22.2" customHeight="1" x14ac:dyDescent="0.3">
      <c r="A156" s="2" t="s">
        <v>901</v>
      </c>
      <c r="B156" s="3">
        <v>0</v>
      </c>
      <c r="C156" s="88">
        <f>$B156/$AI156</f>
        <v>0</v>
      </c>
      <c r="D156" s="3">
        <v>750</v>
      </c>
      <c r="E156" s="88">
        <f>$D156/$AI156</f>
        <v>1.3731396635181673E-2</v>
      </c>
      <c r="F156" s="3">
        <v>0</v>
      </c>
      <c r="G156" s="88">
        <f>$F156/$AI156</f>
        <v>0</v>
      </c>
      <c r="H156" s="3">
        <v>47.2</v>
      </c>
      <c r="I156" s="88">
        <f>$H156/$AI156</f>
        <v>8.6416256157409996E-4</v>
      </c>
      <c r="J156" s="3">
        <v>3090.2840000000001</v>
      </c>
      <c r="K156" s="88">
        <f>$J156/$AI156</f>
        <v>5.6578553759141011E-2</v>
      </c>
      <c r="L156" s="3"/>
      <c r="M156" s="88">
        <f>$L156/$AI156</f>
        <v>0</v>
      </c>
      <c r="N156" s="3"/>
      <c r="O156" s="88">
        <f>$N156/$AI156</f>
        <v>0</v>
      </c>
      <c r="P156" s="3">
        <v>41.69</v>
      </c>
      <c r="Q156" s="88">
        <f>$P156/$AI156</f>
        <v>7.6328256762763186E-4</v>
      </c>
      <c r="R156" s="3">
        <v>5718.8669999999993</v>
      </c>
      <c r="S156" s="88">
        <f>$R156/$AI156</f>
        <v>0.10470404144113532</v>
      </c>
      <c r="U156" s="88">
        <f>$T156/$AI156</f>
        <v>0</v>
      </c>
      <c r="W156" s="88">
        <f>$V156/$AI156</f>
        <v>0</v>
      </c>
      <c r="X156" s="3">
        <v>53.19</v>
      </c>
      <c r="Y156" s="88">
        <f>$X156/$AI156</f>
        <v>9.7383064936708416E-4</v>
      </c>
      <c r="Z156" s="3">
        <v>946.14100000000008</v>
      </c>
      <c r="AA156" s="88">
        <f>$Z156/$AI156</f>
        <v>1.732244979174323E-2</v>
      </c>
      <c r="AB156" s="56">
        <v>10647.372000000001</v>
      </c>
      <c r="AC156" s="88">
        <f>$AB156/AI156</f>
        <v>0.19493771740577009</v>
      </c>
      <c r="AD156" s="101">
        <v>29966.565999999999</v>
      </c>
      <c r="AE156" s="88">
        <f>$AD156/$AI156</f>
        <v>0.54864373805379929</v>
      </c>
      <c r="AF156" s="3">
        <v>-47496.041000000005</v>
      </c>
      <c r="AG156" s="3">
        <v>-7123.3119999999999</v>
      </c>
      <c r="AH156" s="89">
        <f>SUM(AF156,AG156)</f>
        <v>-54619.353000000003</v>
      </c>
      <c r="AI156" s="3">
        <f>((AF156+AG156)*-1)</f>
        <v>54619.353000000003</v>
      </c>
      <c r="AJ156" s="8">
        <f>AI156/($AI$224)</f>
        <v>4.1681259970489468E-3</v>
      </c>
      <c r="AK156" s="56">
        <f>AJ156*($G$260+$G$313-$B$406)</f>
        <v>7362.2619972997254</v>
      </c>
      <c r="AL156" s="3">
        <v>19830.952386161305</v>
      </c>
      <c r="AM156" s="8">
        <f>AL156/AL$224</f>
        <v>4.208767582305404E-3</v>
      </c>
      <c r="AN156" s="3">
        <f>(AM156*$B$406)</f>
        <v>5722.1772430855654</v>
      </c>
      <c r="AO156" s="3">
        <f>AN156+AK156</f>
        <v>13084.439240385291</v>
      </c>
      <c r="AP156" s="113">
        <f>$AO156/$AI156</f>
        <v>0.23955683327822083</v>
      </c>
      <c r="AQ156" s="3">
        <f>AB156+AD156+AH156</f>
        <v>-14005.415000000001</v>
      </c>
      <c r="AR156" s="3">
        <f>AQ156+AO156</f>
        <v>-920.97575961471011</v>
      </c>
      <c r="AS156" s="113">
        <f>AR156/AI156</f>
        <v>-1.6861711262209752E-2</v>
      </c>
      <c r="AT156" s="70"/>
      <c r="AU156" s="70"/>
      <c r="AV156" s="70"/>
      <c r="AW156" s="3"/>
      <c r="BA156" s="3"/>
      <c r="BB156" s="3"/>
      <c r="BC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</row>
    <row r="157" spans="1:68" ht="22.2" customHeight="1" x14ac:dyDescent="0.3">
      <c r="A157" s="2" t="s">
        <v>902</v>
      </c>
      <c r="B157" s="3">
        <v>0</v>
      </c>
      <c r="C157" s="88">
        <f>$B157/$AI157</f>
        <v>0</v>
      </c>
      <c r="D157" s="3">
        <v>600</v>
      </c>
      <c r="E157" s="88">
        <f>$D157/$AI157</f>
        <v>4.6570738087053842E-3</v>
      </c>
      <c r="F157" s="3">
        <v>30</v>
      </c>
      <c r="G157" s="88">
        <f>$F157/$AI157</f>
        <v>2.3285369043526919E-4</v>
      </c>
      <c r="H157" s="3">
        <v>0</v>
      </c>
      <c r="I157" s="88">
        <f>$H157/$AI157</f>
        <v>0</v>
      </c>
      <c r="J157" s="3">
        <v>4531.4230000000007</v>
      </c>
      <c r="K157" s="88">
        <f>$J157/$AI157</f>
        <v>3.5171952282441965E-2</v>
      </c>
      <c r="L157" s="3"/>
      <c r="M157" s="88">
        <f>$L157/$AI157</f>
        <v>0</v>
      </c>
      <c r="N157" s="3"/>
      <c r="O157" s="88">
        <f>$N157/$AI157</f>
        <v>0</v>
      </c>
      <c r="P157" s="3">
        <v>5253.09</v>
      </c>
      <c r="Q157" s="88">
        <f>$P157/$AI157</f>
        <v>4.0773379756286948E-2</v>
      </c>
      <c r="R157" s="3">
        <v>500.142</v>
      </c>
      <c r="S157" s="88">
        <f>$R157/$AI157</f>
        <v>3.8819970147225468E-3</v>
      </c>
      <c r="U157" s="88">
        <f>$T157/$AI157</f>
        <v>0</v>
      </c>
      <c r="W157" s="88">
        <f>$V157/$AI157</f>
        <v>0</v>
      </c>
      <c r="X157" s="3">
        <v>197.99</v>
      </c>
      <c r="Y157" s="88">
        <f>$X157/$AI157</f>
        <v>1.5367567389759651E-3</v>
      </c>
      <c r="Z157" s="3">
        <v>42.882999999999996</v>
      </c>
      <c r="AA157" s="88">
        <f>$Z157/$AI157</f>
        <v>3.3284882689785494E-4</v>
      </c>
      <c r="AB157" s="56">
        <v>11155.528</v>
      </c>
      <c r="AC157" s="88">
        <f>$AB157/AI157</f>
        <v>8.6586862118465932E-2</v>
      </c>
      <c r="AD157" s="101">
        <v>67358.516000000003</v>
      </c>
      <c r="AE157" s="88">
        <f>$AD157/$AI157</f>
        <v>0.52282263442810428</v>
      </c>
      <c r="AF157" s="3">
        <v>-112026.09</v>
      </c>
      <c r="AG157" s="3">
        <v>-16810.175999999999</v>
      </c>
      <c r="AH157" s="89">
        <f>SUM(AF157,AG157)</f>
        <v>-128836.266</v>
      </c>
      <c r="AI157" s="3">
        <f>((AF157+AG157)*-1)</f>
        <v>128836.266</v>
      </c>
      <c r="AJ157" s="8">
        <f>AI157/($AI$224)</f>
        <v>9.8317859912641827E-3</v>
      </c>
      <c r="AK157" s="56">
        <f>AJ157*($G$260+$G$313-$B$406)</f>
        <v>17366.121950324065</v>
      </c>
      <c r="AL157" s="3">
        <v>37964.913354743541</v>
      </c>
      <c r="AM157" s="8">
        <f>AL157/AL$224</f>
        <v>8.0573788631544355E-3</v>
      </c>
      <c r="AN157" s="3">
        <f>(AM157*$B$406)</f>
        <v>10954.691383648695</v>
      </c>
      <c r="AO157" s="3">
        <f>AN157+AK157</f>
        <v>28320.813333972757</v>
      </c>
      <c r="AP157" s="113">
        <f>$AO157/$AI157</f>
        <v>0.21982019669813121</v>
      </c>
      <c r="AQ157" s="3">
        <f>AB157+AD157+AH157</f>
        <v>-50322.221999999994</v>
      </c>
      <c r="AR157" s="3">
        <f>AQ157+AO157</f>
        <v>-22001.408666027237</v>
      </c>
      <c r="AS157" s="113">
        <f>AR157/AI157</f>
        <v>-0.1707703067552985</v>
      </c>
      <c r="AT157" s="70"/>
      <c r="AU157" s="70"/>
      <c r="AV157" s="70"/>
      <c r="AW157" s="3"/>
      <c r="BA157" s="3"/>
      <c r="BB157" s="3"/>
      <c r="BC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</row>
    <row r="158" spans="1:68" ht="22.2" customHeight="1" x14ac:dyDescent="0.3">
      <c r="A158" s="2" t="s">
        <v>903</v>
      </c>
      <c r="B158" s="3">
        <v>0</v>
      </c>
      <c r="C158" s="88">
        <f>$B158/$AI158</f>
        <v>0</v>
      </c>
      <c r="D158" s="3">
        <v>2500</v>
      </c>
      <c r="E158" s="88">
        <f>$D158/$AI158</f>
        <v>1.9035076201407403E-2</v>
      </c>
      <c r="F158" s="3">
        <v>0</v>
      </c>
      <c r="G158" s="88">
        <f>$F158/$AI158</f>
        <v>0</v>
      </c>
      <c r="H158" s="3">
        <v>0</v>
      </c>
      <c r="I158" s="88">
        <f>$H158/$AI158</f>
        <v>0</v>
      </c>
      <c r="J158" s="3">
        <v>10513.734</v>
      </c>
      <c r="K158" s="88">
        <f>$J158/$AI158</f>
        <v>8.0051891140531142E-2</v>
      </c>
      <c r="L158" s="3"/>
      <c r="M158" s="88">
        <f>$L158/$AI158</f>
        <v>0</v>
      </c>
      <c r="N158" s="3"/>
      <c r="O158" s="88">
        <f>$N158/$AI158</f>
        <v>0</v>
      </c>
      <c r="P158" s="3">
        <v>157.44999999999999</v>
      </c>
      <c r="Q158" s="88">
        <f>$P158/$AI158</f>
        <v>1.1988290991646381E-3</v>
      </c>
      <c r="R158" s="3">
        <v>464.32900000000001</v>
      </c>
      <c r="S158" s="88">
        <f>$R158/$AI158</f>
        <v>3.5354151590093193E-3</v>
      </c>
      <c r="U158" s="88">
        <f>$T158/$AI158</f>
        <v>0</v>
      </c>
      <c r="W158" s="88">
        <f>$V158/$AI158</f>
        <v>0</v>
      </c>
      <c r="X158" s="3">
        <v>294.26199999999994</v>
      </c>
      <c r="Y158" s="88">
        <f>$X158/$AI158</f>
        <v>2.2405198372714174E-3</v>
      </c>
      <c r="Z158" s="3">
        <v>118.065</v>
      </c>
      <c r="AA158" s="88">
        <f>$Z158/$AI158</f>
        <v>8.9895050868766591E-4</v>
      </c>
      <c r="AB158" s="56">
        <v>14047.84</v>
      </c>
      <c r="AC158" s="88">
        <f>$AB158/AI158</f>
        <v>0.10696068194607158</v>
      </c>
      <c r="AD158" s="101">
        <v>65579.53</v>
      </c>
      <c r="AE158" s="88">
        <f>$AD158/$AI158</f>
        <v>0.4993245403209931</v>
      </c>
      <c r="AF158" s="3">
        <v>-114279.83399999999</v>
      </c>
      <c r="AG158" s="3">
        <v>-17056.651000000002</v>
      </c>
      <c r="AH158" s="89">
        <f>SUM(AF158,AG158)</f>
        <v>-131336.48499999999</v>
      </c>
      <c r="AI158" s="3">
        <f>((AF158+AG158)*-1)</f>
        <v>131336.48499999999</v>
      </c>
      <c r="AJ158" s="8">
        <f>AI158/($AI$224)</f>
        <v>1.0022583341284341E-2</v>
      </c>
      <c r="AK158" s="56">
        <f>AJ158*($G$260+$G$313-$B$406)</f>
        <v>17703.131935202986</v>
      </c>
      <c r="AL158" s="3">
        <v>48971.366626852978</v>
      </c>
      <c r="AM158" s="8">
        <f>AL158/AL$224</f>
        <v>1.0393303171063096E-2</v>
      </c>
      <c r="AN158" s="3">
        <f>(AM158*$B$406)</f>
        <v>14130.579016998036</v>
      </c>
      <c r="AO158" s="3">
        <f>AN158+AK158</f>
        <v>31833.710952201021</v>
      </c>
      <c r="AP158" s="113">
        <f>$AO158/$AI158</f>
        <v>0.24238284549948955</v>
      </c>
      <c r="AQ158" s="3">
        <f>AB158+AD158+AH158</f>
        <v>-51709.114999999991</v>
      </c>
      <c r="AR158" s="3">
        <f>AQ158+AO158</f>
        <v>-19875.404047798969</v>
      </c>
      <c r="AS158" s="113">
        <f>AR158/AI158</f>
        <v>-0.15133193223344579</v>
      </c>
      <c r="AT158" s="70"/>
      <c r="AU158" s="70"/>
      <c r="AV158" s="70"/>
      <c r="AW158" s="3"/>
      <c r="BA158" s="3"/>
      <c r="BB158" s="3"/>
      <c r="BC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</row>
    <row r="159" spans="1:68" ht="22.2" customHeight="1" x14ac:dyDescent="0.3">
      <c r="A159" s="2" t="s">
        <v>904</v>
      </c>
      <c r="B159" s="3">
        <v>0</v>
      </c>
      <c r="C159" s="88">
        <f>$B159/$AI159</f>
        <v>0</v>
      </c>
      <c r="D159" s="3">
        <v>2569.64</v>
      </c>
      <c r="E159" s="88">
        <f>$D159/$AI159</f>
        <v>2.0050167084205518E-2</v>
      </c>
      <c r="F159" s="3">
        <v>0</v>
      </c>
      <c r="G159" s="88">
        <f>$F159/$AI159</f>
        <v>0</v>
      </c>
      <c r="H159" s="3">
        <v>0</v>
      </c>
      <c r="I159" s="88">
        <f>$H159/$AI159</f>
        <v>0</v>
      </c>
      <c r="J159" s="3">
        <v>6085.107</v>
      </c>
      <c r="K159" s="88">
        <f>$J159/$AI159</f>
        <v>4.7480352140871325E-2</v>
      </c>
      <c r="L159" s="3"/>
      <c r="M159" s="88">
        <f>$L159/$AI159</f>
        <v>0</v>
      </c>
      <c r="N159" s="3"/>
      <c r="O159" s="88">
        <f>$N159/$AI159</f>
        <v>0</v>
      </c>
      <c r="P159" s="3">
        <v>141.88</v>
      </c>
      <c r="Q159" s="88">
        <f>$P159/$AI159</f>
        <v>1.1070491220198466E-3</v>
      </c>
      <c r="R159" s="3">
        <v>897.25400000000002</v>
      </c>
      <c r="S159" s="88">
        <f>$R159/$AI159</f>
        <v>7.0010167248998837E-3</v>
      </c>
      <c r="U159" s="88">
        <f>$T159/$AI159</f>
        <v>0</v>
      </c>
      <c r="W159" s="88">
        <f>$V159/$AI159</f>
        <v>0</v>
      </c>
      <c r="X159" s="3">
        <v>251.792</v>
      </c>
      <c r="Y159" s="88">
        <f>$X159/$AI159</f>
        <v>1.964661069436293E-3</v>
      </c>
      <c r="Z159" s="3">
        <v>459.94500000000005</v>
      </c>
      <c r="AA159" s="88">
        <f>$Z159/$AI159</f>
        <v>3.5888194842642967E-3</v>
      </c>
      <c r="AB159" s="56">
        <v>10405.618000000002</v>
      </c>
      <c r="AC159" s="88">
        <f>$AB159/AI159</f>
        <v>8.1192065625697182E-2</v>
      </c>
      <c r="AD159" s="101">
        <v>65753.803</v>
      </c>
      <c r="AE159" s="88">
        <f>$AD159/$AI159</f>
        <v>0.51305814688903273</v>
      </c>
      <c r="AF159" s="3">
        <v>-111386.16300000002</v>
      </c>
      <c r="AG159" s="3">
        <v>-16774.365000000002</v>
      </c>
      <c r="AH159" s="89">
        <f>SUM(AF159,AG159)</f>
        <v>-128160.52800000002</v>
      </c>
      <c r="AI159" s="3">
        <f>((AF159+AG159)*-1)</f>
        <v>128160.52800000002</v>
      </c>
      <c r="AJ159" s="8">
        <f>AI159/($AI$224)</f>
        <v>9.7802189006581507E-3</v>
      </c>
      <c r="AK159" s="56">
        <f>AJ159*($G$260+$G$313-$B$406)</f>
        <v>17275.037748035342</v>
      </c>
      <c r="AL159" s="3">
        <v>44292.249841940626</v>
      </c>
      <c r="AM159" s="8">
        <f>AL159/AL$224</f>
        <v>9.4002437024768657E-3</v>
      </c>
      <c r="AN159" s="3">
        <f>(AM159*$B$406)</f>
        <v>12780.430266550255</v>
      </c>
      <c r="AO159" s="3">
        <f>AN159+AK159</f>
        <v>30055.468014585596</v>
      </c>
      <c r="AP159" s="113">
        <f>$AO159/$AI159</f>
        <v>0.23451423370061017</v>
      </c>
      <c r="AQ159" s="3">
        <f>AB159+AD159+AH159</f>
        <v>-52001.107000000018</v>
      </c>
      <c r="AR159" s="3">
        <f>AQ159+AO159</f>
        <v>-21945.638985414422</v>
      </c>
      <c r="AS159" s="113">
        <f>AR159/AI159</f>
        <v>-0.17123555378465996</v>
      </c>
      <c r="AT159" s="70"/>
      <c r="AU159" s="70"/>
      <c r="AV159" s="70"/>
      <c r="AW159" s="3"/>
      <c r="BA159" s="3"/>
      <c r="BB159" s="3"/>
      <c r="BC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</row>
    <row r="160" spans="1:68" ht="22.2" customHeight="1" x14ac:dyDescent="0.3">
      <c r="A160" s="2" t="s">
        <v>905</v>
      </c>
      <c r="B160" s="3">
        <v>0</v>
      </c>
      <c r="C160" s="88">
        <f>$B160/$AI160</f>
        <v>0</v>
      </c>
      <c r="D160" s="3">
        <v>600</v>
      </c>
      <c r="E160" s="88">
        <f>$D160/$AI160</f>
        <v>1.9280486932553575E-2</v>
      </c>
      <c r="F160" s="3">
        <v>0</v>
      </c>
      <c r="G160" s="88">
        <f>$F160/$AI160</f>
        <v>0</v>
      </c>
      <c r="H160" s="3">
        <v>0</v>
      </c>
      <c r="I160" s="88">
        <f>$H160/$AI160</f>
        <v>0</v>
      </c>
      <c r="J160" s="3">
        <v>3041.2059999999997</v>
      </c>
      <c r="K160" s="88">
        <f>$J160/$AI160</f>
        <v>9.7726554237005867E-2</v>
      </c>
      <c r="L160" s="3"/>
      <c r="M160" s="88">
        <f>$L160/$AI160</f>
        <v>0</v>
      </c>
      <c r="N160" s="3"/>
      <c r="O160" s="88">
        <f>$N160/$AI160</f>
        <v>0</v>
      </c>
      <c r="P160" s="3">
        <v>66.36</v>
      </c>
      <c r="Q160" s="88">
        <f>$P160/$AI160</f>
        <v>2.1324218547404254E-3</v>
      </c>
      <c r="R160" s="3">
        <v>239.34399999999999</v>
      </c>
      <c r="S160" s="88">
        <f>$R160/$AI160</f>
        <v>7.691114773975171E-3</v>
      </c>
      <c r="U160" s="88">
        <f>$T160/$AI160</f>
        <v>0</v>
      </c>
      <c r="W160" s="88">
        <f>$V160/$AI160</f>
        <v>0</v>
      </c>
      <c r="X160" s="3">
        <v>303.39999999999998</v>
      </c>
      <c r="Y160" s="88">
        <f>$X160/$AI160</f>
        <v>9.7494995588945903E-3</v>
      </c>
      <c r="Z160" s="3">
        <v>49.685000000000002</v>
      </c>
      <c r="AA160" s="88">
        <f>$Z160/$AI160</f>
        <v>1.5965849887398741E-3</v>
      </c>
      <c r="AB160" s="56">
        <v>4299.9949999999999</v>
      </c>
      <c r="AC160" s="88">
        <f>$AB160/AI160</f>
        <v>0.13817666234590953</v>
      </c>
      <c r="AD160" s="101">
        <v>37024.881000000001</v>
      </c>
      <c r="AE160" s="88">
        <f>$AD160/$AI160</f>
        <v>1.1897628904997519</v>
      </c>
      <c r="AF160" s="3">
        <v>-28094.173000000006</v>
      </c>
      <c r="AG160" s="3">
        <v>-3025.373</v>
      </c>
      <c r="AH160" s="89">
        <f>SUM(AF160,AG160)</f>
        <v>-31119.546000000006</v>
      </c>
      <c r="AI160" s="3">
        <f>((AF160+AG160)*-1)</f>
        <v>31119.546000000006</v>
      </c>
      <c r="AJ160" s="8">
        <f>AI160/($AI$224)</f>
        <v>2.3748027315329159E-3</v>
      </c>
      <c r="AK160" s="56">
        <f>AJ160*($G$260+$G$313-$B$406)</f>
        <v>4194.6716375241695</v>
      </c>
      <c r="AL160" s="3">
        <v>20819.301150265877</v>
      </c>
      <c r="AM160" s="8">
        <f>AL160/AL$224</f>
        <v>4.418527061193455E-3</v>
      </c>
      <c r="AN160" s="3">
        <f>(AM160*$B$406)</f>
        <v>6007.3630826793078</v>
      </c>
      <c r="AO160" s="3">
        <f>AN160+AK160</f>
        <v>10202.034720203477</v>
      </c>
      <c r="AP160" s="113">
        <f>$AO160/$AI160</f>
        <v>0.327833661847235</v>
      </c>
      <c r="AQ160" s="3">
        <f>AB160+AD160+AH160</f>
        <v>10205.329999999998</v>
      </c>
      <c r="AR160" s="3">
        <f>AQ160+AO160</f>
        <v>20407.364720203477</v>
      </c>
      <c r="AS160" s="113">
        <f>AR160/AI160</f>
        <v>0.65577321469289662</v>
      </c>
      <c r="AT160" s="70"/>
      <c r="AU160" s="70"/>
      <c r="AV160" s="70"/>
      <c r="AW160" s="3"/>
      <c r="BA160" s="3"/>
      <c r="BB160" s="3"/>
      <c r="BC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</row>
    <row r="161" spans="1:68" ht="22.2" customHeight="1" x14ac:dyDescent="0.3">
      <c r="A161" s="2" t="s">
        <v>906</v>
      </c>
      <c r="B161" s="3">
        <v>0</v>
      </c>
      <c r="C161" s="88">
        <f>$B161/$AI161</f>
        <v>0</v>
      </c>
      <c r="D161" s="3">
        <v>75</v>
      </c>
      <c r="E161" s="88">
        <f>$D161/$AI161</f>
        <v>2.5691935198773365E-3</v>
      </c>
      <c r="F161" s="3">
        <v>0</v>
      </c>
      <c r="G161" s="88">
        <f>$F161/$AI161</f>
        <v>0</v>
      </c>
      <c r="H161" s="3">
        <v>0</v>
      </c>
      <c r="I161" s="88">
        <f>$H161/$AI161</f>
        <v>0</v>
      </c>
      <c r="J161" s="3">
        <v>2828.6490000000003</v>
      </c>
      <c r="K161" s="88">
        <f>$J161/$AI161</f>
        <v>9.6897955744100109E-2</v>
      </c>
      <c r="L161" s="3"/>
      <c r="M161" s="88">
        <f>$L161/$AI161</f>
        <v>0</v>
      </c>
      <c r="N161" s="3"/>
      <c r="O161" s="88">
        <f>$N161/$AI161</f>
        <v>0</v>
      </c>
      <c r="P161" s="3">
        <v>97.13</v>
      </c>
      <c r="Q161" s="88">
        <f>$P161/$AI161</f>
        <v>3.3272768878091423E-3</v>
      </c>
      <c r="R161" s="3">
        <v>804.75800000000004</v>
      </c>
      <c r="S161" s="88">
        <f>$R161/$AI161</f>
        <v>2.7567720515592607E-2</v>
      </c>
      <c r="U161" s="88">
        <f>$T161/$AI161</f>
        <v>0</v>
      </c>
      <c r="W161" s="88">
        <f>$V161/$AI161</f>
        <v>0</v>
      </c>
      <c r="X161" s="3">
        <v>283.46999999999997</v>
      </c>
      <c r="Y161" s="88">
        <f>$X161/$AI161</f>
        <v>9.7105238277283793E-3</v>
      </c>
      <c r="Z161" s="3">
        <v>125.126</v>
      </c>
      <c r="AA161" s="88">
        <f>$Z161/$AI161</f>
        <v>4.286305444908955E-3</v>
      </c>
      <c r="AB161" s="56">
        <v>4214.1330000000007</v>
      </c>
      <c r="AC161" s="88">
        <f>$AB161/AI161</f>
        <v>0.14435897594001654</v>
      </c>
      <c r="AD161" s="101">
        <v>13153.955</v>
      </c>
      <c r="AE161" s="88">
        <f>$AD161/$AI161</f>
        <v>0.45060074595677452</v>
      </c>
      <c r="AF161" s="3">
        <v>-26016.425999999999</v>
      </c>
      <c r="AG161" s="3">
        <v>-3175.614</v>
      </c>
      <c r="AH161" s="89">
        <f>SUM(AF161,AG161)</f>
        <v>-29192.04</v>
      </c>
      <c r="AI161" s="3">
        <f>((AF161+AG161)*-1)</f>
        <v>29192.04</v>
      </c>
      <c r="AJ161" s="8">
        <f>AI161/($AI$224)</f>
        <v>2.2277104020417952E-3</v>
      </c>
      <c r="AK161" s="56">
        <f>AJ161*($G$260+$G$313-$B$406)</f>
        <v>3934.858889955241</v>
      </c>
      <c r="AL161" s="3">
        <v>15099.443663307258</v>
      </c>
      <c r="AM161" s="8">
        <f>AL161/AL$224</f>
        <v>3.2045888550124137E-3</v>
      </c>
      <c r="AN161" s="3">
        <f>(AM161*$B$406)</f>
        <v>4356.9109153690124</v>
      </c>
      <c r="AO161" s="3">
        <f>AN161+AK161</f>
        <v>8291.769805324253</v>
      </c>
      <c r="AP161" s="113">
        <f>$AO161/$AI161</f>
        <v>0.28404215002871513</v>
      </c>
      <c r="AQ161" s="3">
        <f>AB161+AD161+AH161</f>
        <v>-11823.952000000001</v>
      </c>
      <c r="AR161" s="3">
        <f>AQ161+AO161</f>
        <v>-3532.1821946757482</v>
      </c>
      <c r="AS161" s="113">
        <f>AR161/AI161</f>
        <v>-0.12099812807449387</v>
      </c>
      <c r="AT161" s="70"/>
      <c r="AU161" s="70"/>
      <c r="AV161" s="70"/>
      <c r="AW161" s="3"/>
      <c r="BA161" s="3"/>
      <c r="BB161" s="3"/>
      <c r="BC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</row>
    <row r="162" spans="1:68" ht="22.2" customHeight="1" x14ac:dyDescent="0.3">
      <c r="A162" s="2" t="s">
        <v>907</v>
      </c>
      <c r="B162" s="3">
        <v>0</v>
      </c>
      <c r="C162" s="88">
        <f>$B162/$AI162</f>
        <v>0</v>
      </c>
      <c r="D162" s="3">
        <v>600</v>
      </c>
      <c r="E162" s="88">
        <f>$D162/$AI162</f>
        <v>5.43367525127284E-3</v>
      </c>
      <c r="F162" s="3">
        <v>0</v>
      </c>
      <c r="G162" s="88">
        <f>$F162/$AI162</f>
        <v>0</v>
      </c>
      <c r="H162" s="3">
        <v>0</v>
      </c>
      <c r="I162" s="88">
        <f>$H162/$AI162</f>
        <v>0</v>
      </c>
      <c r="J162" s="3">
        <v>4411.5540000000001</v>
      </c>
      <c r="K162" s="88">
        <f>$J162/$AI162</f>
        <v>3.9951586315756175E-2</v>
      </c>
      <c r="L162" s="3"/>
      <c r="M162" s="88">
        <f>$L162/$AI162</f>
        <v>0</v>
      </c>
      <c r="N162" s="3">
        <v>129.52000000000001</v>
      </c>
      <c r="O162" s="88">
        <f>$N162/$AI162</f>
        <v>1.1729493642414306E-3</v>
      </c>
      <c r="P162" s="3">
        <v>68.14</v>
      </c>
      <c r="Q162" s="88">
        <f>$P162/$AI162</f>
        <v>6.1708438603621889E-4</v>
      </c>
      <c r="R162" s="3">
        <v>1339.6050000000002</v>
      </c>
      <c r="S162" s="88">
        <f>$R162/$AI162</f>
        <v>1.2131630891635591E-2</v>
      </c>
      <c r="U162" s="88">
        <f>$T162/$AI162</f>
        <v>0</v>
      </c>
      <c r="W162" s="88">
        <f>$V162/$AI162</f>
        <v>0</v>
      </c>
      <c r="X162" s="3">
        <v>193.32</v>
      </c>
      <c r="Y162" s="88">
        <f>$X162/$AI162</f>
        <v>1.750730165960109E-3</v>
      </c>
      <c r="Z162" s="3">
        <v>1154.9069999999999</v>
      </c>
      <c r="AA162" s="88">
        <f>$Z162/$AI162</f>
        <v>1.0458982639036269E-2</v>
      </c>
      <c r="AB162" s="56">
        <v>7897.0460000000003</v>
      </c>
      <c r="AC162" s="88">
        <f>$AB162/AI162</f>
        <v>7.1516639013938635E-2</v>
      </c>
      <c r="AD162" s="101">
        <v>56959.794999999998</v>
      </c>
      <c r="AE162" s="88">
        <f>$AD162/$AI162</f>
        <v>0.51583504734845742</v>
      </c>
      <c r="AF162" s="3">
        <v>-95518.772000000012</v>
      </c>
      <c r="AG162" s="3">
        <v>-14903.727000000001</v>
      </c>
      <c r="AH162" s="89">
        <f>SUM(AF162,AG162)</f>
        <v>-110422.49900000001</v>
      </c>
      <c r="AI162" s="3">
        <f>((AF162+AG162)*-1)</f>
        <v>110422.49900000001</v>
      </c>
      <c r="AJ162" s="8">
        <f>AI162/($AI$224)</f>
        <v>8.4265899074456498E-3</v>
      </c>
      <c r="AK162" s="56">
        <f>AJ162*($G$260+$G$313-$B$406)</f>
        <v>14884.090041025693</v>
      </c>
      <c r="AL162" s="3">
        <v>41247.665855426436</v>
      </c>
      <c r="AM162" s="8">
        <f>AL162/AL$224</f>
        <v>8.7540848022624167E-3</v>
      </c>
      <c r="AN162" s="3">
        <f>(AM162*$B$406)</f>
        <v>11901.922322854536</v>
      </c>
      <c r="AO162" s="3">
        <f>AN162+AK162</f>
        <v>26786.012363880229</v>
      </c>
      <c r="AP162" s="113">
        <f>$AO162/$AI162</f>
        <v>0.24257748743650717</v>
      </c>
      <c r="AQ162" s="3">
        <f>AB162+AD162+AH162</f>
        <v>-45565.65800000001</v>
      </c>
      <c r="AR162" s="3">
        <f>AQ162+AO162</f>
        <v>-18779.645636119782</v>
      </c>
      <c r="AS162" s="113">
        <f>AR162/AI162</f>
        <v>-0.17007082620109676</v>
      </c>
      <c r="AT162" s="70"/>
      <c r="AU162" s="70"/>
      <c r="AV162" s="70"/>
      <c r="AW162" s="3"/>
      <c r="BA162" s="3"/>
      <c r="BB162" s="3"/>
      <c r="BC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</row>
    <row r="163" spans="1:68" ht="22.2" customHeight="1" x14ac:dyDescent="0.3">
      <c r="A163" s="2" t="s">
        <v>908</v>
      </c>
      <c r="B163" s="3">
        <v>0</v>
      </c>
      <c r="C163" s="88">
        <f>$B163/$AI163</f>
        <v>0</v>
      </c>
      <c r="D163" s="3">
        <v>1920</v>
      </c>
      <c r="E163" s="88">
        <f>$D163/$AI163</f>
        <v>1.8933262144267674E-2</v>
      </c>
      <c r="F163" s="3">
        <v>0</v>
      </c>
      <c r="G163" s="88">
        <f>$F163/$AI163</f>
        <v>0</v>
      </c>
      <c r="H163" s="3">
        <v>0</v>
      </c>
      <c r="I163" s="88">
        <f>$H163/$AI163</f>
        <v>0</v>
      </c>
      <c r="J163" s="3">
        <v>5052.1459999999997</v>
      </c>
      <c r="K163" s="88">
        <f>$J163/$AI163</f>
        <v>4.9819585733913194E-2</v>
      </c>
      <c r="L163" s="3"/>
      <c r="M163" s="88">
        <f>$L163/$AI163</f>
        <v>0</v>
      </c>
      <c r="N163" s="3"/>
      <c r="O163" s="88">
        <f>$N163/$AI163</f>
        <v>0</v>
      </c>
      <c r="P163" s="3">
        <v>150.76</v>
      </c>
      <c r="Q163" s="88">
        <f>$P163/$AI163</f>
        <v>1.486655521286351E-3</v>
      </c>
      <c r="R163" s="3"/>
      <c r="S163" s="88">
        <f>$R163/$AI163</f>
        <v>0</v>
      </c>
      <c r="U163" s="88">
        <f>$T163/$AI163</f>
        <v>0</v>
      </c>
      <c r="W163" s="88">
        <f>$V163/$AI163</f>
        <v>0</v>
      </c>
      <c r="X163" s="3">
        <v>425.72</v>
      </c>
      <c r="Y163" s="88">
        <f>$X163/$AI163</f>
        <v>4.1980564375300178E-3</v>
      </c>
      <c r="Z163" s="3">
        <v>711.88400000000001</v>
      </c>
      <c r="AA163" s="88">
        <f>$Z163/$AI163</f>
        <v>7.0199408272447125E-3</v>
      </c>
      <c r="AB163" s="56">
        <v>8260.51</v>
      </c>
      <c r="AC163" s="88">
        <f>$AB163/AI163</f>
        <v>8.1457500664241955E-2</v>
      </c>
      <c r="AD163" s="101">
        <v>41939.822</v>
      </c>
      <c r="AE163" s="88">
        <f>$AD163/$AI163</f>
        <v>0.413571689692669</v>
      </c>
      <c r="AF163" s="3">
        <v>-88782.444000000003</v>
      </c>
      <c r="AG163" s="3">
        <v>-12626.387999999999</v>
      </c>
      <c r="AH163" s="89">
        <f>SUM(AF163,AG163)</f>
        <v>-101408.83199999999</v>
      </c>
      <c r="AI163" s="3">
        <f>((AF163+AG163)*-1)</f>
        <v>101408.83199999999</v>
      </c>
      <c r="AJ163" s="8">
        <f>AI163/($AI$224)</f>
        <v>7.738736652365125E-3</v>
      </c>
      <c r="AK163" s="56">
        <f>AJ163*($G$260+$G$313-$B$406)</f>
        <v>13669.118160812928</v>
      </c>
      <c r="AL163" s="3">
        <v>40786.852209616831</v>
      </c>
      <c r="AM163" s="8">
        <f>AL163/AL$224</f>
        <v>8.6562852868281078E-3</v>
      </c>
      <c r="AN163" s="3">
        <f>(AM163*$B$406)</f>
        <v>11768.955569366937</v>
      </c>
      <c r="AO163" s="3">
        <f>AN163+AK163</f>
        <v>25438.073730179865</v>
      </c>
      <c r="AP163" s="113">
        <f>$AO163/$AI163</f>
        <v>0.25084672832224186</v>
      </c>
      <c r="AQ163" s="3">
        <f>AB163+AD163+AH163</f>
        <v>-51208.499999999993</v>
      </c>
      <c r="AR163" s="3">
        <f>AQ163+AO163</f>
        <v>-25770.426269820127</v>
      </c>
      <c r="AS163" s="113">
        <f>AR163/AI163</f>
        <v>-0.25412408132084718</v>
      </c>
      <c r="AT163" s="70"/>
      <c r="AU163" s="70"/>
      <c r="AV163" s="70"/>
      <c r="AW163" s="3"/>
      <c r="BA163" s="3"/>
      <c r="BB163" s="3"/>
      <c r="BC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</row>
    <row r="164" spans="1:68" ht="22.2" customHeight="1" x14ac:dyDescent="0.3">
      <c r="A164" s="2" t="s">
        <v>909</v>
      </c>
      <c r="B164" s="3">
        <v>0</v>
      </c>
      <c r="C164" s="88">
        <f>$B164/$AI164</f>
        <v>0</v>
      </c>
      <c r="D164" s="3">
        <v>3439.37</v>
      </c>
      <c r="E164" s="88">
        <f>$D164/$AI164</f>
        <v>4.9689878363479628E-2</v>
      </c>
      <c r="F164" s="3">
        <v>0</v>
      </c>
      <c r="G164" s="88">
        <f>$F164/$AI164</f>
        <v>0</v>
      </c>
      <c r="H164" s="3">
        <v>0</v>
      </c>
      <c r="I164" s="88">
        <f>$H164/$AI164</f>
        <v>0</v>
      </c>
      <c r="J164" s="3">
        <v>5681.4719999999998</v>
      </c>
      <c r="K164" s="88">
        <f>$J164/$AI164</f>
        <v>8.2082373401383191E-2</v>
      </c>
      <c r="L164" s="3"/>
      <c r="M164" s="88">
        <f>$L164/$AI164</f>
        <v>0</v>
      </c>
      <c r="N164" s="3"/>
      <c r="O164" s="88">
        <f>$N164/$AI164</f>
        <v>0</v>
      </c>
      <c r="P164" s="3">
        <v>197.35</v>
      </c>
      <c r="Q164" s="88">
        <f>$P164/$AI164</f>
        <v>2.8511900420811671E-3</v>
      </c>
      <c r="R164" s="3">
        <v>402.19599999999997</v>
      </c>
      <c r="S164" s="88">
        <f>$R164/$AI164</f>
        <v>5.8106776294141226E-3</v>
      </c>
      <c r="U164" s="88">
        <f>$T164/$AI164</f>
        <v>0</v>
      </c>
      <c r="W164" s="88">
        <f>$V164/$AI164</f>
        <v>0</v>
      </c>
      <c r="X164" s="3">
        <v>277.89999999999998</v>
      </c>
      <c r="Y164" s="88">
        <f>$X164/$AI164</f>
        <v>4.0149263374429003E-3</v>
      </c>
      <c r="Z164" s="3">
        <v>74.622</v>
      </c>
      <c r="AA164" s="88">
        <f>$Z164/$AI164</f>
        <v>1.0780922387645345E-3</v>
      </c>
      <c r="AB164" s="56">
        <v>10072.91</v>
      </c>
      <c r="AC164" s="88">
        <f>$AB164/AI164</f>
        <v>0.14552713801256556</v>
      </c>
      <c r="AD164" s="101">
        <v>27928.405999999999</v>
      </c>
      <c r="AE164" s="88">
        <f>$AD164/$AI164</f>
        <v>0.40349223753939661</v>
      </c>
      <c r="AF164" s="3">
        <v>-60377.943999999989</v>
      </c>
      <c r="AG164" s="3">
        <v>-8838.768</v>
      </c>
      <c r="AH164" s="89">
        <f>SUM(AF164,AG164)</f>
        <v>-69216.711999999985</v>
      </c>
      <c r="AI164" s="3">
        <f>((AF164+AG164)*-1)</f>
        <v>69216.711999999985</v>
      </c>
      <c r="AJ164" s="8">
        <f>AI164/($AI$224)</f>
        <v>5.282083380179361E-3</v>
      </c>
      <c r="AK164" s="56">
        <f>AJ164*($G$260+$G$313-$B$406)</f>
        <v>9329.8719290146055</v>
      </c>
      <c r="AL164" s="3">
        <v>35517.560739361186</v>
      </c>
      <c r="AM164" s="8">
        <f>AL164/AL$224</f>
        <v>7.5379717187310791E-3</v>
      </c>
      <c r="AN164" s="3">
        <f>(AM164*$B$406)</f>
        <v>10248.513224937597</v>
      </c>
      <c r="AO164" s="3">
        <f>AN164+AK164</f>
        <v>19578.3851539522</v>
      </c>
      <c r="AP164" s="113">
        <f>$AO164/$AI164</f>
        <v>0.28285633033178759</v>
      </c>
      <c r="AQ164" s="3">
        <f>AB164+AD164+AH164</f>
        <v>-31215.395999999986</v>
      </c>
      <c r="AR164" s="3">
        <f>AQ164+AO164</f>
        <v>-11637.010846047786</v>
      </c>
      <c r="AS164" s="113">
        <f>AR164/AI164</f>
        <v>-0.16812429411625027</v>
      </c>
      <c r="AT164" s="70"/>
      <c r="AU164" s="70"/>
      <c r="AV164" s="70"/>
      <c r="AW164" s="3"/>
      <c r="BA164" s="3"/>
      <c r="BB164" s="3"/>
      <c r="BC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</row>
    <row r="165" spans="1:68" ht="22.2" customHeight="1" x14ac:dyDescent="0.3">
      <c r="A165" s="2" t="s">
        <v>910</v>
      </c>
      <c r="B165" s="3">
        <v>0</v>
      </c>
      <c r="C165" s="88">
        <f>$B165/$AI165</f>
        <v>0</v>
      </c>
      <c r="D165" s="3">
        <v>1897.58</v>
      </c>
      <c r="E165" s="88">
        <f>$D165/$AI165</f>
        <v>2.2884591424876172E-2</v>
      </c>
      <c r="F165" s="3">
        <v>0</v>
      </c>
      <c r="G165" s="88">
        <f>$F165/$AI165</f>
        <v>0</v>
      </c>
      <c r="H165" s="3">
        <v>0</v>
      </c>
      <c r="I165" s="88">
        <f>$H165/$AI165</f>
        <v>0</v>
      </c>
      <c r="J165" s="3">
        <v>4363.7039999999997</v>
      </c>
      <c r="K165" s="88">
        <f>$J165/$AI165</f>
        <v>5.2625756563147719E-2</v>
      </c>
      <c r="L165" s="3"/>
      <c r="M165" s="88">
        <f>$L165/$AI165</f>
        <v>0</v>
      </c>
      <c r="N165" s="3"/>
      <c r="O165" s="88">
        <f>$N165/$AI165</f>
        <v>0</v>
      </c>
      <c r="P165" s="3">
        <v>39.950000000000003</v>
      </c>
      <c r="Q165" s="88">
        <f>$P165/$AI165</f>
        <v>4.8179229725429397E-4</v>
      </c>
      <c r="R165" s="3">
        <v>426.98199999999997</v>
      </c>
      <c r="S165" s="88">
        <f>$R165/$AI165</f>
        <v>5.1493526574776707E-3</v>
      </c>
      <c r="U165" s="88">
        <f>$T165/$AI165</f>
        <v>0</v>
      </c>
      <c r="W165" s="88">
        <f>$V165/$AI165</f>
        <v>0</v>
      </c>
      <c r="X165" s="3">
        <v>1065.53</v>
      </c>
      <c r="Y165" s="88">
        <f>$X165/$AI165</f>
        <v>1.2850166370297067E-2</v>
      </c>
      <c r="Z165" s="3">
        <v>451.20500000000004</v>
      </c>
      <c r="AA165" s="88">
        <f>$Z165/$AI165</f>
        <v>5.4414791860481534E-3</v>
      </c>
      <c r="AB165" s="56">
        <v>8244.9510000000009</v>
      </c>
      <c r="AC165" s="88">
        <f>$AB165/AI165</f>
        <v>9.9433138499101098E-2</v>
      </c>
      <c r="AD165" s="101">
        <v>34403.311999999998</v>
      </c>
      <c r="AE165" s="88">
        <f>$AD165/$AI165</f>
        <v>0.41489989290703921</v>
      </c>
      <c r="AF165" s="3">
        <v>-73056.932000000015</v>
      </c>
      <c r="AG165" s="3">
        <v>-9862.6170000000002</v>
      </c>
      <c r="AH165" s="89">
        <f>SUM(AF165,AG165)</f>
        <v>-82919.549000000014</v>
      </c>
      <c r="AI165" s="3">
        <f>((AF165+AG165)*-1)</f>
        <v>82919.549000000014</v>
      </c>
      <c r="AJ165" s="8">
        <f>AI165/($AI$224)</f>
        <v>6.3277777722938978E-3</v>
      </c>
      <c r="AK165" s="56">
        <f>AJ165*($G$260+$G$313-$B$406)</f>
        <v>11176.907284784798</v>
      </c>
      <c r="AL165" s="3">
        <v>34068.078792673783</v>
      </c>
      <c r="AM165" s="8">
        <f>AL165/AL$224</f>
        <v>7.2303449084013833E-3</v>
      </c>
      <c r="AN165" s="3">
        <f>(AM165*$B$406)</f>
        <v>9830.2684302304115</v>
      </c>
      <c r="AO165" s="3">
        <f>AN165+AK165</f>
        <v>21007.175715015212</v>
      </c>
      <c r="AP165" s="113">
        <f>$AO165/$AI165</f>
        <v>0.25334406624685341</v>
      </c>
      <c r="AQ165" s="3">
        <f>AB165+AD165+AH165</f>
        <v>-40271.286000000015</v>
      </c>
      <c r="AR165" s="3">
        <f>AQ165+AO165</f>
        <v>-19264.110284984803</v>
      </c>
      <c r="AS165" s="113">
        <f>AR165/AI165</f>
        <v>-0.23232290234700625</v>
      </c>
      <c r="AT165" s="70"/>
      <c r="AU165" s="70"/>
      <c r="AV165" s="70"/>
      <c r="AW165" s="3"/>
      <c r="BA165" s="3"/>
      <c r="BB165" s="3"/>
      <c r="BC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</row>
    <row r="166" spans="1:68" ht="22.2" customHeight="1" x14ac:dyDescent="0.3">
      <c r="A166" s="2" t="s">
        <v>911</v>
      </c>
      <c r="B166" s="3">
        <v>0</v>
      </c>
      <c r="C166" s="88">
        <v>0</v>
      </c>
      <c r="D166" s="3">
        <v>1869.5</v>
      </c>
      <c r="E166" s="88">
        <v>0</v>
      </c>
      <c r="F166" s="3">
        <v>0</v>
      </c>
      <c r="G166" s="88">
        <v>0</v>
      </c>
      <c r="H166" s="3">
        <v>47.2</v>
      </c>
      <c r="I166" s="88">
        <v>0</v>
      </c>
      <c r="J166" s="3">
        <v>2944.9870000000005</v>
      </c>
      <c r="K166" s="88">
        <v>0</v>
      </c>
      <c r="L166" s="3">
        <v>-180.34</v>
      </c>
      <c r="M166" s="88">
        <v>0</v>
      </c>
      <c r="N166" s="3"/>
      <c r="O166" s="88">
        <v>0</v>
      </c>
      <c r="P166" s="3">
        <v>252.52</v>
      </c>
      <c r="Q166" s="88">
        <v>0</v>
      </c>
      <c r="R166" s="3">
        <v>39.705999999999996</v>
      </c>
      <c r="S166" s="88">
        <v>0</v>
      </c>
      <c r="U166" s="88">
        <v>0</v>
      </c>
      <c r="W166" s="88">
        <f>$V166/$AI166</f>
        <v>0</v>
      </c>
      <c r="X166" s="3">
        <v>103.35000000000001</v>
      </c>
      <c r="Y166" s="88">
        <v>0</v>
      </c>
      <c r="Z166" s="3">
        <v>198.53</v>
      </c>
      <c r="AA166" s="88">
        <v>0</v>
      </c>
      <c r="AB166" s="56">
        <v>5275.4529999999995</v>
      </c>
      <c r="AC166" s="88">
        <f>$AB166/AI166</f>
        <v>0.13533052405304408</v>
      </c>
      <c r="AD166" s="101">
        <v>17832.716</v>
      </c>
      <c r="AE166" s="88">
        <f>$AD166/$AI166</f>
        <v>0.4574603927983254</v>
      </c>
      <c r="AF166" s="3">
        <v>-38981.989000000001</v>
      </c>
      <c r="AG166" s="3">
        <v>0</v>
      </c>
      <c r="AH166" s="89">
        <f>SUM(AF166,AG166)</f>
        <v>-38981.989000000001</v>
      </c>
      <c r="AI166" s="3">
        <f>((AF166+AG166)*-1)</f>
        <v>38981.989000000001</v>
      </c>
      <c r="AJ166" s="8">
        <f>AI166/($AI$224)</f>
        <v>2.9748034871005533E-3</v>
      </c>
      <c r="AK166" s="56">
        <f>AJ166*($G$260+$G$313-$B$406)</f>
        <v>5254.4675180216045</v>
      </c>
      <c r="AL166" s="3">
        <v>10159.404305812805</v>
      </c>
      <c r="AM166" s="8">
        <f>AL166/AL$224</f>
        <v>2.1561532025903716E-3</v>
      </c>
      <c r="AN166" s="3">
        <f>(AM166*$B$406)</f>
        <v>2931.4735364195271</v>
      </c>
      <c r="AO166" s="3">
        <f>AN166+AK166</f>
        <v>8185.9410544411312</v>
      </c>
      <c r="AP166" s="113">
        <v>0</v>
      </c>
      <c r="AQ166" s="3">
        <f>AB166+AD166+AH166</f>
        <v>-15873.82</v>
      </c>
      <c r="AR166" s="3">
        <f>AQ166+AO166</f>
        <v>-7687.8789455588685</v>
      </c>
      <c r="AS166" s="113">
        <f>AR166/AI166</f>
        <v>-0.19721617964539645</v>
      </c>
      <c r="AT166" s="70"/>
      <c r="AU166" s="70"/>
      <c r="AV166" s="70"/>
      <c r="AW166" s="3"/>
      <c r="BA166" s="3"/>
      <c r="BB166" s="3"/>
      <c r="BC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</row>
    <row r="167" spans="1:68" ht="22.2" customHeight="1" x14ac:dyDescent="0.3">
      <c r="A167" s="2" t="s">
        <v>912</v>
      </c>
      <c r="B167" s="3">
        <v>0</v>
      </c>
      <c r="C167" s="88">
        <f>$B167/$AI167</f>
        <v>0</v>
      </c>
      <c r="D167" s="3">
        <v>720</v>
      </c>
      <c r="E167" s="88">
        <f>$D167/$AI167</f>
        <v>1.5139491489713348E-2</v>
      </c>
      <c r="F167" s="3">
        <v>0</v>
      </c>
      <c r="G167" s="88">
        <f>$F167/$AI167</f>
        <v>0</v>
      </c>
      <c r="H167" s="3">
        <v>0</v>
      </c>
      <c r="I167" s="88">
        <f>$H167/$AI167</f>
        <v>0</v>
      </c>
      <c r="J167" s="3">
        <v>3109.7950000000001</v>
      </c>
      <c r="K167" s="88">
        <f>$J167/$AI167</f>
        <v>6.5389881857295995E-2</v>
      </c>
      <c r="L167" s="3"/>
      <c r="M167" s="88">
        <f>$L167/$AI167</f>
        <v>0</v>
      </c>
      <c r="N167" s="3"/>
      <c r="O167" s="88">
        <f>$N167/$AI167</f>
        <v>0</v>
      </c>
      <c r="P167" s="3"/>
      <c r="Q167" s="88">
        <f>$P167/$AI167</f>
        <v>0</v>
      </c>
      <c r="R167" s="3">
        <v>62.350999999999999</v>
      </c>
      <c r="S167" s="88">
        <f>$R167/$AI167</f>
        <v>1.3110589359376624E-3</v>
      </c>
      <c r="U167" s="88">
        <f>$T167/$AI167</f>
        <v>0</v>
      </c>
      <c r="W167" s="88">
        <f>$V167/$AI167</f>
        <v>0</v>
      </c>
      <c r="X167" s="3">
        <v>97.7</v>
      </c>
      <c r="Y167" s="88">
        <f>$X167/$AI167</f>
        <v>2.0543448868680474E-3</v>
      </c>
      <c r="Z167" s="3">
        <v>45.793000000000006</v>
      </c>
      <c r="AA167" s="88">
        <f>$Z167/$AI167</f>
        <v>9.6289268581728254E-4</v>
      </c>
      <c r="AB167" s="56">
        <v>4035.6390000000001</v>
      </c>
      <c r="AC167" s="88">
        <f>$AB167/AI167</f>
        <v>8.4857669855632339E-2</v>
      </c>
      <c r="AD167" s="101">
        <v>24777.492999999995</v>
      </c>
      <c r="AE167" s="88">
        <f>$AD167/$AI167</f>
        <v>0.52099811723601663</v>
      </c>
      <c r="AF167" s="3">
        <v>-47557.72</v>
      </c>
      <c r="AG167" s="3">
        <v>-0.02</v>
      </c>
      <c r="AH167" s="89">
        <f>SUM(AF167,AG167)</f>
        <v>-47557.74</v>
      </c>
      <c r="AI167" s="3">
        <f>((AF167+AG167)*-1)</f>
        <v>47557.74</v>
      </c>
      <c r="AJ167" s="8">
        <f>AI167/($AI$224)</f>
        <v>3.6292383846966213E-3</v>
      </c>
      <c r="AK167" s="56">
        <f>AJ167*($G$260+$G$313-$B$406)</f>
        <v>6410.4117432416488</v>
      </c>
      <c r="AL167" s="3">
        <v>14212.911175496223</v>
      </c>
      <c r="AM167" s="8">
        <f>AL167/AL$224</f>
        <v>3.0164380732091447E-3</v>
      </c>
      <c r="AN167" s="3">
        <f>(AM167*$B$406)</f>
        <v>4101.1039360457007</v>
      </c>
      <c r="AO167" s="3">
        <f>AN167+AK167</f>
        <v>10511.515679287349</v>
      </c>
      <c r="AP167" s="113">
        <f>$AO167/$AI167</f>
        <v>0.2210263919035545</v>
      </c>
      <c r="AQ167" s="3">
        <f>AB167+AD167+AH167</f>
        <v>-18744.608000000004</v>
      </c>
      <c r="AR167" s="3">
        <f>AQ167+AO167</f>
        <v>-8233.0923207126543</v>
      </c>
      <c r="AS167" s="113">
        <f>AR167/AI167</f>
        <v>-0.17311782100479658</v>
      </c>
      <c r="AT167" s="70"/>
      <c r="AU167" s="70"/>
      <c r="AV167" s="70"/>
      <c r="AW167" s="3"/>
      <c r="BA167" s="3"/>
      <c r="BB167" s="3"/>
      <c r="BC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</row>
    <row r="168" spans="1:68" ht="22.2" customHeight="1" x14ac:dyDescent="0.3">
      <c r="A168" s="2" t="s">
        <v>913</v>
      </c>
      <c r="B168" s="3">
        <v>0</v>
      </c>
      <c r="C168" s="88">
        <f>$B168/$AI168</f>
        <v>0</v>
      </c>
      <c r="D168" s="3">
        <v>1240</v>
      </c>
      <c r="E168" s="88">
        <f>$D168/$AI168</f>
        <v>3.5179272009790964E-2</v>
      </c>
      <c r="F168" s="3">
        <v>0</v>
      </c>
      <c r="G168" s="88">
        <f>$F168/$AI168</f>
        <v>0</v>
      </c>
      <c r="H168" s="3">
        <v>0</v>
      </c>
      <c r="I168" s="88">
        <f>$H168/$AI168</f>
        <v>0</v>
      </c>
      <c r="J168" s="3">
        <v>3012.9560000000001</v>
      </c>
      <c r="K168" s="88">
        <f>$J168/$AI168</f>
        <v>8.5478708610912696E-2</v>
      </c>
      <c r="L168" s="3"/>
      <c r="M168" s="88">
        <f>$L168/$AI168</f>
        <v>0</v>
      </c>
      <c r="N168" s="3"/>
      <c r="O168" s="88">
        <f>$N168/$AI168</f>
        <v>0</v>
      </c>
      <c r="P168" s="3">
        <v>502.97</v>
      </c>
      <c r="Q168" s="88">
        <f>$P168/$AI168</f>
        <v>1.4269450357068196E-2</v>
      </c>
      <c r="R168" s="3">
        <v>25</v>
      </c>
      <c r="S168" s="88">
        <f>$R168/$AI168</f>
        <v>7.0925951632643067E-4</v>
      </c>
      <c r="U168" s="88">
        <f>$T168/$AI168</f>
        <v>0</v>
      </c>
      <c r="W168" s="88">
        <f>$V168/$AI168</f>
        <v>0</v>
      </c>
      <c r="X168" s="3">
        <v>137.09</v>
      </c>
      <c r="Y168" s="88">
        <f>$X168/$AI168</f>
        <v>3.8892954837276158E-3</v>
      </c>
      <c r="Z168" s="3">
        <v>21.113</v>
      </c>
      <c r="AA168" s="88">
        <f>$Z168/$AI168</f>
        <v>5.9898384672799727E-4</v>
      </c>
      <c r="AB168" s="56">
        <v>4939.1290000000008</v>
      </c>
      <c r="AC168" s="88">
        <f>$AB168/AI168</f>
        <v>0.14012496982455391</v>
      </c>
      <c r="AD168" s="101">
        <v>16655.7</v>
      </c>
      <c r="AE168" s="88">
        <f>$AD168/$AI168</f>
        <v>0.4725285490431253</v>
      </c>
      <c r="AF168" s="3">
        <v>-30851.016999999996</v>
      </c>
      <c r="AG168" s="3">
        <v>-4397.0119999999997</v>
      </c>
      <c r="AH168" s="89">
        <f>SUM(AF168,AG168)</f>
        <v>-35248.028999999995</v>
      </c>
      <c r="AI168" s="3">
        <f>((AF168+AG168)*-1)</f>
        <v>35248.028999999995</v>
      </c>
      <c r="AJ168" s="8">
        <f>AI168/($AI$224)</f>
        <v>2.6898565792171716E-3</v>
      </c>
      <c r="AK168" s="56">
        <f>AJ168*($G$260+$G$313-$B$406)</f>
        <v>4751.1588866023103</v>
      </c>
      <c r="AL168" s="3">
        <v>11859.282072964334</v>
      </c>
      <c r="AM168" s="8">
        <f>AL168/AL$224</f>
        <v>2.5169220805017333E-3</v>
      </c>
      <c r="AN168" s="3">
        <f>(AM168*$B$406)</f>
        <v>3421.9694886971097</v>
      </c>
      <c r="AO168" s="3">
        <f>AN168+AK168</f>
        <v>8173.1283752994204</v>
      </c>
      <c r="AP168" s="113">
        <f>$AO168/$AI168</f>
        <v>0.23187476313354774</v>
      </c>
      <c r="AQ168" s="3">
        <f>AB168+AD168+AH168</f>
        <v>-13653.199999999993</v>
      </c>
      <c r="AR168" s="3">
        <f>AQ168+AO168</f>
        <v>-5480.071624700573</v>
      </c>
      <c r="AS168" s="113">
        <f>AR168/AI168</f>
        <v>-0.15547171799877302</v>
      </c>
      <c r="AT168" s="70"/>
      <c r="AU168" s="70"/>
      <c r="AV168" s="70"/>
      <c r="AW168" s="3"/>
      <c r="BA168" s="3"/>
      <c r="BB168" s="3"/>
      <c r="BC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</row>
    <row r="169" spans="1:68" ht="22.2" customHeight="1" x14ac:dyDescent="0.3">
      <c r="A169" s="2" t="s">
        <v>914</v>
      </c>
      <c r="B169" s="3">
        <v>0</v>
      </c>
      <c r="C169" s="88">
        <f>$B169/$AI169</f>
        <v>0</v>
      </c>
      <c r="D169" s="3">
        <v>1259.45</v>
      </c>
      <c r="E169" s="88">
        <f>$D169/$AI169</f>
        <v>3.2856845376564837E-2</v>
      </c>
      <c r="F169" s="3">
        <v>0</v>
      </c>
      <c r="G169" s="88">
        <f>$F169/$AI169</f>
        <v>0</v>
      </c>
      <c r="H169" s="3">
        <v>0</v>
      </c>
      <c r="I169" s="88">
        <f>$H169/$AI169</f>
        <v>0</v>
      </c>
      <c r="J169" s="3">
        <v>3840.7849999999999</v>
      </c>
      <c r="K169" s="88">
        <f>$J169/$AI169</f>
        <v>0.1001993559646112</v>
      </c>
      <c r="L169" s="3"/>
      <c r="M169" s="88">
        <f>$L169/$AI169</f>
        <v>0</v>
      </c>
      <c r="N169" s="3"/>
      <c r="O169" s="88">
        <f>$N169/$AI169</f>
        <v>0</v>
      </c>
      <c r="P169" s="3">
        <v>116.07</v>
      </c>
      <c r="Q169" s="88">
        <f>$P169/$AI169</f>
        <v>3.0280630774210016E-3</v>
      </c>
      <c r="R169" s="3">
        <v>165.84</v>
      </c>
      <c r="S169" s="88">
        <f>$R169/$AI169</f>
        <v>4.3264752370078307E-3</v>
      </c>
      <c r="U169" s="88">
        <f>$T169/$AI169</f>
        <v>0</v>
      </c>
      <c r="W169" s="88">
        <f>$V169/$AI169</f>
        <v>0</v>
      </c>
      <c r="X169" s="3">
        <v>121.86</v>
      </c>
      <c r="Y169" s="88">
        <f>$X169/$AI169</f>
        <v>3.1791140399286921E-3</v>
      </c>
      <c r="Z169" s="3">
        <v>51.766000000000005</v>
      </c>
      <c r="AA169" s="88">
        <f>$Z169/$AI169</f>
        <v>1.3504843048658189E-3</v>
      </c>
      <c r="AB169" s="56">
        <v>5555.7709999999988</v>
      </c>
      <c r="AC169" s="88">
        <f>$AB169/AI169</f>
        <v>0.14494033800039935</v>
      </c>
      <c r="AD169" s="101">
        <v>17863.361000000001</v>
      </c>
      <c r="AE169" s="88">
        <f>$AD169/$AI169</f>
        <v>0.46602381220593009</v>
      </c>
      <c r="AF169" s="3">
        <v>-33702.663999999997</v>
      </c>
      <c r="AG169" s="3">
        <v>-4628.7700000000004</v>
      </c>
      <c r="AH169" s="89">
        <f>SUM(AF169,AG169)</f>
        <v>-38331.433999999994</v>
      </c>
      <c r="AI169" s="3">
        <f>((AF169+AG169)*-1)</f>
        <v>38331.433999999994</v>
      </c>
      <c r="AJ169" s="8">
        <f>AI169/($AI$224)</f>
        <v>2.9251581680135585E-3</v>
      </c>
      <c r="AK169" s="56">
        <f>AJ169*($G$260+$G$313-$B$406)</f>
        <v>5166.7777873568466</v>
      </c>
      <c r="AL169" s="3">
        <v>12940.57287843134</v>
      </c>
      <c r="AM169" s="8">
        <f>AL169/AL$224</f>
        <v>2.7464068576559661E-3</v>
      </c>
      <c r="AN169" s="3">
        <f>(AM169*$B$406)</f>
        <v>3733.9735477920572</v>
      </c>
      <c r="AO169" s="3">
        <f>AN169+AK169</f>
        <v>8900.7513351489033</v>
      </c>
      <c r="AP169" s="113">
        <f>$AO169/$AI169</f>
        <v>0.23220501834470644</v>
      </c>
      <c r="AQ169" s="3">
        <f>AB169+AD169+AH169</f>
        <v>-14912.301999999996</v>
      </c>
      <c r="AR169" s="3">
        <f>AQ169+AO169</f>
        <v>-6011.5506648510927</v>
      </c>
      <c r="AS169" s="113">
        <f>AR169/AI169</f>
        <v>-0.15683083144896415</v>
      </c>
      <c r="AT169" s="70"/>
      <c r="AU169" s="70"/>
      <c r="AV169" s="70"/>
      <c r="AW169" s="3"/>
      <c r="BA169" s="3"/>
      <c r="BB169" s="3"/>
      <c r="BC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</row>
    <row r="170" spans="1:68" ht="22.2" customHeight="1" x14ac:dyDescent="0.3">
      <c r="A170" s="2" t="s">
        <v>915</v>
      </c>
      <c r="B170" s="3">
        <v>0</v>
      </c>
      <c r="C170" s="88">
        <f>$B170/$AI170</f>
        <v>0</v>
      </c>
      <c r="D170" s="3">
        <v>250</v>
      </c>
      <c r="E170" s="88">
        <f>$D170/$AI170</f>
        <v>9.1133358505582057E-3</v>
      </c>
      <c r="F170" s="3">
        <v>167.75</v>
      </c>
      <c r="G170" s="88">
        <f>$F170/$AI170</f>
        <v>6.1150483557245562E-3</v>
      </c>
      <c r="H170" s="3">
        <v>0</v>
      </c>
      <c r="I170" s="88">
        <f>$H170/$AI170</f>
        <v>0</v>
      </c>
      <c r="J170" s="3">
        <v>2207.6099999999997</v>
      </c>
      <c r="K170" s="88">
        <f>$J170/$AI170</f>
        <v>8.0474765428203199E-2</v>
      </c>
      <c r="L170" s="3"/>
      <c r="M170" s="88">
        <f>$L170/$AI170</f>
        <v>0</v>
      </c>
      <c r="N170" s="3"/>
      <c r="O170" s="88">
        <f>$N170/$AI170</f>
        <v>0</v>
      </c>
      <c r="P170" s="3">
        <v>25.08</v>
      </c>
      <c r="Q170" s="88">
        <f>$P170/$AI170</f>
        <v>9.1424985252799916E-4</v>
      </c>
      <c r="R170" s="3">
        <v>201.322</v>
      </c>
      <c r="S170" s="88">
        <f>$R170/$AI170</f>
        <v>7.3388600004243168E-3</v>
      </c>
      <c r="U170" s="88">
        <f>$T170/$AI170</f>
        <v>0</v>
      </c>
      <c r="W170" s="88">
        <f>$V170/$AI170</f>
        <v>0</v>
      </c>
      <c r="X170" s="3">
        <v>272.88</v>
      </c>
      <c r="Y170" s="88">
        <f>$X170/$AI170</f>
        <v>9.947388347601293E-3</v>
      </c>
      <c r="Z170" s="3">
        <v>66.260999999999996</v>
      </c>
      <c r="AA170" s="88">
        <f>$Z170/$AI170</f>
        <v>2.415434987175349E-3</v>
      </c>
      <c r="AB170" s="56">
        <v>3190.9029999999998</v>
      </c>
      <c r="AC170" s="88">
        <f>$AB170/AI170</f>
        <v>0.11631908282221493</v>
      </c>
      <c r="AD170" s="101">
        <v>15004.637000000001</v>
      </c>
      <c r="AE170" s="88">
        <f>$AD170/$AI170</f>
        <v>0.54696918518684856</v>
      </c>
      <c r="AF170" s="3">
        <v>-23969.562000000002</v>
      </c>
      <c r="AG170" s="3">
        <v>-3462.7640000000001</v>
      </c>
      <c r="AH170" s="89">
        <f>SUM(AF170,AG170)</f>
        <v>-27432.326000000001</v>
      </c>
      <c r="AI170" s="3">
        <f>((AF170+AG170)*-1)</f>
        <v>27432.326000000001</v>
      </c>
      <c r="AJ170" s="8">
        <f>AI170/($AI$224)</f>
        <v>2.0934226584507828E-3</v>
      </c>
      <c r="AK170" s="56">
        <f>AJ170*($G$260+$G$313-$B$406)</f>
        <v>3697.6631928858101</v>
      </c>
      <c r="AL170" s="3">
        <v>6310.7841222187953</v>
      </c>
      <c r="AM170" s="8">
        <f>AL170/AL$224</f>
        <v>1.3393518937122261E-3</v>
      </c>
      <c r="AN170" s="3">
        <f>(AM170*$B$406)</f>
        <v>1820.9627347694031</v>
      </c>
      <c r="AO170" s="3">
        <f>AN170+AK170</f>
        <v>5518.6259276552137</v>
      </c>
      <c r="AP170" s="113">
        <f>$AO170/$AI170</f>
        <v>0.20117236604928118</v>
      </c>
      <c r="AQ170" s="3">
        <f>AB170+AD170+AH170</f>
        <v>-9236.7860000000001</v>
      </c>
      <c r="AR170" s="3">
        <f>AQ170+AO170</f>
        <v>-3718.1600723447864</v>
      </c>
      <c r="AS170" s="113">
        <f>AR170/AI170</f>
        <v>-0.13553936594165533</v>
      </c>
      <c r="AT170" s="70"/>
      <c r="AU170" s="70"/>
      <c r="AV170" s="70"/>
      <c r="AW170" s="3"/>
      <c r="BA170" s="3"/>
      <c r="BB170" s="3"/>
      <c r="BC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</row>
    <row r="171" spans="1:68" ht="22.2" customHeight="1" x14ac:dyDescent="0.3">
      <c r="A171" s="2" t="s">
        <v>916</v>
      </c>
      <c r="B171" s="3">
        <v>0</v>
      </c>
      <c r="C171" s="88">
        <f>$B171/$AI171</f>
        <v>0</v>
      </c>
      <c r="D171" s="3">
        <v>2500</v>
      </c>
      <c r="E171" s="88">
        <f>$D171/$AI171</f>
        <v>2.1474264614237768E-2</v>
      </c>
      <c r="F171" s="3">
        <v>0</v>
      </c>
      <c r="G171" s="88">
        <f>$F171/$AI171</f>
        <v>0</v>
      </c>
      <c r="H171" s="3">
        <v>0</v>
      </c>
      <c r="I171" s="88">
        <f>$H171/$AI171</f>
        <v>0</v>
      </c>
      <c r="J171" s="3">
        <v>6749.6480000000001</v>
      </c>
      <c r="K171" s="88">
        <f>$J171/$AI171</f>
        <v>5.7977490881984284E-2</v>
      </c>
      <c r="L171" s="3"/>
      <c r="M171" s="88">
        <f>$L171/$AI171</f>
        <v>0</v>
      </c>
      <c r="N171" s="3"/>
      <c r="O171" s="88">
        <f>$N171/$AI171</f>
        <v>0</v>
      </c>
      <c r="P171" s="3">
        <v>164.17</v>
      </c>
      <c r="Q171" s="88">
        <f>$P171/$AI171</f>
        <v>1.4101720086877655E-3</v>
      </c>
      <c r="R171" s="3">
        <v>3143.549</v>
      </c>
      <c r="S171" s="88">
        <f>$R171/$AI171</f>
        <v>2.7002161221529007E-2</v>
      </c>
      <c r="T171" s="3">
        <v>14.19</v>
      </c>
      <c r="U171" s="88">
        <f>$T171/$AI171</f>
        <v>1.2188792595041356E-4</v>
      </c>
      <c r="W171" s="88">
        <f>$V171/$AI171</f>
        <v>0</v>
      </c>
      <c r="X171" s="3">
        <v>646.35200000000009</v>
      </c>
      <c r="Y171" s="88">
        <f>$X171/$AI171</f>
        <v>5.5519735527767245E-3</v>
      </c>
      <c r="Z171" s="3">
        <v>363.88400000000001</v>
      </c>
      <c r="AA171" s="88">
        <f>$Z171/$AI171</f>
        <v>3.1256565219549182E-3</v>
      </c>
      <c r="AB171" s="56">
        <v>13581.793</v>
      </c>
      <c r="AC171" s="88">
        <f>$AB171/AI171</f>
        <v>0.11666360672712088</v>
      </c>
      <c r="AD171" s="101">
        <v>55777.715000000004</v>
      </c>
      <c r="AE171" s="88">
        <f>$AD171/$AI171</f>
        <v>0.47911416459501566</v>
      </c>
      <c r="AF171" s="3">
        <v>-101564.51400000002</v>
      </c>
      <c r="AG171" s="3">
        <v>-14853.908000000001</v>
      </c>
      <c r="AH171" s="89">
        <f>SUM(AF171,AG171)</f>
        <v>-116418.42200000002</v>
      </c>
      <c r="AI171" s="3">
        <f>((AF171+AG171)*-1)</f>
        <v>116418.42200000002</v>
      </c>
      <c r="AJ171" s="8">
        <f>AI171/($AI$224)</f>
        <v>8.8841523127089241E-3</v>
      </c>
      <c r="AK171" s="56">
        <f>AJ171*($G$260+$G$313-$B$406)</f>
        <v>15692.293610219118</v>
      </c>
      <c r="AL171" s="3">
        <v>40779.074032257457</v>
      </c>
      <c r="AM171" s="8">
        <f>AL171/AL$224</f>
        <v>8.6546345067706459E-3</v>
      </c>
      <c r="AN171" s="3">
        <f>(AM171*$B$406)</f>
        <v>11766.7111935744</v>
      </c>
      <c r="AO171" s="3">
        <f>AN171+AK171</f>
        <v>27459.004803793519</v>
      </c>
      <c r="AP171" s="113">
        <f>$AO171/$AI171</f>
        <v>0.23586477408011522</v>
      </c>
      <c r="AQ171" s="3">
        <f>AB171+AD171+AH171</f>
        <v>-47058.914000000019</v>
      </c>
      <c r="AR171" s="3">
        <f>AQ171+AO171</f>
        <v>-19599.909196206499</v>
      </c>
      <c r="AS171" s="113">
        <f>AR171/AI171</f>
        <v>-0.16835745459774826</v>
      </c>
      <c r="AT171" s="70"/>
      <c r="AU171" s="70"/>
      <c r="AV171" s="70"/>
      <c r="AW171" s="3"/>
      <c r="BA171" s="3"/>
      <c r="BB171" s="3"/>
      <c r="BC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</row>
    <row r="172" spans="1:68" ht="22.2" customHeight="1" x14ac:dyDescent="0.3">
      <c r="A172" s="2" t="s">
        <v>917</v>
      </c>
      <c r="B172" s="3">
        <v>0</v>
      </c>
      <c r="C172" s="88">
        <f>$B172/$AI172</f>
        <v>0</v>
      </c>
      <c r="D172" s="3">
        <v>1000</v>
      </c>
      <c r="E172" s="88">
        <f>$D172/$AI172</f>
        <v>1.2144406612998591E-2</v>
      </c>
      <c r="F172" s="3">
        <v>30</v>
      </c>
      <c r="G172" s="88">
        <f>$F172/$AI172</f>
        <v>3.6433219838995776E-4</v>
      </c>
      <c r="H172" s="3">
        <v>0</v>
      </c>
      <c r="I172" s="88">
        <f>$H172/$AI172</f>
        <v>0</v>
      </c>
      <c r="J172" s="3">
        <v>3598.4429999999998</v>
      </c>
      <c r="K172" s="88">
        <f>$J172/$AI172</f>
        <v>4.3700954965698487E-2</v>
      </c>
      <c r="L172" s="3"/>
      <c r="M172" s="88">
        <f>$L172/$AI172</f>
        <v>0</v>
      </c>
      <c r="N172" s="3"/>
      <c r="O172" s="88">
        <f>$N172/$AI172</f>
        <v>0</v>
      </c>
      <c r="P172" s="3">
        <v>93.74</v>
      </c>
      <c r="Q172" s="88">
        <f>$P172/$AI172</f>
        <v>1.138416675902488E-3</v>
      </c>
      <c r="R172" s="3">
        <v>399.505</v>
      </c>
      <c r="S172" s="88">
        <f>$R172/$AI172</f>
        <v>4.8517511639260026E-3</v>
      </c>
      <c r="U172" s="88">
        <f>$T172/$AI172</f>
        <v>0</v>
      </c>
      <c r="W172" s="88">
        <f>$V172/$AI172</f>
        <v>0</v>
      </c>
      <c r="X172" s="3">
        <v>191.35</v>
      </c>
      <c r="Y172" s="88">
        <f>$X172/$AI172</f>
        <v>2.3238322053972804E-3</v>
      </c>
      <c r="Z172" s="3">
        <v>57.93</v>
      </c>
      <c r="AA172" s="88">
        <f>$Z172/$AI172</f>
        <v>7.035254750910084E-4</v>
      </c>
      <c r="AB172" s="56">
        <v>5370.9679999999989</v>
      </c>
      <c r="AC172" s="88">
        <f>$AB172/AI172</f>
        <v>6.5227219297403813E-2</v>
      </c>
      <c r="AD172" s="101">
        <v>42070.286</v>
      </c>
      <c r="AE172" s="88">
        <f>$AD172/$AI172</f>
        <v>0.51091865950914206</v>
      </c>
      <c r="AF172" s="3">
        <v>-72164.689999999988</v>
      </c>
      <c r="AG172" s="3">
        <v>-10177.744000000001</v>
      </c>
      <c r="AH172" s="89">
        <f>SUM(AF172,AG172)</f>
        <v>-82342.433999999994</v>
      </c>
      <c r="AI172" s="3">
        <f>((AF172+AG172)*-1)</f>
        <v>82342.433999999994</v>
      </c>
      <c r="AJ172" s="8">
        <f>AI172/($AI$224)</f>
        <v>6.2837368252181055E-3</v>
      </c>
      <c r="AK172" s="56">
        <f>AJ172*($G$260+$G$313-$B$406)</f>
        <v>11099.116692271338</v>
      </c>
      <c r="AL172" s="3">
        <v>32093.972862726801</v>
      </c>
      <c r="AM172" s="8">
        <f>AL172/AL$224</f>
        <v>6.8113759713474224E-3</v>
      </c>
      <c r="AN172" s="3">
        <f>(AM172*$B$406)</f>
        <v>9260.6445509624773</v>
      </c>
      <c r="AO172" s="3">
        <f>AN172+AK172</f>
        <v>20359.761243233814</v>
      </c>
      <c r="AP172" s="113">
        <f>$AO172/$AI172</f>
        <v>0.24725721908140116</v>
      </c>
      <c r="AQ172" s="3">
        <f>AB172+AD172+AH172</f>
        <v>-34901.179999999993</v>
      </c>
      <c r="AR172" s="3">
        <f>AQ172+AO172</f>
        <v>-14541.418756766179</v>
      </c>
      <c r="AS172" s="113">
        <f>AR172/AI172</f>
        <v>-0.17659690211205295</v>
      </c>
      <c r="AT172" s="70"/>
      <c r="AU172" s="70"/>
      <c r="AV172" s="70"/>
      <c r="AW172" s="3"/>
      <c r="BA172" s="3"/>
      <c r="BB172" s="3"/>
      <c r="BC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</row>
    <row r="173" spans="1:68" ht="22.2" customHeight="1" x14ac:dyDescent="0.3">
      <c r="A173" s="2" t="s">
        <v>1039</v>
      </c>
      <c r="B173" s="3">
        <v>0</v>
      </c>
      <c r="C173" s="88">
        <v>0</v>
      </c>
      <c r="D173" s="3">
        <v>0</v>
      </c>
      <c r="E173" s="88">
        <v>0</v>
      </c>
      <c r="F173" s="3">
        <v>0</v>
      </c>
      <c r="G173" s="88">
        <v>0</v>
      </c>
      <c r="H173" s="3">
        <v>0</v>
      </c>
      <c r="I173" s="88">
        <v>0</v>
      </c>
      <c r="J173" s="3">
        <v>315.95</v>
      </c>
      <c r="K173" s="88">
        <v>0</v>
      </c>
      <c r="L173" s="3"/>
      <c r="M173" s="88">
        <v>0</v>
      </c>
      <c r="N173" s="3"/>
      <c r="O173" s="88">
        <v>0</v>
      </c>
      <c r="P173" s="3"/>
      <c r="Q173" s="88">
        <v>0</v>
      </c>
      <c r="R173" s="3"/>
      <c r="S173" s="88">
        <v>0</v>
      </c>
      <c r="U173" s="88">
        <v>0</v>
      </c>
      <c r="W173" s="88">
        <v>0</v>
      </c>
      <c r="Y173" s="88">
        <v>0</v>
      </c>
      <c r="AA173" s="88">
        <v>0</v>
      </c>
      <c r="AB173" s="56">
        <v>315.95</v>
      </c>
      <c r="AC173" s="88">
        <v>0</v>
      </c>
      <c r="AD173" s="101"/>
      <c r="AE173" s="88">
        <v>0</v>
      </c>
      <c r="AF173" s="3">
        <v>0</v>
      </c>
      <c r="AG173" s="3">
        <v>0</v>
      </c>
      <c r="AH173" s="89">
        <f>SUM(AF173,AG173)</f>
        <v>0</v>
      </c>
      <c r="AI173" s="3">
        <f>((AF173+AG173)*-1)</f>
        <v>0</v>
      </c>
      <c r="AJ173" s="8">
        <f>AI173/($AI$224)</f>
        <v>0</v>
      </c>
      <c r="AK173" s="56">
        <f>AJ173*($G$260+$G$313-$B$406)</f>
        <v>0</v>
      </c>
      <c r="AL173" s="3">
        <v>0</v>
      </c>
      <c r="AM173" s="8">
        <f>AL173/AL$224</f>
        <v>0</v>
      </c>
      <c r="AN173" s="3">
        <f>(AM173*$B$406)</f>
        <v>0</v>
      </c>
      <c r="AO173" s="3">
        <f>AN173+AK173</f>
        <v>0</v>
      </c>
      <c r="AP173" s="113">
        <v>0</v>
      </c>
      <c r="AQ173" s="3">
        <f>AB173+AD173+AH173</f>
        <v>315.95</v>
      </c>
      <c r="AR173" s="3">
        <f>AQ173+AO173</f>
        <v>315.95</v>
      </c>
      <c r="AS173" s="113">
        <v>0</v>
      </c>
      <c r="AT173" s="70"/>
      <c r="AU173" s="70"/>
      <c r="AV173" s="70"/>
      <c r="AW173" s="3"/>
      <c r="BA173" s="3"/>
      <c r="BB173" s="3"/>
      <c r="BC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</row>
    <row r="174" spans="1:68" ht="22.2" customHeight="1" x14ac:dyDescent="0.3">
      <c r="A174" s="2" t="s">
        <v>918</v>
      </c>
      <c r="B174" s="3">
        <v>0</v>
      </c>
      <c r="C174" s="88">
        <f>$B174/$AI174</f>
        <v>0</v>
      </c>
      <c r="D174" s="3">
        <v>250</v>
      </c>
      <c r="E174" s="88">
        <f>$D174/$AI174</f>
        <v>6.3638768024726457E-3</v>
      </c>
      <c r="F174" s="3">
        <v>21.96</v>
      </c>
      <c r="G174" s="88">
        <f>$F174/$AI174</f>
        <v>5.5900293832919718E-4</v>
      </c>
      <c r="H174" s="3">
        <v>0</v>
      </c>
      <c r="I174" s="88">
        <f>$H174/$AI174</f>
        <v>0</v>
      </c>
      <c r="J174" s="3">
        <v>1894.1320000000001</v>
      </c>
      <c r="K174" s="88">
        <f>$J174/$AI174</f>
        <v>4.8216090782484469E-2</v>
      </c>
      <c r="L174" s="3"/>
      <c r="M174" s="88">
        <f>$L174/$AI174</f>
        <v>0</v>
      </c>
      <c r="N174" s="3"/>
      <c r="O174" s="88">
        <f>$N174/$AI174</f>
        <v>0</v>
      </c>
      <c r="P174" s="3">
        <v>343.53</v>
      </c>
      <c r="Q174" s="88">
        <f>$P174/$AI174</f>
        <v>8.7447303918137109E-3</v>
      </c>
      <c r="R174" s="3">
        <v>2161.0050000000001</v>
      </c>
      <c r="S174" s="88">
        <f>$R174/$AI174</f>
        <v>5.5009478358109598E-2</v>
      </c>
      <c r="U174" s="88">
        <f>$T174/$AI174</f>
        <v>0</v>
      </c>
      <c r="W174" s="88">
        <f>$V174/$AI174</f>
        <v>0</v>
      </c>
      <c r="X174" s="3">
        <v>147.85</v>
      </c>
      <c r="Y174" s="88">
        <f>$X174/$AI174</f>
        <v>3.7635967409823225E-3</v>
      </c>
      <c r="Z174" s="3">
        <v>334.505</v>
      </c>
      <c r="AA174" s="88">
        <f>$Z174/$AI174</f>
        <v>8.5149944392444495E-3</v>
      </c>
      <c r="AB174" s="56">
        <v>5152.9820000000009</v>
      </c>
      <c r="AC174" s="88">
        <f>$AB174/AI174</f>
        <v>0.13117177045343642</v>
      </c>
      <c r="AD174" s="101">
        <v>19762.802999999996</v>
      </c>
      <c r="AE174" s="88">
        <f>$AD174/$AI174</f>
        <v>0.50307217425414719</v>
      </c>
      <c r="AF174" s="3">
        <v>-34466.664000000004</v>
      </c>
      <c r="AG174" s="3">
        <v>-4817.5659999999998</v>
      </c>
      <c r="AH174" s="89">
        <f>SUM(AF174,AG174)</f>
        <v>-39284.230000000003</v>
      </c>
      <c r="AI174" s="3">
        <f>((AF174+AG174)*-1)</f>
        <v>39284.230000000003</v>
      </c>
      <c r="AJ174" s="8">
        <f>AI174/($AI$224)</f>
        <v>2.9978681793804869E-3</v>
      </c>
      <c r="AK174" s="56">
        <f>AJ174*($G$260+$G$313-$B$406)</f>
        <v>5295.2072431575998</v>
      </c>
      <c r="AL174" s="3">
        <v>13236.839788726527</v>
      </c>
      <c r="AM174" s="8">
        <f>AL174/AL$224</f>
        <v>2.8092842496984338E-3</v>
      </c>
      <c r="AN174" s="3">
        <f>(AM174*$B$406)</f>
        <v>3819.4607063993981</v>
      </c>
      <c r="AO174" s="3">
        <f>AN174+AK174</f>
        <v>9114.6679495569988</v>
      </c>
      <c r="AP174" s="113">
        <f>$AO174/$AI174</f>
        <v>0.23201849570570679</v>
      </c>
      <c r="AQ174" s="3">
        <f>AB174+AD174+AH174</f>
        <v>-14368.445000000007</v>
      </c>
      <c r="AR174" s="3">
        <f>AQ174+AO174</f>
        <v>-5253.7770504430082</v>
      </c>
      <c r="AS174" s="113">
        <f>AR174/AI174</f>
        <v>-0.13373755958670969</v>
      </c>
      <c r="AT174" s="70"/>
      <c r="AU174" s="70"/>
      <c r="AV174" s="70"/>
      <c r="AW174" s="3"/>
      <c r="BA174" s="3"/>
      <c r="BB174" s="3"/>
      <c r="BC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</row>
    <row r="175" spans="1:68" ht="22.2" customHeight="1" x14ac:dyDescent="0.3">
      <c r="A175" s="2" t="s">
        <v>919</v>
      </c>
      <c r="B175" s="3">
        <v>0</v>
      </c>
      <c r="C175" s="88">
        <f>$B175/$AI175</f>
        <v>0</v>
      </c>
      <c r="D175" s="3">
        <v>500</v>
      </c>
      <c r="E175" s="88">
        <f>$D175/$AI175</f>
        <v>2.4490923100607683E-2</v>
      </c>
      <c r="F175" s="3">
        <v>42.41</v>
      </c>
      <c r="G175" s="88">
        <f>$F175/$AI175</f>
        <v>2.0773200973935434E-3</v>
      </c>
      <c r="H175" s="3">
        <v>0</v>
      </c>
      <c r="I175" s="88">
        <f>$H175/$AI175</f>
        <v>0</v>
      </c>
      <c r="J175" s="3">
        <v>2909.8940000000002</v>
      </c>
      <c r="K175" s="88">
        <f>$J175/$AI175</f>
        <v>0.14253198036983941</v>
      </c>
      <c r="L175" s="3"/>
      <c r="M175" s="88">
        <f>$L175/$AI175</f>
        <v>0</v>
      </c>
      <c r="N175" s="3">
        <v>39.83</v>
      </c>
      <c r="O175" s="88">
        <f>$N175/$AI175</f>
        <v>1.9509469341944081E-3</v>
      </c>
      <c r="P175" s="3">
        <v>21.69</v>
      </c>
      <c r="Q175" s="88">
        <f>$P175/$AI175</f>
        <v>1.0624162441043613E-3</v>
      </c>
      <c r="R175" s="3">
        <v>557.63699999999994</v>
      </c>
      <c r="S175" s="88">
        <f>$R175/$AI175</f>
        <v>2.7314089770107131E-2</v>
      </c>
      <c r="U175" s="88">
        <f>$T175/$AI175</f>
        <v>0</v>
      </c>
      <c r="W175" s="88">
        <f>$V175/$AI175</f>
        <v>0</v>
      </c>
      <c r="X175" s="3">
        <v>111.25</v>
      </c>
      <c r="Y175" s="88">
        <f>$X175/$AI175</f>
        <v>5.4492303898852103E-3</v>
      </c>
      <c r="Z175" s="3">
        <v>88.926999999999992</v>
      </c>
      <c r="AA175" s="88">
        <f>$Z175/$AI175</f>
        <v>4.355808637135479E-3</v>
      </c>
      <c r="AB175" s="56">
        <v>4271.6380000000008</v>
      </c>
      <c r="AC175" s="88">
        <f>$AB175/AI175</f>
        <v>0.20923271554326725</v>
      </c>
      <c r="AD175" s="101">
        <v>11268.906000000001</v>
      </c>
      <c r="AE175" s="88">
        <f>$AD175/$AI175</f>
        <v>0.55197182054795313</v>
      </c>
      <c r="AF175" s="3">
        <v>-17773.128000000001</v>
      </c>
      <c r="AG175" s="3">
        <v>-2642.5990000000002</v>
      </c>
      <c r="AH175" s="89">
        <f>SUM(AF175,AG175)</f>
        <v>-20415.726999999999</v>
      </c>
      <c r="AI175" s="3">
        <f>((AF175+AG175)*-1)</f>
        <v>20415.726999999999</v>
      </c>
      <c r="AJ175" s="8">
        <f>AI175/($AI$224)</f>
        <v>1.5579701659474818E-3</v>
      </c>
      <c r="AK175" s="56">
        <f>AJ175*($G$260+$G$313-$B$406)</f>
        <v>2751.8804742953635</v>
      </c>
      <c r="AL175" s="3">
        <v>5202.7337631930932</v>
      </c>
      <c r="AM175" s="8">
        <f>AL175/AL$224</f>
        <v>1.1041878763812377E-3</v>
      </c>
      <c r="AN175" s="3">
        <f>(AM175*$B$406)</f>
        <v>1501.2372659596322</v>
      </c>
      <c r="AO175" s="3">
        <f>AN175+AK175</f>
        <v>4253.1177402549956</v>
      </c>
      <c r="AP175" s="113">
        <f>$AO175/$AI175</f>
        <v>0.20832555902883085</v>
      </c>
      <c r="AQ175" s="3">
        <f>AB175+AD175+AH175</f>
        <v>-4875.1829999999973</v>
      </c>
      <c r="AR175" s="3">
        <f>AQ175+AO175</f>
        <v>-622.06525974500164</v>
      </c>
      <c r="AS175" s="113">
        <f>AR175/AI175</f>
        <v>-3.0469904879948762E-2</v>
      </c>
      <c r="AT175" s="70"/>
      <c r="AU175" s="70"/>
      <c r="AV175" s="70"/>
      <c r="AW175" s="3"/>
      <c r="BA175" s="3"/>
      <c r="BB175" s="3"/>
      <c r="BC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</row>
    <row r="176" spans="1:68" ht="22.2" customHeight="1" x14ac:dyDescent="0.3">
      <c r="A176" s="2" t="s">
        <v>920</v>
      </c>
      <c r="B176" s="3">
        <v>0</v>
      </c>
      <c r="C176" s="88">
        <f>$B176/$AI176</f>
        <v>0</v>
      </c>
      <c r="D176" s="3">
        <v>730</v>
      </c>
      <c r="E176" s="88">
        <f>$D176/$AI176</f>
        <v>1.1979853431252388E-2</v>
      </c>
      <c r="F176" s="3">
        <v>0</v>
      </c>
      <c r="G176" s="88">
        <f>$F176/$AI176</f>
        <v>0</v>
      </c>
      <c r="H176" s="3">
        <v>0</v>
      </c>
      <c r="I176" s="88">
        <f>$H176/$AI176</f>
        <v>0</v>
      </c>
      <c r="J176" s="3">
        <v>3403.6570000000002</v>
      </c>
      <c r="K176" s="88">
        <f>$J176/$AI176</f>
        <v>5.5856591767474262E-2</v>
      </c>
      <c r="L176" s="3"/>
      <c r="M176" s="88">
        <f>$L176/$AI176</f>
        <v>0</v>
      </c>
      <c r="N176" s="3"/>
      <c r="O176" s="88">
        <f>$N176/$AI176</f>
        <v>0</v>
      </c>
      <c r="P176" s="3">
        <v>94.15</v>
      </c>
      <c r="Q176" s="88">
        <f>$P176/$AI176</f>
        <v>1.5450728774690581E-3</v>
      </c>
      <c r="R176" s="3">
        <v>132.26300000000001</v>
      </c>
      <c r="S176" s="88">
        <f>$R176/$AI176</f>
        <v>2.1705361018873079E-3</v>
      </c>
      <c r="U176" s="88">
        <f>$T176/$AI176</f>
        <v>0</v>
      </c>
      <c r="W176" s="88">
        <f>$V176/$AI176</f>
        <v>0</v>
      </c>
      <c r="X176" s="3">
        <v>70.41</v>
      </c>
      <c r="Y176" s="88">
        <f>$X176/$AI176</f>
        <v>1.1554814795814803E-3</v>
      </c>
      <c r="Z176" s="3">
        <v>-3.1560000000000059</v>
      </c>
      <c r="AA176" s="88">
        <f>$Z176/$AI176</f>
        <v>-5.1792352642510423E-5</v>
      </c>
      <c r="AB176" s="56">
        <v>4427.3240000000005</v>
      </c>
      <c r="AC176" s="88">
        <f>$AB176/AI176</f>
        <v>7.2655743305021989E-2</v>
      </c>
      <c r="AD176" s="101">
        <v>32173.156999999996</v>
      </c>
      <c r="AE176" s="88">
        <f>$AD176/$AI176</f>
        <v>0.52798589764475579</v>
      </c>
      <c r="AF176" s="3">
        <v>-60935.637000000002</v>
      </c>
      <c r="AG176" s="3">
        <v>0</v>
      </c>
      <c r="AH176" s="89">
        <f>SUM(AF176,AG176)</f>
        <v>-60935.637000000002</v>
      </c>
      <c r="AI176" s="3">
        <f>((AF176+AG176)*-1)</f>
        <v>60935.637000000002</v>
      </c>
      <c r="AJ176" s="8">
        <f>AI176/($AI$224)</f>
        <v>4.6501358726537398E-3</v>
      </c>
      <c r="AK176" s="56">
        <f>AJ176*($G$260+$G$313-$B$406)</f>
        <v>8213.6477260422871</v>
      </c>
      <c r="AL176" s="3">
        <v>2712.5108708085286</v>
      </c>
      <c r="AM176" s="8">
        <f>AL176/AL$224</f>
        <v>5.7568227674615507E-4</v>
      </c>
      <c r="AN176" s="3">
        <f>(AM176*$B$406)</f>
        <v>782.68898408500877</v>
      </c>
      <c r="AO176" s="3">
        <f>AN176+AK176</f>
        <v>8996.3367101272961</v>
      </c>
      <c r="AP176" s="113">
        <f>$AO176/$AI176</f>
        <v>0.14763670576098673</v>
      </c>
      <c r="AQ176" s="3">
        <f>AB176+AD176+AH176</f>
        <v>-24335.156000000003</v>
      </c>
      <c r="AR176" s="3">
        <f>AQ176+AO176</f>
        <v>-15338.819289872707</v>
      </c>
      <c r="AS176" s="113">
        <f>AR176/AI176</f>
        <v>-0.2517216532892354</v>
      </c>
      <c r="AT176" s="70"/>
      <c r="AU176" s="70"/>
      <c r="AV176" s="70"/>
      <c r="AW176" s="3"/>
      <c r="BA176" s="3"/>
      <c r="BB176" s="3"/>
      <c r="BC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</row>
    <row r="177" spans="1:68" ht="22.2" customHeight="1" x14ac:dyDescent="0.3">
      <c r="A177" s="2" t="s">
        <v>921</v>
      </c>
      <c r="B177" s="3">
        <v>0</v>
      </c>
      <c r="C177" s="88">
        <f>$B177/$AI177</f>
        <v>0</v>
      </c>
      <c r="D177" s="3">
        <v>1390</v>
      </c>
      <c r="E177" s="88">
        <f>$D177/$AI177</f>
        <v>1.6469282122949711E-2</v>
      </c>
      <c r="F177" s="3">
        <v>0</v>
      </c>
      <c r="G177" s="88">
        <f>$F177/$AI177</f>
        <v>0</v>
      </c>
      <c r="H177" s="3">
        <v>0</v>
      </c>
      <c r="I177" s="88">
        <f>$H177/$AI177</f>
        <v>0</v>
      </c>
      <c r="J177" s="3">
        <v>5787.5609999999997</v>
      </c>
      <c r="K177" s="88">
        <f>$J177/$AI177</f>
        <v>6.8573363246604999E-2</v>
      </c>
      <c r="L177" s="3"/>
      <c r="M177" s="88">
        <f>$L177/$AI177</f>
        <v>0</v>
      </c>
      <c r="N177" s="3">
        <v>85</v>
      </c>
      <c r="O177" s="88">
        <f>$N177/$AI177</f>
        <v>1.0071143744249823E-3</v>
      </c>
      <c r="P177" s="3">
        <v>252.23</v>
      </c>
      <c r="Q177" s="88">
        <f>$P177/$AI177</f>
        <v>2.988523043073097E-3</v>
      </c>
      <c r="R177" s="3">
        <v>120.977</v>
      </c>
      <c r="S177" s="88">
        <f>$R177/$AI177</f>
        <v>1.4333844197036599E-3</v>
      </c>
      <c r="U177" s="88">
        <f>$T177/$AI177</f>
        <v>0</v>
      </c>
      <c r="W177" s="88">
        <f>$V177/$AI177</f>
        <v>0</v>
      </c>
      <c r="X177" s="3">
        <v>80.7</v>
      </c>
      <c r="Y177" s="88">
        <f>$X177/$AI177</f>
        <v>9.5616623548348324E-4</v>
      </c>
      <c r="Z177" s="3">
        <v>47.986000000000004</v>
      </c>
      <c r="AA177" s="88">
        <f>$Z177/$AI177</f>
        <v>5.6855753377832007E-4</v>
      </c>
      <c r="AB177" s="56">
        <v>7764.4539999999997</v>
      </c>
      <c r="AC177" s="88">
        <f>$AB177/AI177</f>
        <v>9.199639097601825E-2</v>
      </c>
      <c r="AD177" s="101">
        <v>41009.258999999998</v>
      </c>
      <c r="AE177" s="88">
        <f>$AD177/$AI177</f>
        <v>0.48589428498137732</v>
      </c>
      <c r="AF177" s="3">
        <v>-73688.032999999996</v>
      </c>
      <c r="AG177" s="3">
        <v>-10711.517</v>
      </c>
      <c r="AH177" s="89">
        <f>SUM(AF177,AG177)</f>
        <v>-84399.549999999988</v>
      </c>
      <c r="AI177" s="3">
        <f>((AF177+AG177)*-1)</f>
        <v>84399.549999999988</v>
      </c>
      <c r="AJ177" s="8">
        <f>AI177/($AI$224)</f>
        <v>6.4407199860868425E-3</v>
      </c>
      <c r="AK177" s="56">
        <f>AJ177*($G$260+$G$313-$B$406)</f>
        <v>11376.399855087955</v>
      </c>
      <c r="AL177" s="3">
        <v>27302.273991045149</v>
      </c>
      <c r="AM177" s="8">
        <f>AL177/AL$224</f>
        <v>5.7944229535298597E-3</v>
      </c>
      <c r="AN177" s="3">
        <f>(AM177*$B$406)</f>
        <v>7878.0104895550485</v>
      </c>
      <c r="AO177" s="3">
        <f>AN177+AK177</f>
        <v>19254.410344643002</v>
      </c>
      <c r="AP177" s="113">
        <f>$AO177/$AI177</f>
        <v>0.22813404034314169</v>
      </c>
      <c r="AQ177" s="3">
        <f>AB177+AD177+AH177</f>
        <v>-35625.836999999992</v>
      </c>
      <c r="AR177" s="3">
        <f>AQ177+AO177</f>
        <v>-16371.426655356991</v>
      </c>
      <c r="AS177" s="113">
        <f>AR177/AI177</f>
        <v>-0.19397528369946276</v>
      </c>
      <c r="AT177" s="70"/>
      <c r="AU177" s="70"/>
      <c r="AV177" s="70"/>
      <c r="AW177" s="3"/>
      <c r="BA177" s="3"/>
      <c r="BB177" s="3"/>
      <c r="BC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</row>
    <row r="178" spans="1:68" ht="22.2" customHeight="1" x14ac:dyDescent="0.3">
      <c r="A178" s="2" t="s">
        <v>922</v>
      </c>
      <c r="B178" s="3">
        <v>0</v>
      </c>
      <c r="C178" s="88">
        <f>$B178/$AI178</f>
        <v>0</v>
      </c>
      <c r="D178" s="3">
        <v>3300</v>
      </c>
      <c r="E178" s="88">
        <f>$D178/$AI178</f>
        <v>5.7009446154267146E-2</v>
      </c>
      <c r="F178" s="3">
        <v>0</v>
      </c>
      <c r="G178" s="88">
        <f>$F178/$AI178</f>
        <v>0</v>
      </c>
      <c r="H178" s="3">
        <v>0</v>
      </c>
      <c r="I178" s="88">
        <f>$H178/$AI178</f>
        <v>0</v>
      </c>
      <c r="J178" s="3">
        <v>4916.7449999999999</v>
      </c>
      <c r="K178" s="88">
        <f>$J178/$AI178</f>
        <v>8.4939669494473402E-2</v>
      </c>
      <c r="L178" s="3"/>
      <c r="M178" s="88">
        <f>$L178/$AI178</f>
        <v>0</v>
      </c>
      <c r="N178" s="3"/>
      <c r="O178" s="88">
        <f>$N178/$AI178</f>
        <v>0</v>
      </c>
      <c r="P178" s="3">
        <v>127.96</v>
      </c>
      <c r="Q178" s="88">
        <f>$P178/$AI178</f>
        <v>2.2105844636060678E-3</v>
      </c>
      <c r="R178" s="3">
        <v>298.79899999999998</v>
      </c>
      <c r="S178" s="88">
        <f>$R178/$AI178</f>
        <v>5.1619289398329906E-3</v>
      </c>
      <c r="U178" s="88">
        <f>$T178/$AI178</f>
        <v>0</v>
      </c>
      <c r="W178" s="88">
        <f>$V178/$AI178</f>
        <v>0</v>
      </c>
      <c r="X178" s="3">
        <v>28.84</v>
      </c>
      <c r="Y178" s="88">
        <f>$X178/$AI178</f>
        <v>4.9822800820880741E-4</v>
      </c>
      <c r="Z178" s="3">
        <v>175.352</v>
      </c>
      <c r="AA178" s="88">
        <f>$Z178/$AI178</f>
        <v>3.0293092127403188E-3</v>
      </c>
      <c r="AB178" s="56">
        <v>8847.6959999999999</v>
      </c>
      <c r="AC178" s="88">
        <f>$AB178/AI178</f>
        <v>0.15284916627312872</v>
      </c>
      <c r="AD178" s="101">
        <v>27366.421999999999</v>
      </c>
      <c r="AE178" s="88">
        <f>$AD178/$AI178</f>
        <v>0.47277107922543993</v>
      </c>
      <c r="AF178" s="3">
        <v>-50325.62</v>
      </c>
      <c r="AG178" s="3">
        <v>-7559.5240000000003</v>
      </c>
      <c r="AH178" s="89">
        <f>SUM(AF178,AG178)</f>
        <v>-57885.144</v>
      </c>
      <c r="AI178" s="3">
        <f>((AF178+AG178)*-1)</f>
        <v>57885.144</v>
      </c>
      <c r="AJ178" s="8">
        <f>AI178/($AI$224)</f>
        <v>4.4173458727957068E-3</v>
      </c>
      <c r="AK178" s="56">
        <f>AJ178*($G$260+$G$313-$B$406)</f>
        <v>7802.4651057185192</v>
      </c>
      <c r="AL178" s="3">
        <v>20903.870058439992</v>
      </c>
      <c r="AM178" s="8">
        <f>AL178/AL$224</f>
        <v>4.4364753105898156E-3</v>
      </c>
      <c r="AN178" s="3">
        <f>(AM178*$B$406)</f>
        <v>6031.7652532056318</v>
      </c>
      <c r="AO178" s="3">
        <f>AN178+AK178</f>
        <v>13834.230358924151</v>
      </c>
      <c r="AP178" s="113">
        <f>$AO178/$AI178</f>
        <v>0.2389944881008528</v>
      </c>
      <c r="AQ178" s="3">
        <f>AB178+AD178+AH178</f>
        <v>-21671.025999999998</v>
      </c>
      <c r="AR178" s="3">
        <f>AQ178+AO178</f>
        <v>-7836.795641075847</v>
      </c>
      <c r="AS178" s="113">
        <f>AR178/AI178</f>
        <v>-0.13538526640057849</v>
      </c>
      <c r="AT178" s="70"/>
      <c r="AU178" s="70"/>
      <c r="AV178" s="70"/>
      <c r="AW178" s="3"/>
      <c r="BA178" s="3"/>
      <c r="BB178" s="3"/>
      <c r="BC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</row>
    <row r="179" spans="1:68" ht="22.2" customHeight="1" x14ac:dyDescent="0.3">
      <c r="A179" s="2" t="s">
        <v>923</v>
      </c>
      <c r="B179" s="3">
        <v>0</v>
      </c>
      <c r="C179" s="88">
        <f>$B179/$AI179</f>
        <v>0</v>
      </c>
      <c r="D179" s="3">
        <v>1850</v>
      </c>
      <c r="E179" s="88">
        <f>$D179/$AI179</f>
        <v>1.7692605891800342E-2</v>
      </c>
      <c r="F179" s="3">
        <v>0</v>
      </c>
      <c r="G179" s="88">
        <f>$F179/$AI179</f>
        <v>0</v>
      </c>
      <c r="H179" s="3">
        <v>0</v>
      </c>
      <c r="I179" s="88">
        <f>$H179/$AI179</f>
        <v>0</v>
      </c>
      <c r="J179" s="3">
        <v>5564.6509999999998</v>
      </c>
      <c r="K179" s="88">
        <f>$J179/$AI179</f>
        <v>5.3217933550493333E-2</v>
      </c>
      <c r="L179" s="3"/>
      <c r="M179" s="88">
        <f>$L179/$AI179</f>
        <v>0</v>
      </c>
      <c r="N179" s="3"/>
      <c r="O179" s="88">
        <f>$N179/$AI179</f>
        <v>0</v>
      </c>
      <c r="P179" s="3">
        <v>126.93</v>
      </c>
      <c r="Q179" s="88">
        <f>$P179/$AI179</f>
        <v>1.21390403559255E-3</v>
      </c>
      <c r="R179" s="3">
        <v>491.59900000000005</v>
      </c>
      <c r="S179" s="88">
        <f>$R179/$AI179</f>
        <v>4.7014418182719769E-3</v>
      </c>
      <c r="U179" s="88">
        <f>$T179/$AI179</f>
        <v>0</v>
      </c>
      <c r="W179" s="88">
        <f>$V179/$AI179</f>
        <v>0</v>
      </c>
      <c r="X179" s="3">
        <v>203.99</v>
      </c>
      <c r="Y179" s="88">
        <f>$X179/$AI179</f>
        <v>1.9508727977666767E-3</v>
      </c>
      <c r="Z179" s="3">
        <v>155.18799999999999</v>
      </c>
      <c r="AA179" s="88">
        <f>$Z179/$AI179</f>
        <v>1.4841514179117358E-3</v>
      </c>
      <c r="AB179" s="56">
        <v>8392.358000000002</v>
      </c>
      <c r="AC179" s="88">
        <f>$AB179/AI179</f>
        <v>8.0260909511836634E-2</v>
      </c>
      <c r="AD179" s="101">
        <v>50267.971000000005</v>
      </c>
      <c r="AE179" s="88">
        <f>$AD179/$AI179</f>
        <v>0.48074129723429665</v>
      </c>
      <c r="AF179" s="3">
        <v>-91598.403000000006</v>
      </c>
      <c r="AG179" s="3">
        <v>-12965.052</v>
      </c>
      <c r="AH179" s="89">
        <f>SUM(AF179,AG179)</f>
        <v>-104563.455</v>
      </c>
      <c r="AI179" s="3">
        <f>((AF179+AG179)*-1)</f>
        <v>104563.455</v>
      </c>
      <c r="AJ179" s="8">
        <f>AI179/($AI$224)</f>
        <v>7.9794730473419853E-3</v>
      </c>
      <c r="AK179" s="56">
        <f>AJ179*($G$260+$G$313-$B$406)</f>
        <v>14094.336691481127</v>
      </c>
      <c r="AL179" s="3">
        <v>37988.731751451196</v>
      </c>
      <c r="AM179" s="8">
        <f>AL179/AL$224</f>
        <v>8.0624338950043249E-3</v>
      </c>
      <c r="AN179" s="3">
        <f>(AM179*$B$406)</f>
        <v>10961.564129089929</v>
      </c>
      <c r="AO179" s="3">
        <f>AN179+AK179</f>
        <v>25055.900820571056</v>
      </c>
      <c r="AP179" s="113">
        <f>$AO179/$AI179</f>
        <v>0.23962388026075704</v>
      </c>
      <c r="AQ179" s="3">
        <f>AB179+AD179+AH179</f>
        <v>-45903.125999999997</v>
      </c>
      <c r="AR179" s="3">
        <f>AQ179+AO179</f>
        <v>-20847.22517942894</v>
      </c>
      <c r="AS179" s="113">
        <f>AR179/AI179</f>
        <v>-0.19937391299310969</v>
      </c>
      <c r="AT179" s="70"/>
      <c r="AU179" s="70"/>
      <c r="AV179" s="70"/>
      <c r="AW179" s="3"/>
      <c r="BA179" s="3"/>
      <c r="BB179" s="3"/>
      <c r="BC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</row>
    <row r="180" spans="1:68" ht="22.2" customHeight="1" x14ac:dyDescent="0.3">
      <c r="A180" s="2" t="s">
        <v>924</v>
      </c>
      <c r="B180" s="3">
        <v>0</v>
      </c>
      <c r="C180" s="88">
        <f>$B180/$AI180</f>
        <v>0</v>
      </c>
      <c r="D180" s="3">
        <v>1150</v>
      </c>
      <c r="E180" s="88">
        <f>$D180/$AI180</f>
        <v>2.7895127999463067E-2</v>
      </c>
      <c r="F180" s="3">
        <v>90</v>
      </c>
      <c r="G180" s="88">
        <f>$F180/$AI180</f>
        <v>2.1830969738710227E-3</v>
      </c>
      <c r="H180" s="3">
        <v>0</v>
      </c>
      <c r="I180" s="88">
        <f>$H180/$AI180</f>
        <v>0</v>
      </c>
      <c r="J180" s="3">
        <v>3335.0749999999998</v>
      </c>
      <c r="K180" s="88">
        <f>$J180/$AI180</f>
        <v>8.0897690445921114E-2</v>
      </c>
      <c r="L180" s="3"/>
      <c r="M180" s="88">
        <f>$L180/$AI180</f>
        <v>0</v>
      </c>
      <c r="N180" s="3"/>
      <c r="O180" s="88">
        <f>$N180/$AI180</f>
        <v>0</v>
      </c>
      <c r="P180" s="3">
        <v>49.674999999999997</v>
      </c>
      <c r="Q180" s="88">
        <f>$P180/$AI180</f>
        <v>1.2049482464115892E-3</v>
      </c>
      <c r="R180" s="3">
        <v>119.857</v>
      </c>
      <c r="S180" s="88">
        <f>$R180/$AI180</f>
        <v>2.9073272666362126E-3</v>
      </c>
      <c r="U180" s="88">
        <f>$T180/$AI180</f>
        <v>0</v>
      </c>
      <c r="W180" s="88">
        <f>$V180/$AI180</f>
        <v>0</v>
      </c>
      <c r="X180" s="3">
        <v>199.44</v>
      </c>
      <c r="Y180" s="88">
        <f>$X180/$AI180</f>
        <v>4.837742894098186E-3</v>
      </c>
      <c r="Z180" s="3">
        <v>66.736999999999995</v>
      </c>
      <c r="AA180" s="88">
        <f>$Z180/$AI180</f>
        <v>1.6188149193914491E-3</v>
      </c>
      <c r="AB180" s="56">
        <v>5010.7839999999987</v>
      </c>
      <c r="AC180" s="88">
        <f>$AB180/AI180</f>
        <v>0.12154474874579262</v>
      </c>
      <c r="AD180" s="101">
        <v>20726.248000000003</v>
      </c>
      <c r="AE180" s="88">
        <f>$AD180/$AI180</f>
        <v>0.50274899209444823</v>
      </c>
      <c r="AF180" s="3">
        <v>-36297.420999999988</v>
      </c>
      <c r="AG180" s="3">
        <v>-4928.4160000000002</v>
      </c>
      <c r="AH180" s="89">
        <f>SUM(AF180,AG180)</f>
        <v>-41225.836999999985</v>
      </c>
      <c r="AI180" s="3">
        <f>((AF180+AG180)*-1)</f>
        <v>41225.836999999985</v>
      </c>
      <c r="AJ180" s="8">
        <f>AI180/($AI$224)</f>
        <v>3.1460365879801299E-3</v>
      </c>
      <c r="AK180" s="56">
        <f>AJ180*($G$260+$G$313-$B$406)</f>
        <v>5556.9206953435123</v>
      </c>
      <c r="AL180" s="3">
        <v>17909.722401084331</v>
      </c>
      <c r="AM180" s="8">
        <f>AL180/AL$224</f>
        <v>3.8010206258360948E-3</v>
      </c>
      <c r="AN180" s="3">
        <f>(AM180*$B$406)</f>
        <v>5167.8106002100176</v>
      </c>
      <c r="AO180" s="3">
        <f>AN180+AK180</f>
        <v>10724.731295553531</v>
      </c>
      <c r="AP180" s="113">
        <f>$AO180/$AI180</f>
        <v>0.26014587152114182</v>
      </c>
      <c r="AQ180" s="3">
        <f>AB180+AD180+AH180</f>
        <v>-15488.804999999982</v>
      </c>
      <c r="AR180" s="3">
        <f>AQ180+AO180</f>
        <v>-4764.0737044464513</v>
      </c>
      <c r="AS180" s="113">
        <f>AR180/AI180</f>
        <v>-0.11556038763861733</v>
      </c>
      <c r="AT180" s="70"/>
      <c r="AU180" s="70"/>
      <c r="AV180" s="70"/>
      <c r="AW180" s="3"/>
      <c r="BA180" s="3"/>
      <c r="BB180" s="3"/>
      <c r="BC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</row>
    <row r="181" spans="1:68" ht="22.2" customHeight="1" x14ac:dyDescent="0.3">
      <c r="A181" s="2" t="s">
        <v>925</v>
      </c>
      <c r="B181" s="3">
        <v>0</v>
      </c>
      <c r="C181" s="88">
        <f>$B181/$AI181</f>
        <v>0</v>
      </c>
      <c r="D181" s="3">
        <v>500</v>
      </c>
      <c r="E181" s="88">
        <f>$D181/$AI181</f>
        <v>1.5146776046585425E-2</v>
      </c>
      <c r="F181" s="3">
        <v>0</v>
      </c>
      <c r="G181" s="88">
        <f>$F181/$AI181</f>
        <v>0</v>
      </c>
      <c r="H181" s="3">
        <v>0</v>
      </c>
      <c r="I181" s="88">
        <f>$H181/$AI181</f>
        <v>0</v>
      </c>
      <c r="J181" s="3">
        <v>2819.442</v>
      </c>
      <c r="K181" s="88">
        <f>$J181/$AI181</f>
        <v>8.5410913100673808E-2</v>
      </c>
      <c r="L181" s="3"/>
      <c r="M181" s="88">
        <f>$L181/$AI181</f>
        <v>0</v>
      </c>
      <c r="N181" s="3">
        <v>8.5299999999999994</v>
      </c>
      <c r="O181" s="88">
        <f>$N181/$AI181</f>
        <v>2.5840399935474732E-4</v>
      </c>
      <c r="P181" s="3">
        <v>178.74</v>
      </c>
      <c r="Q181" s="88">
        <f>$P181/$AI181</f>
        <v>5.4146695011333583E-3</v>
      </c>
      <c r="R181" s="3">
        <v>510.613</v>
      </c>
      <c r="S181" s="88">
        <f>$R181/$AI181</f>
        <v>1.5468281514950248E-2</v>
      </c>
      <c r="U181" s="88">
        <f>$T181/$AI181</f>
        <v>0</v>
      </c>
      <c r="W181" s="88">
        <f>$V181/$AI181</f>
        <v>0</v>
      </c>
      <c r="X181" s="3">
        <v>121.60000000000001</v>
      </c>
      <c r="Y181" s="88">
        <f>$X181/$AI181</f>
        <v>3.683695934529576E-3</v>
      </c>
      <c r="Z181" s="3">
        <v>46.852000000000004</v>
      </c>
      <c r="AA181" s="88">
        <f>$Z181/$AI181</f>
        <v>1.4193135026692408E-3</v>
      </c>
      <c r="AB181" s="56">
        <v>4185.777</v>
      </c>
      <c r="AC181" s="88">
        <f>$AB181/AI181</f>
        <v>0.12680205359989641</v>
      </c>
      <c r="AD181" s="101">
        <v>16181.528</v>
      </c>
      <c r="AE181" s="88">
        <f>$AD181/$AI181</f>
        <v>0.49019596141510274</v>
      </c>
      <c r="AF181" s="3">
        <v>-28974.634999999998</v>
      </c>
      <c r="AG181" s="3">
        <v>-4035.69</v>
      </c>
      <c r="AH181" s="89">
        <f>SUM(AF181,AG181)</f>
        <v>-33010.324999999997</v>
      </c>
      <c r="AI181" s="3">
        <f>((AF181+AG181)*-1)</f>
        <v>33010.324999999997</v>
      </c>
      <c r="AJ181" s="8">
        <f>AI181/($AI$224)</f>
        <v>2.5190923408326487E-3</v>
      </c>
      <c r="AK181" s="56">
        <f>AJ181*($G$260+$G$313-$B$406)</f>
        <v>4449.5338724721441</v>
      </c>
      <c r="AL181" s="3">
        <v>9870.4648796811798</v>
      </c>
      <c r="AM181" s="8">
        <f>AL181/AL$224</f>
        <v>2.0948309389757745E-3</v>
      </c>
      <c r="AN181" s="3">
        <f>(AM181*$B$406)</f>
        <v>2848.1007070845953</v>
      </c>
      <c r="AO181" s="3">
        <f>AN181+AK181</f>
        <v>7297.6345795567395</v>
      </c>
      <c r="AP181" s="113">
        <f>$AO181/$AI181</f>
        <v>0.22107127329272705</v>
      </c>
      <c r="AQ181" s="3">
        <f>AB181+AD181+AH181</f>
        <v>-12643.019999999997</v>
      </c>
      <c r="AR181" s="3">
        <f>AQ181+AO181</f>
        <v>-5345.3854204432573</v>
      </c>
      <c r="AS181" s="113">
        <f>AR181/AI181</f>
        <v>-0.1619307116922738</v>
      </c>
      <c r="AT181" s="70"/>
      <c r="AU181" s="70"/>
      <c r="AV181" s="70"/>
      <c r="AW181" s="3"/>
      <c r="BA181" s="3"/>
      <c r="BB181" s="3"/>
      <c r="BC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</row>
    <row r="182" spans="1:68" ht="22.2" customHeight="1" x14ac:dyDescent="0.3">
      <c r="A182" s="2" t="s">
        <v>926</v>
      </c>
      <c r="B182" s="3">
        <v>0</v>
      </c>
      <c r="C182" s="88">
        <f>$B182/$AI182</f>
        <v>0</v>
      </c>
      <c r="D182" s="3">
        <v>870</v>
      </c>
      <c r="E182" s="88">
        <f>$D182/$AI182</f>
        <v>3.1934971881257254E-2</v>
      </c>
      <c r="F182" s="3">
        <v>50.87</v>
      </c>
      <c r="G182" s="88">
        <f>$F182/$AI182</f>
        <v>1.8672781834477663E-3</v>
      </c>
      <c r="H182" s="3">
        <v>0</v>
      </c>
      <c r="I182" s="88">
        <f>$H182/$AI182</f>
        <v>0</v>
      </c>
      <c r="J182" s="3">
        <v>2844.6210000000001</v>
      </c>
      <c r="K182" s="88">
        <f>$J182/$AI182</f>
        <v>0.10441711683659069</v>
      </c>
      <c r="L182" s="3"/>
      <c r="M182" s="88">
        <f>$L182/$AI182</f>
        <v>0</v>
      </c>
      <c r="N182" s="3"/>
      <c r="O182" s="88">
        <f>$N182/$AI182</f>
        <v>0</v>
      </c>
      <c r="P182" s="3">
        <v>22.49</v>
      </c>
      <c r="Q182" s="88">
        <f>$P182/$AI182</f>
        <v>8.2553737656261572E-4</v>
      </c>
      <c r="R182" s="3">
        <v>65.327999999999989</v>
      </c>
      <c r="S182" s="88">
        <f>$R182/$AI182</f>
        <v>2.3979860265043377E-3</v>
      </c>
      <c r="U182" s="88">
        <f>$T182/$AI182</f>
        <v>0</v>
      </c>
      <c r="W182" s="88">
        <f>$V182/$AI182</f>
        <v>0</v>
      </c>
      <c r="X182" s="3">
        <v>100.11</v>
      </c>
      <c r="Y182" s="88">
        <f>$X182/$AI182</f>
        <v>3.6747241781984645E-3</v>
      </c>
      <c r="Z182" s="3">
        <v>40.140999999999998</v>
      </c>
      <c r="AA182" s="88">
        <f>$Z182/$AI182</f>
        <v>1.4734502371098247E-3</v>
      </c>
      <c r="AB182" s="56">
        <v>3993.56</v>
      </c>
      <c r="AC182" s="88">
        <f>$AB182/AI182</f>
        <v>0.14659106471967095</v>
      </c>
      <c r="AD182" s="101">
        <v>12278.176000000001</v>
      </c>
      <c r="AE182" s="88">
        <f>$AD182/$AI182</f>
        <v>0.45069333944037671</v>
      </c>
      <c r="AF182" s="3">
        <v>-23957.23</v>
      </c>
      <c r="AG182" s="3">
        <v>-3285.6309999999999</v>
      </c>
      <c r="AH182" s="89">
        <f>SUM(AF182,AG182)</f>
        <v>-27242.861000000001</v>
      </c>
      <c r="AI182" s="3">
        <f>((AF182+AG182)*-1)</f>
        <v>27242.861000000001</v>
      </c>
      <c r="AJ182" s="8">
        <f>AI182/($AI$224)</f>
        <v>2.0789641570468777E-3</v>
      </c>
      <c r="AK182" s="56">
        <f>AJ182*($G$260+$G$313-$B$406)</f>
        <v>3672.1247913357515</v>
      </c>
      <c r="AL182" s="3">
        <v>10228.943408239182</v>
      </c>
      <c r="AM182" s="8">
        <f>AL182/AL$224</f>
        <v>2.1709116425430081E-3</v>
      </c>
      <c r="AN182" s="3">
        <f>(AM182*$B$406)</f>
        <v>2951.5388898962715</v>
      </c>
      <c r="AO182" s="3">
        <f>AN182+AK182</f>
        <v>6623.663681232023</v>
      </c>
      <c r="AP182" s="113">
        <f>$AO182/$AI182</f>
        <v>0.24313392346097654</v>
      </c>
      <c r="AQ182" s="3">
        <f>AB182+AD182+AH182</f>
        <v>-10971.125</v>
      </c>
      <c r="AR182" s="3">
        <f>AQ182+AO182</f>
        <v>-4347.461318767977</v>
      </c>
      <c r="AS182" s="113">
        <f>AR182/AI182</f>
        <v>-0.1595816723789758</v>
      </c>
      <c r="AT182" s="70"/>
      <c r="AU182" s="70"/>
      <c r="AV182" s="70"/>
      <c r="AW182" s="3"/>
      <c r="BA182" s="3"/>
      <c r="BB182" s="3"/>
      <c r="BC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</row>
    <row r="183" spans="1:68" ht="22.2" customHeight="1" x14ac:dyDescent="0.3">
      <c r="A183" s="2" t="s">
        <v>927</v>
      </c>
      <c r="B183" s="3">
        <v>0</v>
      </c>
      <c r="C183" s="88">
        <f>$B183/$AI183</f>
        <v>0</v>
      </c>
      <c r="D183" s="3">
        <v>300</v>
      </c>
      <c r="E183" s="88">
        <f>$D183/$AI183</f>
        <v>7.2483774688245481E-3</v>
      </c>
      <c r="F183" s="3">
        <v>55.81</v>
      </c>
      <c r="G183" s="88">
        <f>$F183/$AI183</f>
        <v>1.3484398217836601E-3</v>
      </c>
      <c r="H183" s="3">
        <v>0</v>
      </c>
      <c r="I183" s="88">
        <f>$H183/$AI183</f>
        <v>0</v>
      </c>
      <c r="J183" s="3">
        <v>2794.5230000000001</v>
      </c>
      <c r="K183" s="88">
        <f>$J183/$AI183</f>
        <v>6.7519191831039937E-2</v>
      </c>
      <c r="L183" s="3"/>
      <c r="M183" s="88">
        <f>$L183/$AI183</f>
        <v>0</v>
      </c>
      <c r="N183" s="3"/>
      <c r="O183" s="88">
        <f>$N183/$AI183</f>
        <v>0</v>
      </c>
      <c r="P183" s="3">
        <v>80.39</v>
      </c>
      <c r="Q183" s="88">
        <f>$P183/$AI183</f>
        <v>1.9423235490626848E-3</v>
      </c>
      <c r="R183" s="3">
        <v>631.65199999999993</v>
      </c>
      <c r="S183" s="88">
        <f>$R183/$AI183</f>
        <v>1.5261507083126543E-2</v>
      </c>
      <c r="U183" s="88">
        <f>$T183/$AI183</f>
        <v>0</v>
      </c>
      <c r="W183" s="88">
        <f>$V183/$AI183</f>
        <v>0</v>
      </c>
      <c r="X183" s="3">
        <v>122.87</v>
      </c>
      <c r="Y183" s="88">
        <f>$X183/$AI183</f>
        <v>2.968693798648241E-3</v>
      </c>
      <c r="Z183" s="3">
        <v>212.41800000000001</v>
      </c>
      <c r="AA183" s="88">
        <f>$Z183/$AI183</f>
        <v>5.1322861505759092E-3</v>
      </c>
      <c r="AB183" s="56">
        <v>4197.6630000000005</v>
      </c>
      <c r="AC183" s="88">
        <f>$AB183/AI183</f>
        <v>0.10142081970306153</v>
      </c>
      <c r="AD183" s="101">
        <v>29358.592000000004</v>
      </c>
      <c r="AE183" s="88">
        <f>$AD183/$AI183</f>
        <v>0.70934052256404212</v>
      </c>
      <c r="AF183" s="3">
        <v>-36174.173999999999</v>
      </c>
      <c r="AG183" s="3">
        <v>-5214.3990000000003</v>
      </c>
      <c r="AH183" s="89">
        <f>SUM(AF183,AG183)</f>
        <v>-41388.572999999997</v>
      </c>
      <c r="AI183" s="3">
        <f>((AF183+AG183)*-1)</f>
        <v>41388.572999999997</v>
      </c>
      <c r="AJ183" s="8">
        <f>AI183/($AI$224)</f>
        <v>3.1584553391186833E-3</v>
      </c>
      <c r="AK183" s="56">
        <f>AJ183*($G$260+$G$313-$B$406)</f>
        <v>5578.8562365498065</v>
      </c>
      <c r="AL183" s="3">
        <v>20735.828920091226</v>
      </c>
      <c r="AM183" s="8">
        <f>AL183/AL$224</f>
        <v>4.4008115622330033E-3</v>
      </c>
      <c r="AN183" s="3">
        <f>(AM183*$B$406)</f>
        <v>5983.2773561527138</v>
      </c>
      <c r="AO183" s="3">
        <f>AN183+AK183</f>
        <v>11562.133592702521</v>
      </c>
      <c r="AP183" s="113">
        <f>$AO183/$AI183</f>
        <v>0.27935569541628125</v>
      </c>
      <c r="AQ183" s="3">
        <f>AB183+AD183+AH183</f>
        <v>-7832.317999999992</v>
      </c>
      <c r="AR183" s="3">
        <f>AQ183+AO183</f>
        <v>3729.8155927025291</v>
      </c>
      <c r="AS183" s="113">
        <f>AR183/AI183</f>
        <v>9.0117037683384957E-2</v>
      </c>
      <c r="AT183" s="70"/>
      <c r="AU183" s="70"/>
      <c r="AV183" s="70"/>
      <c r="AW183" s="3"/>
      <c r="BA183" s="3"/>
      <c r="BB183" s="3"/>
      <c r="BC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</row>
    <row r="184" spans="1:68" ht="22.2" customHeight="1" x14ac:dyDescent="0.3">
      <c r="A184" s="2" t="s">
        <v>928</v>
      </c>
      <c r="B184" s="3">
        <v>0</v>
      </c>
      <c r="C184" s="88">
        <f>$B184/$AI184</f>
        <v>0</v>
      </c>
      <c r="D184" s="3">
        <v>570</v>
      </c>
      <c r="E184" s="88">
        <f>$D184/$AI184</f>
        <v>1.4429910683409684E-2</v>
      </c>
      <c r="F184" s="3">
        <v>357.71</v>
      </c>
      <c r="G184" s="88">
        <f>$F184/$AI184</f>
        <v>9.0556550009868036E-3</v>
      </c>
      <c r="H184" s="3">
        <v>0</v>
      </c>
      <c r="I184" s="88">
        <f>$H184/$AI184</f>
        <v>0</v>
      </c>
      <c r="J184" s="3">
        <v>2493.2739999999999</v>
      </c>
      <c r="K184" s="88">
        <f>$J184/$AI184</f>
        <v>6.3118808998715081E-2</v>
      </c>
      <c r="L184" s="3"/>
      <c r="M184" s="88">
        <f>$L184/$AI184</f>
        <v>0</v>
      </c>
      <c r="N184" s="3"/>
      <c r="O184" s="88">
        <f>$N184/$AI184</f>
        <v>0</v>
      </c>
      <c r="P184" s="3">
        <v>123.69</v>
      </c>
      <c r="Q184" s="88">
        <f>$P184/$AI184</f>
        <v>3.1312906182999014E-3</v>
      </c>
      <c r="R184" s="3">
        <v>955.55700000000002</v>
      </c>
      <c r="S184" s="88">
        <f>$R184/$AI184</f>
        <v>2.4190530110362995E-2</v>
      </c>
      <c r="U184" s="88">
        <f>$T184/$AI184</f>
        <v>0</v>
      </c>
      <c r="W184" s="88">
        <f>$V184/$AI184</f>
        <v>0</v>
      </c>
      <c r="X184" s="3">
        <v>121.96</v>
      </c>
      <c r="Y184" s="88">
        <f>$X184/$AI184</f>
        <v>3.0874945735941141E-3</v>
      </c>
      <c r="Z184" s="3">
        <v>205.99399999999997</v>
      </c>
      <c r="AA184" s="88">
        <f>$Z184/$AI184</f>
        <v>5.2148684584531471E-3</v>
      </c>
      <c r="AB184" s="56">
        <v>4828.1850000000004</v>
      </c>
      <c r="AC184" s="88">
        <f>$AB184/AI184</f>
        <v>0.12222855844382173</v>
      </c>
      <c r="AD184" s="101">
        <v>21095.880999999998</v>
      </c>
      <c r="AE184" s="88">
        <f>$AD184/$AI184</f>
        <v>0.53405557652252511</v>
      </c>
      <c r="AF184" s="3">
        <v>-35281.038999999997</v>
      </c>
      <c r="AG184" s="3">
        <v>-4220.2449999999999</v>
      </c>
      <c r="AH184" s="89">
        <f>SUM(AF184,AG184)</f>
        <v>-39501.284</v>
      </c>
      <c r="AI184" s="3">
        <f>((AF184+AG184)*-1)</f>
        <v>39501.284</v>
      </c>
      <c r="AJ184" s="8">
        <f>AI184/($AI$224)</f>
        <v>3.0144320595890907E-3</v>
      </c>
      <c r="AK184" s="56">
        <f>AJ184*($G$260+$G$313-$B$406)</f>
        <v>5324.4644263315167</v>
      </c>
      <c r="AL184" s="3">
        <v>15569.000669136185</v>
      </c>
      <c r="AM184" s="8">
        <f>AL184/AL$224</f>
        <v>3.3042439933887364E-3</v>
      </c>
      <c r="AN184" s="3">
        <f>(AM184*$B$406)</f>
        <v>4492.4005459608679</v>
      </c>
      <c r="AO184" s="3">
        <f>AN184+AK184</f>
        <v>9816.8649722923838</v>
      </c>
      <c r="AP184" s="113">
        <f>$AO184/$AI184</f>
        <v>0.24852014866889854</v>
      </c>
      <c r="AQ184" s="3">
        <f>AB184+AD184+AH184</f>
        <v>-13577.218000000001</v>
      </c>
      <c r="AR184" s="3">
        <f>AQ184+AO184</f>
        <v>-3760.353027707617</v>
      </c>
      <c r="AS184" s="113">
        <f>AR184/AI184</f>
        <v>-9.5195716364754546E-2</v>
      </c>
      <c r="AT184" s="70"/>
      <c r="AU184" s="70"/>
      <c r="AV184" s="70"/>
      <c r="AW184" s="3"/>
      <c r="BA184" s="3"/>
      <c r="BB184" s="3"/>
      <c r="BC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</row>
    <row r="185" spans="1:68" ht="22.2" customHeight="1" x14ac:dyDescent="0.3">
      <c r="A185" s="2" t="s">
        <v>929</v>
      </c>
      <c r="B185" s="3">
        <v>0</v>
      </c>
      <c r="C185" s="88">
        <f>$B185/$AI185</f>
        <v>0</v>
      </c>
      <c r="D185" s="3">
        <v>350</v>
      </c>
      <c r="E185" s="88">
        <f>$D185/$AI185</f>
        <v>6.4571802423715506E-3</v>
      </c>
      <c r="F185" s="3">
        <v>0</v>
      </c>
      <c r="G185" s="88">
        <f>$F185/$AI185</f>
        <v>0</v>
      </c>
      <c r="H185" s="3">
        <v>0</v>
      </c>
      <c r="I185" s="88">
        <f>$H185/$AI185</f>
        <v>0</v>
      </c>
      <c r="J185" s="3">
        <v>3091.674</v>
      </c>
      <c r="K185" s="88">
        <f>$J185/$AI185</f>
        <v>5.7038560767582347E-2</v>
      </c>
      <c r="L185" s="3"/>
      <c r="M185" s="88">
        <f>$L185/$AI185</f>
        <v>0</v>
      </c>
      <c r="N185" s="3"/>
      <c r="O185" s="88">
        <f>$N185/$AI185</f>
        <v>0</v>
      </c>
      <c r="P185" s="3">
        <v>62.17</v>
      </c>
      <c r="Q185" s="88">
        <f>$P185/$AI185</f>
        <v>1.1469797019092551E-3</v>
      </c>
      <c r="R185" s="3">
        <v>210.209</v>
      </c>
      <c r="S185" s="88">
        <f>$R185/$AI185</f>
        <v>3.8781640044819464E-3</v>
      </c>
      <c r="U185" s="88">
        <f>$T185/$AI185</f>
        <v>0</v>
      </c>
      <c r="W185" s="88">
        <f>$V185/$AI185</f>
        <v>0</v>
      </c>
      <c r="X185" s="3">
        <v>236.73</v>
      </c>
      <c r="Y185" s="88">
        <f>$X185/$AI185</f>
        <v>4.3674522250760489E-3</v>
      </c>
      <c r="Z185" s="3">
        <v>51.932000000000002</v>
      </c>
      <c r="AA185" s="88">
        <f>$Z185/$AI185</f>
        <v>9.5809795527668391E-4</v>
      </c>
      <c r="AB185" s="56">
        <v>4002.7149999999997</v>
      </c>
      <c r="AC185" s="88">
        <f>$AB185/AI185</f>
        <v>7.384643489669783E-2</v>
      </c>
      <c r="AD185" s="101">
        <v>27731.592000000001</v>
      </c>
      <c r="AE185" s="88">
        <f>$AD185/$AI185</f>
        <v>0.51162253700545413</v>
      </c>
      <c r="AF185" s="3">
        <v>-48279.996000000006</v>
      </c>
      <c r="AG185" s="3">
        <v>-5923.23</v>
      </c>
      <c r="AH185" s="89">
        <f>SUM(AF185,AG185)</f>
        <v>-54203.22600000001</v>
      </c>
      <c r="AI185" s="3">
        <f>((AF185+AG185)*-1)</f>
        <v>54203.22600000001</v>
      </c>
      <c r="AJ185" s="8">
        <f>AI185/($AI$224)</f>
        <v>4.136370407289874E-3</v>
      </c>
      <c r="AK185" s="56">
        <f>AJ185*($G$260+$G$313-$B$406)</f>
        <v>7306.1713292511613</v>
      </c>
      <c r="AL185" s="3">
        <v>19172.449530834881</v>
      </c>
      <c r="AM185" s="8">
        <f>AL185/AL$224</f>
        <v>4.0690120417551968E-3</v>
      </c>
      <c r="AN185" s="3">
        <f>(AM185*$B$406)</f>
        <v>5532.1677074928521</v>
      </c>
      <c r="AO185" s="3">
        <f>AN185+AK185</f>
        <v>12838.339036744013</v>
      </c>
      <c r="AP185" s="113">
        <f>$AO185/$AI185</f>
        <v>0.23685562620837386</v>
      </c>
      <c r="AQ185" s="3">
        <f>AB185+AD185+AH185</f>
        <v>-22468.919000000009</v>
      </c>
      <c r="AR185" s="3">
        <f>AQ185+AO185</f>
        <v>-9630.5799632559956</v>
      </c>
      <c r="AS185" s="113">
        <f>AR185/AI185</f>
        <v>-0.17767540188947414</v>
      </c>
      <c r="AT185" s="70"/>
      <c r="AU185" s="70"/>
      <c r="AV185" s="70"/>
      <c r="AW185" s="3"/>
      <c r="BA185" s="3"/>
      <c r="BB185" s="3"/>
      <c r="BC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</row>
    <row r="186" spans="1:68" ht="22.2" customHeight="1" x14ac:dyDescent="0.3">
      <c r="A186" s="2" t="s">
        <v>930</v>
      </c>
      <c r="B186" s="3">
        <v>0</v>
      </c>
      <c r="C186" s="88">
        <f>$B186/$AI186</f>
        <v>0</v>
      </c>
      <c r="D186" s="3">
        <v>900</v>
      </c>
      <c r="E186" s="88">
        <f>$D186/$AI186</f>
        <v>1.3661450198761957E-2</v>
      </c>
      <c r="F186" s="3">
        <v>25.18</v>
      </c>
      <c r="G186" s="88">
        <f>$F186/$AI186</f>
        <v>3.8221701778314005E-4</v>
      </c>
      <c r="H186" s="3">
        <v>0</v>
      </c>
      <c r="I186" s="88">
        <f>$H186/$AI186</f>
        <v>0</v>
      </c>
      <c r="J186" s="3">
        <v>3534.9380000000001</v>
      </c>
      <c r="K186" s="88">
        <f>$J186/$AI186</f>
        <v>5.3658199380790216E-2</v>
      </c>
      <c r="L186" s="3"/>
      <c r="M186" s="88">
        <f>$L186/$AI186</f>
        <v>0</v>
      </c>
      <c r="N186" s="3">
        <v>137.12</v>
      </c>
      <c r="O186" s="88">
        <f>$N186/$AI186</f>
        <v>2.0813978347269326E-3</v>
      </c>
      <c r="P186" s="3">
        <v>91.331999999999994</v>
      </c>
      <c r="Q186" s="88">
        <f>$P186/$AI186</f>
        <v>1.3863639661703632E-3</v>
      </c>
      <c r="R186" s="3">
        <v>484.15700000000004</v>
      </c>
      <c r="S186" s="88">
        <f>$R186/$AI186</f>
        <v>7.3492074932022143E-3</v>
      </c>
      <c r="U186" s="88">
        <f>$T186/$AI186</f>
        <v>0</v>
      </c>
      <c r="W186" s="88">
        <f>$V186/$AI186</f>
        <v>0</v>
      </c>
      <c r="X186" s="3">
        <v>228.55</v>
      </c>
      <c r="Y186" s="88">
        <f>$X186/$AI186</f>
        <v>3.4692493810300502E-3</v>
      </c>
      <c r="Z186" s="3">
        <v>235.02100000000002</v>
      </c>
      <c r="AA186" s="88">
        <f>$Z186/$AI186</f>
        <v>3.5674752079591487E-3</v>
      </c>
      <c r="AB186" s="56">
        <v>5636.2979999999989</v>
      </c>
      <c r="AC186" s="88">
        <f>$AB186/AI186</f>
        <v>8.5555560480423995E-2</v>
      </c>
      <c r="AD186" s="101">
        <v>28740.658000000003</v>
      </c>
      <c r="AE186" s="88">
        <f>$AD186/$AI186</f>
        <v>0.43626563105183269</v>
      </c>
      <c r="AF186" s="3">
        <v>-57584.521000000001</v>
      </c>
      <c r="AG186" s="3">
        <v>-8294.2829999999994</v>
      </c>
      <c r="AH186" s="89">
        <f>SUM(AF186,AG186)</f>
        <v>-65878.804000000004</v>
      </c>
      <c r="AI186" s="3">
        <f>((AF186+AG186)*-1)</f>
        <v>65878.804000000004</v>
      </c>
      <c r="AJ186" s="8">
        <f>AI186/($AI$224)</f>
        <v>5.0273600935348342E-3</v>
      </c>
      <c r="AK186" s="56">
        <f>AJ186*($G$260+$G$313-$B$406)</f>
        <v>8879.9480125067948</v>
      </c>
      <c r="AL186" s="3">
        <v>20105.446370462818</v>
      </c>
      <c r="AM186" s="8">
        <f>AL186/AL$224</f>
        <v>4.2670240573434992E-3</v>
      </c>
      <c r="AN186" s="3">
        <f>(AM186*$B$406)</f>
        <v>5801.3818722807873</v>
      </c>
      <c r="AO186" s="3">
        <f>AN186+AK186</f>
        <v>14681.329884787581</v>
      </c>
      <c r="AP186" s="113">
        <f>$AO186/$AI186</f>
        <v>0.22285361896957906</v>
      </c>
      <c r="AQ186" s="3">
        <f>AB186+AD186+AH186</f>
        <v>-31501.847999999998</v>
      </c>
      <c r="AR186" s="3">
        <f>AQ186+AO186</f>
        <v>-16820.518115212417</v>
      </c>
      <c r="AS186" s="113">
        <f>AR186/AI186</f>
        <v>-0.25532518949816418</v>
      </c>
      <c r="AT186" s="70"/>
      <c r="AU186" s="70"/>
      <c r="AV186" s="70"/>
      <c r="AW186" s="3"/>
      <c r="BA186" s="3"/>
      <c r="BB186" s="3"/>
      <c r="BC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</row>
    <row r="187" spans="1:68" ht="22.2" customHeight="1" x14ac:dyDescent="0.3">
      <c r="A187" s="2" t="s">
        <v>931</v>
      </c>
      <c r="B187" s="3">
        <v>0</v>
      </c>
      <c r="C187" s="88">
        <f>$B187/$AI187</f>
        <v>0</v>
      </c>
      <c r="D187" s="3">
        <v>1500</v>
      </c>
      <c r="E187" s="88">
        <f>$D187/$AI187</f>
        <v>1.1170855577392591E-2</v>
      </c>
      <c r="F187" s="3">
        <v>0</v>
      </c>
      <c r="G187" s="88">
        <f>$F187/$AI187</f>
        <v>0</v>
      </c>
      <c r="H187" s="3">
        <v>0</v>
      </c>
      <c r="I187" s="88">
        <f>$H187/$AI187</f>
        <v>0</v>
      </c>
      <c r="J187" s="3">
        <v>5999.0349999999999</v>
      </c>
      <c r="K187" s="88">
        <f>$J187/$AI187</f>
        <v>4.4676235725815569E-2</v>
      </c>
      <c r="L187" s="3"/>
      <c r="M187" s="88">
        <f>$L187/$AI187</f>
        <v>0</v>
      </c>
      <c r="N187" s="3">
        <v>129.52000000000001</v>
      </c>
      <c r="O187" s="88">
        <f>$N187/$AI187</f>
        <v>9.6456614292259231E-4</v>
      </c>
      <c r="P187" s="3">
        <v>138.96</v>
      </c>
      <c r="Q187" s="88">
        <f>$P187/$AI187</f>
        <v>1.0348680606896497E-3</v>
      </c>
      <c r="R187" s="3">
        <v>158.95400000000001</v>
      </c>
      <c r="S187" s="88">
        <f>$R187/$AI187</f>
        <v>1.1837681182992413E-3</v>
      </c>
      <c r="U187" s="88">
        <f>$T187/$AI187</f>
        <v>0</v>
      </c>
      <c r="W187" s="88">
        <f>$V187/$AI187</f>
        <v>0</v>
      </c>
      <c r="X187" s="3">
        <v>148.03</v>
      </c>
      <c r="Y187" s="88">
        <f>$X187/$AI187</f>
        <v>1.1024145007476167E-3</v>
      </c>
      <c r="Z187" s="3">
        <v>77.132000000000005</v>
      </c>
      <c r="AA187" s="88">
        <f>$Z187/$AI187</f>
        <v>5.7442028826363027E-4</v>
      </c>
      <c r="AB187" s="56">
        <v>8151.6309999999994</v>
      </c>
      <c r="AC187" s="88">
        <f>$AB187/AI187</f>
        <v>6.0707128414130888E-2</v>
      </c>
      <c r="AD187" s="101">
        <v>72739.899000000005</v>
      </c>
      <c r="AE187" s="88">
        <f>$AD187/$AI187</f>
        <v>0.54171127096208249</v>
      </c>
      <c r="AF187" s="3">
        <v>-117682.06500000002</v>
      </c>
      <c r="AG187" s="3">
        <v>-16595.921999999999</v>
      </c>
      <c r="AH187" s="89">
        <f>SUM(AF187,AG187)</f>
        <v>-134277.98700000002</v>
      </c>
      <c r="AI187" s="3">
        <f>((AF187+AG187)*-1)</f>
        <v>134277.98700000002</v>
      </c>
      <c r="AJ187" s="8">
        <f>AI187/($AI$224)</f>
        <v>1.024705599215173E-2</v>
      </c>
      <c r="AK187" s="56">
        <f>AJ187*($G$260+$G$313-$B$406)</f>
        <v>18099.623420365428</v>
      </c>
      <c r="AL187" s="3">
        <v>45742.333581941588</v>
      </c>
      <c r="AM187" s="8">
        <f>AL187/AL$224</f>
        <v>9.7079982327536434E-3</v>
      </c>
      <c r="AN187" s="3">
        <f>(AM187*$B$406)</f>
        <v>13198.848707380774</v>
      </c>
      <c r="AO187" s="3">
        <f>AN187+AK187</f>
        <v>31298.472127746201</v>
      </c>
      <c r="AP187" s="113">
        <f>$AO187/$AI187</f>
        <v>0.23308714128806679</v>
      </c>
      <c r="AQ187" s="3">
        <f>AB187+AD187+AH187</f>
        <v>-53386.457000000024</v>
      </c>
      <c r="AR187" s="3">
        <f>AQ187+AO187</f>
        <v>-22087.984872253823</v>
      </c>
      <c r="AS187" s="113">
        <f>AR187/AI187</f>
        <v>-0.16449445933571985</v>
      </c>
      <c r="AT187" s="70"/>
      <c r="AU187" s="70"/>
      <c r="AV187" s="70"/>
      <c r="AW187" s="3"/>
      <c r="BA187" s="3"/>
      <c r="BB187" s="3"/>
      <c r="BC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</row>
    <row r="188" spans="1:68" ht="22.2" customHeight="1" x14ac:dyDescent="0.3">
      <c r="A188" s="2" t="s">
        <v>932</v>
      </c>
      <c r="B188" s="3">
        <v>0</v>
      </c>
      <c r="C188" s="88">
        <f>$B188/$AI188</f>
        <v>0</v>
      </c>
      <c r="D188" s="3">
        <v>560</v>
      </c>
      <c r="E188" s="88">
        <f>$D188/$AI188</f>
        <v>8.112466836308006E-3</v>
      </c>
      <c r="F188" s="3">
        <v>0</v>
      </c>
      <c r="G188" s="88">
        <f>$F188/$AI188</f>
        <v>0</v>
      </c>
      <c r="H188" s="3">
        <v>0</v>
      </c>
      <c r="I188" s="88">
        <f>$H188/$AI188</f>
        <v>0</v>
      </c>
      <c r="J188" s="3">
        <v>3580.0990000000002</v>
      </c>
      <c r="K188" s="88">
        <f>$J188/$AI188</f>
        <v>5.1863275728927599E-2</v>
      </c>
      <c r="L188" s="3"/>
      <c r="M188" s="88">
        <f>$L188/$AI188</f>
        <v>0</v>
      </c>
      <c r="N188" s="3"/>
      <c r="O188" s="88">
        <f>$N188/$AI188</f>
        <v>0</v>
      </c>
      <c r="P188" s="3">
        <v>104.64</v>
      </c>
      <c r="Q188" s="88">
        <f>$P188/$AI188</f>
        <v>1.5158723745558387E-3</v>
      </c>
      <c r="R188" s="3">
        <v>37.164000000000001</v>
      </c>
      <c r="S188" s="88">
        <f>$R188/$AI188</f>
        <v>5.3837806697241205E-4</v>
      </c>
      <c r="U188" s="88">
        <f>$T188/$AI188</f>
        <v>0</v>
      </c>
      <c r="W188" s="88">
        <f>$V188/$AI188</f>
        <v>0</v>
      </c>
      <c r="X188" s="3">
        <v>49.06</v>
      </c>
      <c r="Y188" s="88">
        <f>$X188/$AI188</f>
        <v>7.1071004105226925E-4</v>
      </c>
      <c r="Z188" s="3">
        <v>25.964000000000002</v>
      </c>
      <c r="AA188" s="88">
        <f>$Z188/$AI188</f>
        <v>3.7612873024625191E-4</v>
      </c>
      <c r="AB188" s="56">
        <v>4356.9269999999988</v>
      </c>
      <c r="AC188" s="88">
        <f>$AB188/AI188</f>
        <v>6.3116831778062349E-2</v>
      </c>
      <c r="AD188" s="101">
        <v>33923.412999999993</v>
      </c>
      <c r="AE188" s="88">
        <f>$AD188/$AI188</f>
        <v>0.49143314810157107</v>
      </c>
      <c r="AF188" s="3">
        <v>-60266.38700000001</v>
      </c>
      <c r="AG188" s="3">
        <v>-8763.1710000000003</v>
      </c>
      <c r="AH188" s="89">
        <f>SUM(AF188,AG188)</f>
        <v>-69029.558000000005</v>
      </c>
      <c r="AI188" s="3">
        <f>((AF188+AG188)*-1)</f>
        <v>69029.558000000005</v>
      </c>
      <c r="AJ188" s="8">
        <f>AI188/($AI$224)</f>
        <v>5.2678012363968881E-3</v>
      </c>
      <c r="AK188" s="56">
        <f>AJ188*($G$260+$G$313-$B$406)</f>
        <v>9304.6450322067558</v>
      </c>
      <c r="AL188" s="3">
        <v>27140.866476053438</v>
      </c>
      <c r="AM188" s="8">
        <f>AL188/AL$224</f>
        <v>5.7601670739629435E-3</v>
      </c>
      <c r="AN188" s="3">
        <f>(AM188*$B$406)</f>
        <v>7831.4367097807053</v>
      </c>
      <c r="AO188" s="3">
        <f>AN188+AK188</f>
        <v>17136.081741987462</v>
      </c>
      <c r="AP188" s="113">
        <f>$AO188/$AI188</f>
        <v>0.24824266935024358</v>
      </c>
      <c r="AQ188" s="3">
        <f>AB188+AD188+AH188</f>
        <v>-30749.218000000015</v>
      </c>
      <c r="AR188" s="3">
        <f>AQ188+AO188</f>
        <v>-13613.136258012553</v>
      </c>
      <c r="AS188" s="113">
        <f>AR188/AI188</f>
        <v>-0.19720735077012302</v>
      </c>
      <c r="AT188" s="70"/>
      <c r="AU188" s="70"/>
      <c r="AV188" s="70"/>
      <c r="AW188" s="3"/>
      <c r="BA188" s="3"/>
      <c r="BB188" s="3"/>
      <c r="BC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</row>
    <row r="189" spans="1:68" ht="22.2" customHeight="1" x14ac:dyDescent="0.3">
      <c r="A189" s="2" t="s">
        <v>933</v>
      </c>
      <c r="B189" s="3">
        <v>0</v>
      </c>
      <c r="C189" s="88">
        <f>$B189/$AI189</f>
        <v>0</v>
      </c>
      <c r="D189" s="3">
        <v>1400</v>
      </c>
      <c r="E189" s="88">
        <f>$D189/$AI189</f>
        <v>4.1884348100338378E-2</v>
      </c>
      <c r="F189" s="3">
        <v>28.94</v>
      </c>
      <c r="G189" s="88">
        <f>$F189/$AI189</f>
        <v>8.6580931001699487E-4</v>
      </c>
      <c r="H189" s="3">
        <v>0</v>
      </c>
      <c r="I189" s="88">
        <f>$H189/$AI189</f>
        <v>0</v>
      </c>
      <c r="J189" s="3">
        <v>3056.1489999999999</v>
      </c>
      <c r="K189" s="88">
        <f>$J189/$AI189</f>
        <v>9.1432006116072162E-2</v>
      </c>
      <c r="L189" s="3"/>
      <c r="M189" s="88">
        <f>$L189/$AI189</f>
        <v>0</v>
      </c>
      <c r="N189" s="3"/>
      <c r="O189" s="88">
        <f>$N189/$AI189</f>
        <v>0</v>
      </c>
      <c r="P189" s="3">
        <v>168.35</v>
      </c>
      <c r="Q189" s="88">
        <f>$P189/$AI189</f>
        <v>5.0365928590656896E-3</v>
      </c>
      <c r="R189" s="3">
        <v>399.92500000000001</v>
      </c>
      <c r="S189" s="88">
        <f>$R189/$AI189</f>
        <v>1.1964712795734161E-2</v>
      </c>
      <c r="U189" s="88">
        <f>$T189/$AI189</f>
        <v>0</v>
      </c>
      <c r="W189" s="88">
        <f>$V189/$AI189</f>
        <v>0</v>
      </c>
      <c r="X189" s="3">
        <v>95.93</v>
      </c>
      <c r="Y189" s="88">
        <f>$X189/$AI189</f>
        <v>2.8699753666181866E-3</v>
      </c>
      <c r="Z189" s="3">
        <v>257.31</v>
      </c>
      <c r="AA189" s="88">
        <f>$Z189/$AI189</f>
        <v>7.6980440069271917E-3</v>
      </c>
      <c r="AB189" s="56">
        <v>5406.6040000000003</v>
      </c>
      <c r="AC189" s="88">
        <f>$AB189/AI189</f>
        <v>0.16175148855477278</v>
      </c>
      <c r="AD189" s="101">
        <v>16191.048000000001</v>
      </c>
      <c r="AE189" s="88">
        <f>$AD189/$AI189</f>
        <v>0.48439392181520541</v>
      </c>
      <c r="AF189" s="3">
        <v>-29215.327000000001</v>
      </c>
      <c r="AG189" s="3">
        <v>-4210.0469999999996</v>
      </c>
      <c r="AH189" s="89">
        <f>SUM(AF189,AG189)</f>
        <v>-33425.374000000003</v>
      </c>
      <c r="AI189" s="3">
        <f>((AF189+AG189)*-1)</f>
        <v>33425.374000000003</v>
      </c>
      <c r="AJ189" s="8">
        <f>AI189/($AI$224)</f>
        <v>2.5507656659807731E-3</v>
      </c>
      <c r="AK189" s="56">
        <f>AJ189*($G$260+$G$313-$B$406)</f>
        <v>4505.4792345440319</v>
      </c>
      <c r="AL189" s="3">
        <v>9749.8237982709325</v>
      </c>
      <c r="AM189" s="8">
        <f>AL189/AL$224</f>
        <v>2.0692270112043559E-3</v>
      </c>
      <c r="AN189" s="3">
        <f>(AM189*$B$406)</f>
        <v>2813.2899911298396</v>
      </c>
      <c r="AO189" s="3">
        <f>AN189+AK189</f>
        <v>7318.7692256738719</v>
      </c>
      <c r="AP189" s="113">
        <f>$AO189/$AI189</f>
        <v>0.21895848422440603</v>
      </c>
      <c r="AQ189" s="3">
        <f>AB189+AD189+AH189</f>
        <v>-11827.722000000002</v>
      </c>
      <c r="AR189" s="3">
        <f>AQ189+AO189</f>
        <v>-4508.9527743261297</v>
      </c>
      <c r="AS189" s="113">
        <f>AR189/AI189</f>
        <v>-0.13489610540561578</v>
      </c>
      <c r="AT189" s="70"/>
      <c r="AU189" s="70"/>
      <c r="AV189" s="70"/>
      <c r="AW189" s="3"/>
      <c r="BA189" s="3"/>
      <c r="BB189" s="3"/>
      <c r="BC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</row>
    <row r="190" spans="1:68" ht="22.2" customHeight="1" x14ac:dyDescent="0.3">
      <c r="A190" s="2" t="s">
        <v>934</v>
      </c>
      <c r="B190" s="3">
        <v>0</v>
      </c>
      <c r="C190" s="88">
        <f>$B190/$AI190</f>
        <v>0</v>
      </c>
      <c r="D190" s="3">
        <v>200</v>
      </c>
      <c r="E190" s="88">
        <f>$D190/$AI190</f>
        <v>4.5703374360109902E-3</v>
      </c>
      <c r="F190" s="3">
        <v>45</v>
      </c>
      <c r="G190" s="88">
        <f>$F190/$AI190</f>
        <v>1.0283259231024728E-3</v>
      </c>
      <c r="H190" s="3">
        <v>0</v>
      </c>
      <c r="I190" s="88">
        <f>$H190/$AI190</f>
        <v>0</v>
      </c>
      <c r="J190" s="3">
        <v>2791.0050000000001</v>
      </c>
      <c r="K190" s="88">
        <f>$J190/$AI190</f>
        <v>6.3779173177969273E-2</v>
      </c>
      <c r="L190" s="3"/>
      <c r="M190" s="88">
        <f>$L190/$AI190</f>
        <v>0</v>
      </c>
      <c r="N190" s="3"/>
      <c r="O190" s="88">
        <f>$N190/$AI190</f>
        <v>0</v>
      </c>
      <c r="P190" s="3">
        <v>50.57</v>
      </c>
      <c r="Q190" s="88">
        <f>$P190/$AI190</f>
        <v>1.155609820695379E-3</v>
      </c>
      <c r="R190" s="3">
        <v>105.78400000000002</v>
      </c>
      <c r="S190" s="88">
        <f>$R190/$AI190</f>
        <v>2.4173428766549334E-3</v>
      </c>
      <c r="U190" s="88">
        <f>$T190/$AI190</f>
        <v>0</v>
      </c>
      <c r="W190" s="88">
        <f>$V190/$AI190</f>
        <v>0</v>
      </c>
      <c r="X190" s="3">
        <v>184.01999999999998</v>
      </c>
      <c r="Y190" s="88">
        <f>$X190/$AI190</f>
        <v>4.2051674748737116E-3</v>
      </c>
      <c r="Z190" s="3">
        <v>93.094999999999999</v>
      </c>
      <c r="AA190" s="88">
        <f>$Z190/$AI190</f>
        <v>2.1273778180272156E-3</v>
      </c>
      <c r="AB190" s="56">
        <v>3469.4740000000006</v>
      </c>
      <c r="AC190" s="88">
        <f>$AB190/AI190</f>
        <v>7.9283334527333993E-2</v>
      </c>
      <c r="AD190" s="101">
        <v>19610.861999999997</v>
      </c>
      <c r="AE190" s="88">
        <f>$AD190/$AI190</f>
        <v>0.44814128375522677</v>
      </c>
      <c r="AF190" s="3">
        <v>-38488.953000000009</v>
      </c>
      <c r="AG190" s="3">
        <v>-5271.4920000000002</v>
      </c>
      <c r="AH190" s="89">
        <f>SUM(AF190,AG190)</f>
        <v>-43760.445000000007</v>
      </c>
      <c r="AI190" s="3">
        <f>((AF190+AG190)*-1)</f>
        <v>43760.445000000007</v>
      </c>
      <c r="AJ190" s="8">
        <f>AI190/($AI$224)</f>
        <v>3.3394582401393624E-3</v>
      </c>
      <c r="AK190" s="56">
        <f>AJ190*($G$260+$G$313-$B$406)</f>
        <v>5898.5660487121622</v>
      </c>
      <c r="AL190" s="3">
        <v>17739.319458709237</v>
      </c>
      <c r="AM190" s="8">
        <f>AL190/AL$224</f>
        <v>3.7648556265041299E-3</v>
      </c>
      <c r="AN190" s="3">
        <f>(AM190*$B$406)</f>
        <v>5118.6412098536566</v>
      </c>
      <c r="AO190" s="3">
        <f>AN190+AK190</f>
        <v>11017.207258565819</v>
      </c>
      <c r="AP190" s="113">
        <f>$AO190/$AI190</f>
        <v>0.25176177387057691</v>
      </c>
      <c r="AQ190" s="3">
        <f>AB190+AD190+AH190</f>
        <v>-20680.109000000008</v>
      </c>
      <c r="AR190" s="3">
        <f>AQ190+AO190</f>
        <v>-9662.9017414341888</v>
      </c>
      <c r="AS190" s="113">
        <f>AR190/AI190</f>
        <v>-0.22081360784686233</v>
      </c>
      <c r="AT190" s="70"/>
      <c r="AU190" s="70"/>
      <c r="AV190" s="70"/>
      <c r="AW190" s="3"/>
      <c r="BA190" s="3"/>
      <c r="BB190" s="3"/>
      <c r="BC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</row>
    <row r="191" spans="1:68" ht="22.2" customHeight="1" x14ac:dyDescent="0.3">
      <c r="A191" s="2" t="s">
        <v>935</v>
      </c>
      <c r="B191" s="3">
        <v>0</v>
      </c>
      <c r="C191" s="88">
        <f>$B191/$AI191</f>
        <v>0</v>
      </c>
      <c r="D191" s="3">
        <v>300</v>
      </c>
      <c r="E191" s="88">
        <f>$D191/$AI191</f>
        <v>5.9477116447094001E-3</v>
      </c>
      <c r="F191" s="3">
        <v>22.82</v>
      </c>
      <c r="G191" s="88">
        <f>$F191/$AI191</f>
        <v>4.524225991075617E-4</v>
      </c>
      <c r="H191" s="3">
        <v>0</v>
      </c>
      <c r="I191" s="88">
        <f>$H191/$AI191</f>
        <v>0</v>
      </c>
      <c r="J191" s="3">
        <v>2543.0239999999999</v>
      </c>
      <c r="K191" s="88">
        <f>$J191/$AI191</f>
        <v>5.0417244858584925E-2</v>
      </c>
      <c r="L191" s="3"/>
      <c r="M191" s="88">
        <f>$L191/$AI191</f>
        <v>0</v>
      </c>
      <c r="N191" s="3"/>
      <c r="O191" s="88">
        <f>$N191/$AI191</f>
        <v>0</v>
      </c>
      <c r="P191" s="3">
        <v>31.19</v>
      </c>
      <c r="Q191" s="88">
        <f>$P191/$AI191</f>
        <v>6.1836375399495396E-4</v>
      </c>
      <c r="R191" s="3">
        <v>3.9089999999999998</v>
      </c>
      <c r="S191" s="88">
        <f>$R191/$AI191</f>
        <v>7.7498682730563486E-5</v>
      </c>
      <c r="U191" s="88">
        <f>$T191/$AI191</f>
        <v>0</v>
      </c>
      <c r="W191" s="88">
        <f>$V191/$AI191</f>
        <v>0</v>
      </c>
      <c r="X191" s="3">
        <v>316.18</v>
      </c>
      <c r="Y191" s="88">
        <f>$X191/$AI191</f>
        <v>6.2684915594140604E-3</v>
      </c>
      <c r="Z191" s="3">
        <v>86.384999999999991</v>
      </c>
      <c r="AA191" s="88">
        <f>$Z191/$AI191</f>
        <v>1.7126435680940716E-3</v>
      </c>
      <c r="AB191" s="56">
        <v>3303.5080000000007</v>
      </c>
      <c r="AC191" s="88">
        <f>$AB191/AI191</f>
        <v>6.5494376666635545E-2</v>
      </c>
      <c r="AD191" s="101">
        <v>24404.089000000004</v>
      </c>
      <c r="AE191" s="88">
        <f>$AD191/$AI191</f>
        <v>0.48382828107941533</v>
      </c>
      <c r="AF191" s="3">
        <v>-44309.565000000002</v>
      </c>
      <c r="AG191" s="3">
        <v>-6130.0020000000004</v>
      </c>
      <c r="AH191" s="89">
        <f>SUM(AF191,AG191)</f>
        <v>-50439.567000000003</v>
      </c>
      <c r="AI191" s="3">
        <f>((AF191+AG191)*-1)</f>
        <v>50439.567000000003</v>
      </c>
      <c r="AJ191" s="8">
        <f>AI191/($AI$224)</f>
        <v>3.849157101743628E-3</v>
      </c>
      <c r="AK191" s="56">
        <f>AJ191*($G$260+$G$313-$B$406)</f>
        <v>6798.8595046952178</v>
      </c>
      <c r="AL191" s="3">
        <v>17736.641138838211</v>
      </c>
      <c r="AM191" s="8">
        <f>AL191/AL$224</f>
        <v>3.7642872006600899E-3</v>
      </c>
      <c r="AN191" s="3">
        <f>(AM191*$B$406)</f>
        <v>5117.8683866065803</v>
      </c>
      <c r="AO191" s="3">
        <f>AN191+AK191</f>
        <v>11916.727891301798</v>
      </c>
      <c r="AP191" s="113">
        <f>$AO191/$AI191</f>
        <v>0.23625753748643</v>
      </c>
      <c r="AQ191" s="3">
        <f>AB191+AD191+AH191</f>
        <v>-22731.969999999998</v>
      </c>
      <c r="AR191" s="3">
        <f>AQ191+AO191</f>
        <v>-10815.242108698199</v>
      </c>
      <c r="AS191" s="113">
        <f>AR191/AI191</f>
        <v>-0.2144198047675191</v>
      </c>
      <c r="AT191" s="70"/>
      <c r="AU191" s="70"/>
      <c r="AV191" s="70"/>
      <c r="AW191" s="3"/>
      <c r="BA191" s="3"/>
      <c r="BB191" s="3"/>
      <c r="BC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</row>
    <row r="192" spans="1:68" ht="22.2" customHeight="1" x14ac:dyDescent="0.3">
      <c r="A192" s="2" t="s">
        <v>936</v>
      </c>
      <c r="B192" s="3">
        <v>0</v>
      </c>
      <c r="C192" s="88">
        <f>$B192/$AI192</f>
        <v>0</v>
      </c>
      <c r="D192" s="3">
        <v>1520</v>
      </c>
      <c r="E192" s="88">
        <f>$D192/$AI192</f>
        <v>1.196104787183567E-2</v>
      </c>
      <c r="F192" s="3">
        <v>0</v>
      </c>
      <c r="G192" s="88">
        <f>$F192/$AI192</f>
        <v>0</v>
      </c>
      <c r="H192" s="3">
        <v>0</v>
      </c>
      <c r="I192" s="88">
        <f>$H192/$AI192</f>
        <v>0</v>
      </c>
      <c r="J192" s="3">
        <v>4423.0020000000004</v>
      </c>
      <c r="K192" s="88">
        <f>$J192/$AI192</f>
        <v>3.4805091223174288E-2</v>
      </c>
      <c r="L192" s="3"/>
      <c r="M192" s="88">
        <f>$L192/$AI192</f>
        <v>0</v>
      </c>
      <c r="N192" s="3"/>
      <c r="O192" s="88">
        <f>$N192/$AI192</f>
        <v>0</v>
      </c>
      <c r="P192" s="3">
        <v>56.08</v>
      </c>
      <c r="Q192" s="88">
        <f>$P192/$AI192</f>
        <v>4.4129971358720027E-4</v>
      </c>
      <c r="R192" s="3">
        <v>17.853999999999999</v>
      </c>
      <c r="S192" s="88">
        <f>$R192/$AI192</f>
        <v>1.4049509783141715E-4</v>
      </c>
      <c r="U192" s="88">
        <f>$T192/$AI192</f>
        <v>0</v>
      </c>
      <c r="W192" s="88">
        <f>$V192/$AI192</f>
        <v>0</v>
      </c>
      <c r="X192" s="3">
        <v>112.6</v>
      </c>
      <c r="Y192" s="88">
        <f>$X192/$AI192</f>
        <v>8.8606183576887929E-4</v>
      </c>
      <c r="Z192" s="3">
        <v>28.375</v>
      </c>
      <c r="AA192" s="88">
        <f>$Z192/$AI192</f>
        <v>2.2328600879166919E-4</v>
      </c>
      <c r="AB192" s="56">
        <v>6157.9110000000001</v>
      </c>
      <c r="AC192" s="88">
        <f>$AB192/AI192</f>
        <v>4.8457281750989123E-2</v>
      </c>
      <c r="AD192" s="101">
        <v>64615.783999999992</v>
      </c>
      <c r="AE192" s="88">
        <f>$AD192/$AI192</f>
        <v>0.50846874059223246</v>
      </c>
      <c r="AF192" s="3">
        <v>-111096.96600000001</v>
      </c>
      <c r="AG192" s="3">
        <v>-15982.200999999999</v>
      </c>
      <c r="AH192" s="89">
        <f>SUM(AF192,AG192)</f>
        <v>-127079.16700000002</v>
      </c>
      <c r="AI192" s="3">
        <f>((AF192+AG192)*-1)</f>
        <v>127079.16700000002</v>
      </c>
      <c r="AJ192" s="8">
        <f>AI192/($AI$224)</f>
        <v>9.6976978042201383E-3</v>
      </c>
      <c r="AK192" s="56">
        <f>AJ192*($G$260+$G$313-$B$406)</f>
        <v>17129.278734821433</v>
      </c>
      <c r="AL192" s="3">
        <v>56758.161545484611</v>
      </c>
      <c r="AM192" s="8">
        <f>AL192/AL$224</f>
        <v>1.2045912152488882E-2</v>
      </c>
      <c r="AN192" s="3">
        <f>(AM192*$B$406)</f>
        <v>16377.441387111026</v>
      </c>
      <c r="AO192" s="3">
        <f>AN192+AK192</f>
        <v>33506.720121932463</v>
      </c>
      <c r="AP192" s="113">
        <f>$AO192/$AI192</f>
        <v>0.26366808118857482</v>
      </c>
      <c r="AQ192" s="3">
        <f>AB192+AD192+AH192</f>
        <v>-56305.472000000023</v>
      </c>
      <c r="AR192" s="3">
        <f>AQ192+AO192</f>
        <v>-22798.75187806756</v>
      </c>
      <c r="AS192" s="113">
        <f>AR192/AI192</f>
        <v>-0.17940589646820362</v>
      </c>
      <c r="AT192" s="70"/>
      <c r="AU192" s="70"/>
      <c r="AV192" s="70"/>
      <c r="AW192" s="3"/>
      <c r="BA192" s="3"/>
      <c r="BB192" s="3"/>
      <c r="BC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</row>
    <row r="193" spans="1:68" ht="22.2" customHeight="1" x14ac:dyDescent="0.3">
      <c r="A193" s="2" t="s">
        <v>937</v>
      </c>
      <c r="B193" s="3">
        <v>0</v>
      </c>
      <c r="C193" s="88">
        <f>$B193/$AI193</f>
        <v>0</v>
      </c>
      <c r="D193" s="3">
        <v>0</v>
      </c>
      <c r="E193" s="88">
        <f>$D193/$AI193</f>
        <v>0</v>
      </c>
      <c r="F193" s="3">
        <v>40</v>
      </c>
      <c r="G193" s="88">
        <f>$F193/$AI193</f>
        <v>6.1339360579796805E-4</v>
      </c>
      <c r="H193" s="3">
        <v>0</v>
      </c>
      <c r="I193" s="88">
        <f>$H193/$AI193</f>
        <v>0</v>
      </c>
      <c r="J193" s="3">
        <v>4570.3320000000003</v>
      </c>
      <c r="K193" s="88">
        <f>$J193/$AI193</f>
        <v>7.0085310629345976E-2</v>
      </c>
      <c r="L193" s="3"/>
      <c r="M193" s="88">
        <f>$L193/$AI193</f>
        <v>0</v>
      </c>
      <c r="N193" s="3"/>
      <c r="O193" s="88">
        <f>$N193/$AI193</f>
        <v>0</v>
      </c>
      <c r="P193" s="3">
        <v>43.59</v>
      </c>
      <c r="Q193" s="88">
        <f>$P193/$AI193</f>
        <v>6.6844568191833575E-4</v>
      </c>
      <c r="R193" s="3">
        <v>12116.813999999998</v>
      </c>
      <c r="S193" s="88">
        <f>$R193/$AI193</f>
        <v>0.18580940575608249</v>
      </c>
      <c r="U193" s="88">
        <f>$T193/$AI193</f>
        <v>0</v>
      </c>
      <c r="W193" s="88">
        <f>$V193/$AI193</f>
        <v>0</v>
      </c>
      <c r="X193" s="3">
        <v>234.59</v>
      </c>
      <c r="Y193" s="88">
        <f>$X193/$AI193</f>
        <v>3.597400149603633E-3</v>
      </c>
      <c r="Z193" s="3">
        <v>796.96100000000001</v>
      </c>
      <c r="AA193" s="88">
        <f>$Z193/$AI193</f>
        <v>1.2221269536758861E-2</v>
      </c>
      <c r="AB193" s="56">
        <v>17802.287</v>
      </c>
      <c r="AC193" s="88">
        <f>$AB193/AI193</f>
        <v>0.27299522535950727</v>
      </c>
      <c r="AD193" s="101">
        <v>32764.287999999997</v>
      </c>
      <c r="AE193" s="88">
        <f>$AD193/$AI193</f>
        <v>0.50243511894307735</v>
      </c>
      <c r="AF193" s="3">
        <v>-57013.627000000008</v>
      </c>
      <c r="AG193" s="3">
        <v>-8197.3559999999998</v>
      </c>
      <c r="AH193" s="89">
        <f>SUM(AF193,AG193)</f>
        <v>-65210.983000000007</v>
      </c>
      <c r="AI193" s="3">
        <f>((AF193+AG193)*-1)</f>
        <v>65210.983000000007</v>
      </c>
      <c r="AJ193" s="8">
        <f>AI193/($AI$224)</f>
        <v>4.9763971670520688E-3</v>
      </c>
      <c r="AK193" s="56">
        <f>AJ193*($G$260+$G$313-$B$406)</f>
        <v>8789.9309599558674</v>
      </c>
      <c r="AL193" s="3">
        <v>21433.105604179986</v>
      </c>
      <c r="AM193" s="8">
        <f>AL193/AL$224</f>
        <v>4.548796159580838E-3</v>
      </c>
      <c r="AN193" s="3">
        <f>(AM193*$B$406)</f>
        <v>6184.4749938723808</v>
      </c>
      <c r="AO193" s="3">
        <f>AN193+AK193</f>
        <v>14974.405953828249</v>
      </c>
      <c r="AP193" s="113">
        <f>$AO193/$AI193</f>
        <v>0.22963012156753176</v>
      </c>
      <c r="AQ193" s="3">
        <f>AB193+AD193+AH193</f>
        <v>-14644.40800000001</v>
      </c>
      <c r="AR193" s="3">
        <f>AQ193+AO193</f>
        <v>329.99795382823868</v>
      </c>
      <c r="AS193" s="113">
        <f>AR193/AI193</f>
        <v>5.0604658701163671E-3</v>
      </c>
      <c r="AT193" s="70"/>
      <c r="AU193" s="70"/>
      <c r="AV193" s="70"/>
      <c r="AW193" s="3"/>
      <c r="BA193" s="3"/>
      <c r="BB193" s="3"/>
      <c r="BC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</row>
    <row r="194" spans="1:68" ht="22.2" customHeight="1" x14ac:dyDescent="0.3">
      <c r="A194" s="2" t="s">
        <v>938</v>
      </c>
      <c r="B194" s="3">
        <v>0</v>
      </c>
      <c r="C194" s="88">
        <f>$B194/$AI194</f>
        <v>0</v>
      </c>
      <c r="D194" s="3">
        <v>3500</v>
      </c>
      <c r="E194" s="88">
        <f>$D194/$AI194</f>
        <v>1.5705483310132894E-2</v>
      </c>
      <c r="F194" s="3">
        <v>0</v>
      </c>
      <c r="G194" s="88">
        <f>$F194/$AI194</f>
        <v>0</v>
      </c>
      <c r="H194" s="3">
        <v>0</v>
      </c>
      <c r="I194" s="88">
        <f>$H194/$AI194</f>
        <v>0</v>
      </c>
      <c r="J194" s="3">
        <v>6705.8109999999997</v>
      </c>
      <c r="K194" s="88">
        <f>$J194/$AI194</f>
        <v>3.0090857926115874E-2</v>
      </c>
      <c r="L194" s="3"/>
      <c r="M194" s="88">
        <f>$L194/$AI194</f>
        <v>0</v>
      </c>
      <c r="N194" s="3"/>
      <c r="O194" s="88">
        <f>$N194/$AI194</f>
        <v>0</v>
      </c>
      <c r="P194" s="3">
        <v>544.02</v>
      </c>
      <c r="Q194" s="88">
        <f>$P194/$AI194</f>
        <v>2.4411705801081415E-3</v>
      </c>
      <c r="R194" s="3">
        <v>428.63</v>
      </c>
      <c r="S194" s="88">
        <f>$R194/$AI194</f>
        <v>1.9233832317777891E-3</v>
      </c>
      <c r="U194" s="88">
        <f>$T194/$AI194</f>
        <v>0</v>
      </c>
      <c r="W194" s="88">
        <f>$V194/$AI194</f>
        <v>0</v>
      </c>
      <c r="X194" s="3">
        <v>518.53600000000006</v>
      </c>
      <c r="Y194" s="88">
        <f>$X194/$AI194</f>
        <v>2.3268167124865916E-3</v>
      </c>
      <c r="Z194" s="3">
        <v>98.872</v>
      </c>
      <c r="AA194" s="88">
        <f>$Z194/$AI194</f>
        <v>4.4366644166841696E-4</v>
      </c>
      <c r="AB194" s="56">
        <v>11795.869000000001</v>
      </c>
      <c r="AC194" s="88">
        <f>$AB194/AI194</f>
        <v>5.2931378202289707E-2</v>
      </c>
      <c r="AD194" s="101">
        <v>114400.234</v>
      </c>
      <c r="AE194" s="88">
        <f>$AD194/$AI194</f>
        <v>0.51334599021779925</v>
      </c>
      <c r="AF194" s="3">
        <v>-193120.39300000001</v>
      </c>
      <c r="AG194" s="3">
        <v>-29731.710999999999</v>
      </c>
      <c r="AH194" s="89">
        <f>SUM(AF194,AG194)</f>
        <v>-222852.10400000002</v>
      </c>
      <c r="AI194" s="3">
        <f>((AF194+AG194)*-1)</f>
        <v>222852.10400000002</v>
      </c>
      <c r="AJ194" s="8">
        <f>AI194/($AI$224)</f>
        <v>1.7006346599884762E-2</v>
      </c>
      <c r="AK194" s="56">
        <f>AJ194*($G$260+$G$313-$B$406)</f>
        <v>30038.722287638338</v>
      </c>
      <c r="AL194" s="3">
        <v>70937.346323467355</v>
      </c>
      <c r="AM194" s="8">
        <f>AL194/AL$224</f>
        <v>1.5055192396575217E-2</v>
      </c>
      <c r="AN194" s="3">
        <f>(AM194*$B$406)</f>
        <v>20468.813646100331</v>
      </c>
      <c r="AO194" s="3">
        <f>AN194+AK194</f>
        <v>50507.535933738669</v>
      </c>
      <c r="AP194" s="113">
        <f>$AO194/$AI194</f>
        <v>0.22664150361236285</v>
      </c>
      <c r="AQ194" s="3">
        <f>AB194+AD194+AH194</f>
        <v>-96656.001000000018</v>
      </c>
      <c r="AR194" s="3">
        <f>AQ194+AO194</f>
        <v>-46148.465066261349</v>
      </c>
      <c r="AS194" s="113">
        <f>AR194/AI194</f>
        <v>-0.20708112796754813</v>
      </c>
      <c r="AT194" s="70"/>
      <c r="AU194" s="70"/>
      <c r="AV194" s="70"/>
      <c r="AW194" s="3"/>
      <c r="BA194" s="3"/>
      <c r="BB194" s="3"/>
      <c r="BC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</row>
    <row r="195" spans="1:68" ht="22.2" customHeight="1" x14ac:dyDescent="0.3">
      <c r="A195" s="2" t="s">
        <v>939</v>
      </c>
      <c r="B195" s="3">
        <v>0</v>
      </c>
      <c r="C195" s="88">
        <f>$B195/$AI195</f>
        <v>0</v>
      </c>
      <c r="D195" s="3">
        <v>1600</v>
      </c>
      <c r="E195" s="88">
        <f>$D195/$AI195</f>
        <v>1.5711073977987763E-2</v>
      </c>
      <c r="F195" s="3">
        <v>12.5</v>
      </c>
      <c r="G195" s="88">
        <f>$F195/$AI195</f>
        <v>1.227427654530294E-4</v>
      </c>
      <c r="H195" s="3">
        <v>0</v>
      </c>
      <c r="I195" s="88">
        <f>$H195/$AI195</f>
        <v>0</v>
      </c>
      <c r="J195" s="3">
        <v>7025.4160000000002</v>
      </c>
      <c r="K195" s="88">
        <f>$J195/$AI195</f>
        <v>6.8985519063836792E-2</v>
      </c>
      <c r="L195" s="3"/>
      <c r="M195" s="88">
        <f>$L195/$AI195</f>
        <v>0</v>
      </c>
      <c r="N195" s="3"/>
      <c r="O195" s="88">
        <f>$N195/$AI195</f>
        <v>0</v>
      </c>
      <c r="P195" s="3">
        <v>537.23</v>
      </c>
      <c r="Q195" s="88">
        <f>$P195/$AI195</f>
        <v>5.2752876707464784E-3</v>
      </c>
      <c r="R195" s="3">
        <v>1176.8519999999999</v>
      </c>
      <c r="S195" s="88">
        <f>$R195/$AI195</f>
        <v>1.1556005520714282E-2</v>
      </c>
      <c r="U195" s="88">
        <f>$T195/$AI195</f>
        <v>0</v>
      </c>
      <c r="W195" s="88">
        <f>$V195/$AI195</f>
        <v>0</v>
      </c>
      <c r="X195" s="3">
        <v>361.95</v>
      </c>
      <c r="Y195" s="88">
        <f>$X195/$AI195</f>
        <v>3.554139516457919E-3</v>
      </c>
      <c r="Z195" s="3">
        <v>173.75900000000001</v>
      </c>
      <c r="AA195" s="88">
        <f>$Z195/$AI195</f>
        <v>1.7062128145882349E-3</v>
      </c>
      <c r="AB195" s="56">
        <v>10887.706999999999</v>
      </c>
      <c r="AC195" s="88">
        <f>$AB195/AI195</f>
        <v>0.10691098132978449</v>
      </c>
      <c r="AD195" s="101">
        <v>55930.32</v>
      </c>
      <c r="AE195" s="88">
        <f>$AD195/$AI195</f>
        <v>0.54920337195783031</v>
      </c>
      <c r="AF195" s="3">
        <v>-88675.494000000006</v>
      </c>
      <c r="AG195" s="3">
        <v>-13163.502</v>
      </c>
      <c r="AH195" s="89">
        <f>SUM(AF195,AG195)</f>
        <v>-101838.99600000001</v>
      </c>
      <c r="AI195" s="3">
        <f>((AF195+AG195)*-1)</f>
        <v>101838.99600000001</v>
      </c>
      <c r="AJ195" s="8">
        <f>AI195/($AI$224)</f>
        <v>7.7715634372484002E-3</v>
      </c>
      <c r="AK195" s="56">
        <f>AJ195*($G$260+$G$313-$B$406)</f>
        <v>13727.100906778569</v>
      </c>
      <c r="AL195" s="3">
        <v>31715.485272872858</v>
      </c>
      <c r="AM195" s="8">
        <f>AL195/AL$224</f>
        <v>6.7310486997437741E-3</v>
      </c>
      <c r="AN195" s="3">
        <f>(AM195*$B$406)</f>
        <v>9151.4327979775881</v>
      </c>
      <c r="AO195" s="3">
        <f>AN195+AK195</f>
        <v>22878.533704756155</v>
      </c>
      <c r="AP195" s="113">
        <f>$AO195/$AI195</f>
        <v>0.22465395971456897</v>
      </c>
      <c r="AQ195" s="3">
        <f>AB195+AD195+AH195</f>
        <v>-35020.969000000012</v>
      </c>
      <c r="AR195" s="3">
        <f>AQ195+AO195</f>
        <v>-12142.435295243857</v>
      </c>
      <c r="AS195" s="113">
        <f>AR195/AI195</f>
        <v>-0.11923168699781619</v>
      </c>
      <c r="AT195" s="70"/>
      <c r="AU195" s="70"/>
      <c r="AV195" s="70"/>
      <c r="AW195" s="3"/>
      <c r="BA195" s="3"/>
      <c r="BB195" s="3"/>
      <c r="BC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</row>
    <row r="196" spans="1:68" ht="22.2" customHeight="1" x14ac:dyDescent="0.3">
      <c r="A196" s="2" t="s">
        <v>940</v>
      </c>
      <c r="B196" s="3">
        <v>0</v>
      </c>
      <c r="C196" s="88">
        <f>$B196/$AI196</f>
        <v>0</v>
      </c>
      <c r="D196" s="3">
        <v>700</v>
      </c>
      <c r="E196" s="88">
        <f>$D196/$AI196</f>
        <v>8.9679725132154921E-3</v>
      </c>
      <c r="F196" s="3">
        <v>0</v>
      </c>
      <c r="G196" s="88">
        <f>$F196/$AI196</f>
        <v>0</v>
      </c>
      <c r="H196" s="3">
        <v>0</v>
      </c>
      <c r="I196" s="88">
        <f>$H196/$AI196</f>
        <v>0</v>
      </c>
      <c r="J196" s="3">
        <v>3596.3599999999997</v>
      </c>
      <c r="K196" s="88">
        <f>$J196/$AI196</f>
        <v>4.6074368039468093E-2</v>
      </c>
      <c r="L196" s="3"/>
      <c r="M196" s="88">
        <f>$L196/$AI196</f>
        <v>0</v>
      </c>
      <c r="N196" s="3"/>
      <c r="O196" s="88">
        <f>$N196/$AI196</f>
        <v>0</v>
      </c>
      <c r="P196" s="3">
        <v>108.52</v>
      </c>
      <c r="Q196" s="88">
        <f>$P196/$AI196</f>
        <v>1.390291967334493E-3</v>
      </c>
      <c r="R196" s="3">
        <v>51.01</v>
      </c>
      <c r="S196" s="88">
        <f>$R196/$AI196</f>
        <v>6.5350896842731741E-4</v>
      </c>
      <c r="U196" s="88">
        <f>$T196/$AI196</f>
        <v>0</v>
      </c>
      <c r="W196" s="88">
        <f>$V196/$AI196</f>
        <v>0</v>
      </c>
      <c r="X196" s="3">
        <v>87.460000000000008</v>
      </c>
      <c r="Y196" s="88">
        <f>$X196/$AI196</f>
        <v>1.1204841085797528E-3</v>
      </c>
      <c r="Z196" s="3">
        <v>59.12</v>
      </c>
      <c r="AA196" s="88">
        <f>$Z196/$AI196</f>
        <v>7.5740933568757118E-4</v>
      </c>
      <c r="AB196" s="56">
        <v>4602.47</v>
      </c>
      <c r="AC196" s="88">
        <f>$AB196/AI196</f>
        <v>5.8964034932712725E-2</v>
      </c>
      <c r="AD196" s="101">
        <v>38160.711999999992</v>
      </c>
      <c r="AE196" s="88">
        <f>$AD196/$AI196</f>
        <v>0.488891737572475</v>
      </c>
      <c r="AF196" s="3">
        <v>-68119.449000000008</v>
      </c>
      <c r="AG196" s="3">
        <v>-9936.098</v>
      </c>
      <c r="AH196" s="89">
        <f>SUM(AF196,AG196)</f>
        <v>-78055.547000000006</v>
      </c>
      <c r="AI196" s="3">
        <f>((AF196+AG196)*-1)</f>
        <v>78055.547000000006</v>
      </c>
      <c r="AJ196" s="8">
        <f>AI196/($AI$224)</f>
        <v>5.9565948110841946E-3</v>
      </c>
      <c r="AK196" s="56">
        <f>AJ196*($G$260+$G$313-$B$406)</f>
        <v>10521.277821737334</v>
      </c>
      <c r="AL196" s="3">
        <v>27646.120409893865</v>
      </c>
      <c r="AM196" s="8">
        <f>AL196/AL$224</f>
        <v>5.8673982515771777E-3</v>
      </c>
      <c r="AN196" s="3">
        <f>(AM196*$B$406)</f>
        <v>7977.2266096252888</v>
      </c>
      <c r="AO196" s="3">
        <f>AN196+AK196</f>
        <v>18498.504431362624</v>
      </c>
      <c r="AP196" s="113">
        <f>$AO196/$AI196</f>
        <v>0.23699154182293569</v>
      </c>
      <c r="AQ196" s="3">
        <f>AB196+AD196+AH196</f>
        <v>-35292.365000000013</v>
      </c>
      <c r="AR196" s="3">
        <f>AQ196+AO196</f>
        <v>-16793.860568637388</v>
      </c>
      <c r="AS196" s="113">
        <f>AR196/AI196</f>
        <v>-0.21515268567187656</v>
      </c>
      <c r="AT196" s="70"/>
      <c r="AU196" s="70"/>
      <c r="AV196" s="70"/>
      <c r="AW196" s="3"/>
      <c r="BA196" s="3"/>
      <c r="BB196" s="3"/>
      <c r="BC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</row>
    <row r="197" spans="1:68" ht="22.2" customHeight="1" x14ac:dyDescent="0.3">
      <c r="A197" s="2" t="s">
        <v>941</v>
      </c>
      <c r="B197" s="3">
        <v>0</v>
      </c>
      <c r="C197" s="88">
        <f>$B197/$AI197</f>
        <v>0</v>
      </c>
      <c r="D197" s="3">
        <v>1300</v>
      </c>
      <c r="E197" s="88">
        <f>$D197/$AI197</f>
        <v>1.6843451429983759E-2</v>
      </c>
      <c r="F197" s="3">
        <v>0</v>
      </c>
      <c r="G197" s="88">
        <f>$F197/$AI197</f>
        <v>0</v>
      </c>
      <c r="H197" s="3">
        <v>0</v>
      </c>
      <c r="I197" s="88">
        <f>$H197/$AI197</f>
        <v>0</v>
      </c>
      <c r="J197" s="3">
        <v>6344.0450000000001</v>
      </c>
      <c r="K197" s="88">
        <f>$J197/$AI197</f>
        <v>8.2196626020870245E-2</v>
      </c>
      <c r="L197" s="3"/>
      <c r="M197" s="88">
        <f>$L197/$AI197</f>
        <v>0</v>
      </c>
      <c r="N197" s="3"/>
      <c r="O197" s="88">
        <f>$N197/$AI197</f>
        <v>0</v>
      </c>
      <c r="P197" s="3">
        <v>690.07</v>
      </c>
      <c r="Q197" s="88">
        <f>$P197/$AI197</f>
        <v>8.9408927140683797E-3</v>
      </c>
      <c r="R197" s="3">
        <v>2103.779</v>
      </c>
      <c r="S197" s="88">
        <f>$R197/$AI197</f>
        <v>2.7257614927630618E-2</v>
      </c>
      <c r="U197" s="88">
        <f>$T197/$AI197</f>
        <v>0</v>
      </c>
      <c r="W197" s="88">
        <f>$V197/$AI197</f>
        <v>0</v>
      </c>
      <c r="X197" s="3">
        <v>374.02</v>
      </c>
      <c r="Y197" s="88">
        <f>$X197/$AI197</f>
        <v>4.8459905414173273E-3</v>
      </c>
      <c r="Z197" s="3">
        <v>233.60499999999999</v>
      </c>
      <c r="AA197" s="88">
        <f>$Z197/$AI197</f>
        <v>3.0267034394625817E-3</v>
      </c>
      <c r="AB197" s="56">
        <v>11045.518999999998</v>
      </c>
      <c r="AC197" s="88">
        <f>$AB197/AI197</f>
        <v>0.14311127907343291</v>
      </c>
      <c r="AD197" s="101">
        <v>34319.898000000001</v>
      </c>
      <c r="AE197" s="88">
        <f>$AD197/$AI197</f>
        <v>0.44466579618845908</v>
      </c>
      <c r="AF197" s="3">
        <v>-67732.89</v>
      </c>
      <c r="AG197" s="3">
        <v>-9448.4410000000007</v>
      </c>
      <c r="AH197" s="89">
        <f>SUM(AF197,AG197)</f>
        <v>-77181.331000000006</v>
      </c>
      <c r="AI197" s="3">
        <f>((AF197+AG197)*-1)</f>
        <v>77181.331000000006</v>
      </c>
      <c r="AJ197" s="8">
        <f>AI197/($AI$224)</f>
        <v>5.8898814167194502E-3</v>
      </c>
      <c r="AK197" s="56">
        <f>AJ197*($G$260+$G$313-$B$406)</f>
        <v>10403.440335924724</v>
      </c>
      <c r="AL197" s="3">
        <v>29300.992347667907</v>
      </c>
      <c r="AM197" s="8">
        <f>AL197/AL$224</f>
        <v>6.2186154411979187E-3</v>
      </c>
      <c r="AN197" s="3">
        <f>(AM197*$B$406)</f>
        <v>8454.7362298470398</v>
      </c>
      <c r="AO197" s="3">
        <f>AN197+AK197</f>
        <v>18858.176565771762</v>
      </c>
      <c r="AP197" s="113">
        <f>$AO197/$AI197</f>
        <v>0.24433598541818047</v>
      </c>
      <c r="AQ197" s="3">
        <f>AB197+AD197+AH197</f>
        <v>-31815.914000000004</v>
      </c>
      <c r="AR197" s="3">
        <f>AQ197+AO197</f>
        <v>-12957.737434228242</v>
      </c>
      <c r="AS197" s="113">
        <f>AR197/AI197</f>
        <v>-0.16788693931992751</v>
      </c>
      <c r="AT197" s="70"/>
      <c r="AU197" s="70"/>
      <c r="AV197" s="70"/>
      <c r="AW197" s="3"/>
      <c r="BA197" s="3"/>
      <c r="BB197" s="3"/>
      <c r="BC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</row>
    <row r="198" spans="1:68" ht="22.2" customHeight="1" x14ac:dyDescent="0.3">
      <c r="A198" s="2" t="s">
        <v>942</v>
      </c>
      <c r="B198" s="3">
        <v>0</v>
      </c>
      <c r="C198" s="88">
        <f>$B198/$AI198</f>
        <v>0</v>
      </c>
      <c r="D198" s="3">
        <v>2450</v>
      </c>
      <c r="E198" s="88">
        <f>$D198/$AI198</f>
        <v>7.0124597384633017E-2</v>
      </c>
      <c r="F198" s="3">
        <v>50.52</v>
      </c>
      <c r="G198" s="88">
        <f>$F198/$AI198</f>
        <v>1.4459978203557797E-3</v>
      </c>
      <c r="H198" s="3">
        <v>0</v>
      </c>
      <c r="I198" s="88">
        <f>$H198/$AI198</f>
        <v>0</v>
      </c>
      <c r="J198" s="3">
        <v>5880.5020000000004</v>
      </c>
      <c r="K198" s="88">
        <f>$J198/$AI198</f>
        <v>0.16831340211001194</v>
      </c>
      <c r="L198" s="3"/>
      <c r="M198" s="88">
        <f>$L198/$AI198</f>
        <v>0</v>
      </c>
      <c r="N198" s="3"/>
      <c r="O198" s="88">
        <f>$N198/$AI198</f>
        <v>0</v>
      </c>
      <c r="P198" s="3">
        <v>22.87</v>
      </c>
      <c r="Q198" s="88">
        <f>$P198/$AI198</f>
        <v>6.545916498720642E-4</v>
      </c>
      <c r="R198" s="3">
        <v>76.935999999999993</v>
      </c>
      <c r="S198" s="88">
        <f>$R198/$AI198</f>
        <v>2.2020840915853573E-3</v>
      </c>
      <c r="T198" s="3">
        <v>61.35</v>
      </c>
      <c r="U198" s="88">
        <f>$T198/$AI198</f>
        <v>1.7559771630805045E-3</v>
      </c>
      <c r="W198" s="88">
        <f>$V198/$AI198</f>
        <v>0</v>
      </c>
      <c r="X198" s="3">
        <v>215.75</v>
      </c>
      <c r="Y198" s="88">
        <f>$X198/$AI198</f>
        <v>6.1752579125447238E-3</v>
      </c>
      <c r="Z198" s="3">
        <v>49.694000000000003</v>
      </c>
      <c r="AA198" s="88">
        <f>$Z198/$AI198</f>
        <v>1.4223558132375319E-3</v>
      </c>
      <c r="AB198" s="56">
        <v>8807.6220000000012</v>
      </c>
      <c r="AC198" s="88">
        <f>$AB198/AI198</f>
        <v>0.25209426394532097</v>
      </c>
      <c r="AD198" s="101">
        <v>17461.64</v>
      </c>
      <c r="AE198" s="88">
        <f>$AD198/$AI198</f>
        <v>0.49979203047975646</v>
      </c>
      <c r="AF198" s="3">
        <v>-30387.409</v>
      </c>
      <c r="AG198" s="3">
        <v>-4550.4030000000002</v>
      </c>
      <c r="AH198" s="89">
        <f>SUM(AF198,AG198)</f>
        <v>-34937.811999999998</v>
      </c>
      <c r="AI198" s="3">
        <f>((AF198+AG198)*-1)</f>
        <v>34937.811999999998</v>
      </c>
      <c r="AJ198" s="8">
        <f>AI198/($AI$224)</f>
        <v>2.6661832203909233E-3</v>
      </c>
      <c r="AK198" s="56">
        <f>AJ198*($G$260+$G$313-$B$406)</f>
        <v>4709.3440589895354</v>
      </c>
      <c r="AL198" s="3">
        <v>8322.7293459072589</v>
      </c>
      <c r="AM198" s="8">
        <f>AL198/AL$224</f>
        <v>1.7663515490965694E-3</v>
      </c>
      <c r="AN198" s="3">
        <f>(AM198*$B$406)</f>
        <v>2401.5050581607279</v>
      </c>
      <c r="AO198" s="3">
        <f>AN198+AK198</f>
        <v>7110.8491171502628</v>
      </c>
      <c r="AP198" s="113">
        <f>$AO198/$AI198</f>
        <v>0.20352874751144301</v>
      </c>
      <c r="AQ198" s="3">
        <f>AB198+AD198+AH198</f>
        <v>-8668.5499999999956</v>
      </c>
      <c r="AR198" s="3">
        <f>AQ198+AO198</f>
        <v>-1557.7008828497328</v>
      </c>
      <c r="AS198" s="113">
        <f>AR198/AI198</f>
        <v>-4.4584958063479556E-2</v>
      </c>
      <c r="AT198" s="70"/>
      <c r="AU198" s="70"/>
      <c r="AV198" s="70"/>
      <c r="AW198" s="3"/>
      <c r="BA198" s="3"/>
      <c r="BB198" s="3"/>
      <c r="BC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</row>
    <row r="199" spans="1:68" ht="22.2" customHeight="1" x14ac:dyDescent="0.3">
      <c r="A199" s="2" t="s">
        <v>943</v>
      </c>
      <c r="B199" s="3">
        <v>0</v>
      </c>
      <c r="C199" s="88">
        <f>$B199/$AI199</f>
        <v>0</v>
      </c>
      <c r="D199" s="3">
        <v>1165.0999999999999</v>
      </c>
      <c r="E199" s="88">
        <f>$D199/$AI199</f>
        <v>3.8965443561091717E-2</v>
      </c>
      <c r="F199" s="3">
        <v>60.18</v>
      </c>
      <c r="G199" s="88">
        <f>$F199/$AI199</f>
        <v>2.0126516123135352E-3</v>
      </c>
      <c r="H199" s="3">
        <v>0</v>
      </c>
      <c r="I199" s="88">
        <f>$H199/$AI199</f>
        <v>0</v>
      </c>
      <c r="J199" s="3">
        <v>3370.645</v>
      </c>
      <c r="K199" s="88">
        <f>$J199/$AI199</f>
        <v>0.11272738607156124</v>
      </c>
      <c r="L199" s="3"/>
      <c r="M199" s="88">
        <f>$L199/$AI199</f>
        <v>0</v>
      </c>
      <c r="N199" s="3"/>
      <c r="O199" s="88">
        <f>$N199/$AI199</f>
        <v>0</v>
      </c>
      <c r="P199" s="3">
        <v>44.03</v>
      </c>
      <c r="Q199" s="88">
        <f>$P199/$AI199</f>
        <v>1.4725332417774169E-3</v>
      </c>
      <c r="R199" s="3">
        <v>60.548000000000002</v>
      </c>
      <c r="S199" s="88">
        <f>$R199/$AI199</f>
        <v>2.0249589535121289E-3</v>
      </c>
      <c r="U199" s="88">
        <f>$T199/$AI199</f>
        <v>0</v>
      </c>
      <c r="W199" s="88">
        <f>$V199/$AI199</f>
        <v>0</v>
      </c>
      <c r="X199" s="3">
        <v>268.14</v>
      </c>
      <c r="Y199" s="88">
        <f>$X199/$AI199</f>
        <v>8.9676371439971966E-3</v>
      </c>
      <c r="Z199" s="3">
        <v>90.763000000000005</v>
      </c>
      <c r="AA199" s="88">
        <f>$Z199/$AI199</f>
        <v>3.0354652424129844E-3</v>
      </c>
      <c r="AB199" s="56">
        <v>5059.4060000000009</v>
      </c>
      <c r="AC199" s="88">
        <f>$AB199/AI199</f>
        <v>0.16920607582666625</v>
      </c>
      <c r="AD199" s="101">
        <v>14612.873000000001</v>
      </c>
      <c r="AE199" s="88">
        <f>$AD199/$AI199</f>
        <v>0.48871090734434908</v>
      </c>
      <c r="AF199" s="3">
        <v>-26442.727999999999</v>
      </c>
      <c r="AG199" s="3">
        <v>-3458.125</v>
      </c>
      <c r="AH199" s="89">
        <f>SUM(AF199,AG199)</f>
        <v>-29900.852999999999</v>
      </c>
      <c r="AI199" s="3">
        <f>((AF199+AG199)*-1)</f>
        <v>29900.852999999999</v>
      </c>
      <c r="AJ199" s="8">
        <f>AI199/($AI$224)</f>
        <v>2.2818015204837555E-3</v>
      </c>
      <c r="AK199" s="56">
        <f>AJ199*($G$260+$G$313-$B$406)</f>
        <v>4030.4013438010779</v>
      </c>
      <c r="AL199" s="3">
        <v>11695.436008588615</v>
      </c>
      <c r="AM199" s="8">
        <f>AL199/AL$224</f>
        <v>2.4821486621199682E-3</v>
      </c>
      <c r="AN199" s="3">
        <f>(AM199*$B$406)</f>
        <v>3374.6920709169062</v>
      </c>
      <c r="AO199" s="3">
        <f>AN199+AK199</f>
        <v>7405.0934147179842</v>
      </c>
      <c r="AP199" s="113">
        <f>$AO199/$AI199</f>
        <v>0.24765492190868216</v>
      </c>
      <c r="AQ199" s="3">
        <f>AB199+AD199+AH199</f>
        <v>-10228.573999999997</v>
      </c>
      <c r="AR199" s="3">
        <f>AQ199+AO199</f>
        <v>-2823.4805852820127</v>
      </c>
      <c r="AS199" s="113">
        <f>AR199/AI199</f>
        <v>-9.4428094920302533E-2</v>
      </c>
      <c r="AT199" s="70"/>
      <c r="AU199" s="70"/>
      <c r="AV199" s="70"/>
      <c r="AW199" s="3"/>
      <c r="BA199" s="3"/>
      <c r="BB199" s="3"/>
      <c r="BC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</row>
    <row r="200" spans="1:68" ht="22.2" customHeight="1" x14ac:dyDescent="0.3">
      <c r="A200" s="2" t="s">
        <v>944</v>
      </c>
      <c r="B200" s="3">
        <v>0</v>
      </c>
      <c r="C200" s="88">
        <v>0</v>
      </c>
      <c r="D200" s="3">
        <v>90</v>
      </c>
      <c r="E200" s="88">
        <v>0</v>
      </c>
      <c r="F200" s="3">
        <v>0</v>
      </c>
      <c r="G200" s="88">
        <v>0</v>
      </c>
      <c r="H200" s="3">
        <v>0</v>
      </c>
      <c r="I200" s="88">
        <v>0</v>
      </c>
      <c r="J200" s="3">
        <v>776.73299999999995</v>
      </c>
      <c r="K200" s="88">
        <v>0</v>
      </c>
      <c r="L200" s="3"/>
      <c r="M200" s="88">
        <v>0</v>
      </c>
      <c r="N200" s="3"/>
      <c r="O200" s="88">
        <v>0</v>
      </c>
      <c r="P200" s="3"/>
      <c r="Q200" s="88">
        <v>0</v>
      </c>
      <c r="R200" s="3"/>
      <c r="S200" s="88">
        <v>0</v>
      </c>
      <c r="U200" s="88">
        <v>0</v>
      </c>
      <c r="W200" s="88">
        <v>0</v>
      </c>
      <c r="Y200" s="88">
        <v>0</v>
      </c>
      <c r="AA200" s="88">
        <v>0</v>
      </c>
      <c r="AB200" s="56">
        <v>866.73299999999995</v>
      </c>
      <c r="AC200" s="88">
        <v>0</v>
      </c>
      <c r="AD200" s="101"/>
      <c r="AE200" s="88">
        <v>0</v>
      </c>
      <c r="AF200" s="3">
        <v>0</v>
      </c>
      <c r="AG200" s="3">
        <v>0</v>
      </c>
      <c r="AH200" s="89">
        <f>SUM(AF200,AG200)</f>
        <v>0</v>
      </c>
      <c r="AI200" s="3">
        <f>((AF200+AG200)*-1)</f>
        <v>0</v>
      </c>
      <c r="AJ200" s="8">
        <f>AI200/($AI$224)</f>
        <v>0</v>
      </c>
      <c r="AK200" s="56">
        <f>AJ200*($G$260+$G$313-$B$406)</f>
        <v>0</v>
      </c>
      <c r="AL200" s="3">
        <v>0</v>
      </c>
      <c r="AM200" s="8">
        <f>AL200/AL$224</f>
        <v>0</v>
      </c>
      <c r="AN200" s="3">
        <f>(AM200*$B$406)</f>
        <v>0</v>
      </c>
      <c r="AO200" s="3">
        <f>AN200+AK200</f>
        <v>0</v>
      </c>
      <c r="AP200" s="113">
        <v>0</v>
      </c>
      <c r="AQ200" s="3">
        <f>AB200+AD200+AH200</f>
        <v>866.73299999999995</v>
      </c>
      <c r="AR200" s="3">
        <f>AQ200+AO200</f>
        <v>866.73299999999995</v>
      </c>
      <c r="AS200" s="113">
        <v>0</v>
      </c>
      <c r="AT200" s="70"/>
      <c r="AU200" s="70"/>
      <c r="AV200" s="70"/>
      <c r="AW200" s="3"/>
      <c r="BA200" s="3"/>
      <c r="BB200" s="3"/>
      <c r="BC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</row>
    <row r="201" spans="1:68" ht="22.2" customHeight="1" x14ac:dyDescent="0.3">
      <c r="A201" s="2" t="s">
        <v>945</v>
      </c>
      <c r="B201" s="3">
        <v>0</v>
      </c>
      <c r="C201" s="88">
        <f>$B201/$AI201</f>
        <v>0</v>
      </c>
      <c r="D201" s="3">
        <v>1600</v>
      </c>
      <c r="E201" s="88">
        <f>$D201/$AI201</f>
        <v>1.6834814547998594E-2</v>
      </c>
      <c r="F201" s="3">
        <v>25.23</v>
      </c>
      <c r="G201" s="88">
        <f>$F201/$AI201</f>
        <v>2.6546398190375287E-4</v>
      </c>
      <c r="H201" s="3">
        <v>0</v>
      </c>
      <c r="I201" s="88">
        <f>$H201/$AI201</f>
        <v>0</v>
      </c>
      <c r="J201" s="3">
        <v>5825.7669999999998</v>
      </c>
      <c r="K201" s="88">
        <f>$J201/$AI201</f>
        <v>6.1297316903031335E-2</v>
      </c>
      <c r="L201" s="3"/>
      <c r="M201" s="88">
        <f>$L201/$AI201</f>
        <v>0</v>
      </c>
      <c r="N201" s="3"/>
      <c r="O201" s="88">
        <f>$N201/$AI201</f>
        <v>0</v>
      </c>
      <c r="P201" s="3">
        <v>131.91999999999999</v>
      </c>
      <c r="Q201" s="88">
        <f>$P201/$AI201</f>
        <v>1.3880304594824841E-3</v>
      </c>
      <c r="R201" s="3">
        <v>220.11799999999999</v>
      </c>
      <c r="S201" s="88">
        <f>$R201/$AI201</f>
        <v>2.3160285679227218E-3</v>
      </c>
      <c r="U201" s="88">
        <f>$T201/$AI201</f>
        <v>0</v>
      </c>
      <c r="W201" s="88">
        <f>$V201/$AI201</f>
        <v>0</v>
      </c>
      <c r="X201" s="3">
        <v>288.702</v>
      </c>
      <c r="Y201" s="88">
        <f>$X201/$AI201</f>
        <v>3.0376528935226817E-3</v>
      </c>
      <c r="Z201" s="3">
        <v>116.97800000000001</v>
      </c>
      <c r="AA201" s="88">
        <f>$Z201/$AI201</f>
        <v>1.2308143351223624E-3</v>
      </c>
      <c r="AB201" s="56">
        <v>8208.7149999999983</v>
      </c>
      <c r="AC201" s="88">
        <f>$AB201/AI201</f>
        <v>8.637012168898392E-2</v>
      </c>
      <c r="AD201" s="101">
        <v>46511.872999999992</v>
      </c>
      <c r="AE201" s="88">
        <f>$AD201/$AI201</f>
        <v>0.48938672264691435</v>
      </c>
      <c r="AF201" s="3">
        <v>-82909.506999999983</v>
      </c>
      <c r="AG201" s="3">
        <v>-12131.635</v>
      </c>
      <c r="AH201" s="89">
        <f>SUM(AF201,AG201)</f>
        <v>-95041.141999999978</v>
      </c>
      <c r="AI201" s="3">
        <f>((AF201+AG201)*-1)</f>
        <v>95041.141999999978</v>
      </c>
      <c r="AJ201" s="8">
        <f>AI201/($AI$224)</f>
        <v>7.2528038689769975E-3</v>
      </c>
      <c r="AK201" s="56">
        <f>AJ201*($G$260+$G$313-$B$406)</f>
        <v>12810.803304948824</v>
      </c>
      <c r="AL201" s="3">
        <v>33906.190603414499</v>
      </c>
      <c r="AM201" s="8">
        <f>AL201/AL$224</f>
        <v>7.1959870142546522E-3</v>
      </c>
      <c r="AN201" s="3">
        <f>(AM201*$B$406)</f>
        <v>9783.5559529643033</v>
      </c>
      <c r="AO201" s="3">
        <f>AN201+AK201</f>
        <v>22594.359257913129</v>
      </c>
      <c r="AP201" s="113">
        <f>$AO201/$AI201</f>
        <v>0.2377324049611392</v>
      </c>
      <c r="AQ201" s="3">
        <f>AB201+AD201+AH201</f>
        <v>-40320.553999999989</v>
      </c>
      <c r="AR201" s="3">
        <f>AQ201+AO201</f>
        <v>-17726.19474208686</v>
      </c>
      <c r="AS201" s="113">
        <f>AR201/AI201</f>
        <v>-0.18651075070296255</v>
      </c>
      <c r="AT201" s="70"/>
      <c r="AU201" s="70"/>
      <c r="AV201" s="70"/>
      <c r="AW201" s="3"/>
      <c r="BA201" s="3"/>
      <c r="BB201" s="3"/>
      <c r="BC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</row>
    <row r="202" spans="1:68" ht="22.2" customHeight="1" x14ac:dyDescent="0.3">
      <c r="A202" s="2" t="s">
        <v>946</v>
      </c>
      <c r="B202" s="3">
        <v>0</v>
      </c>
      <c r="C202" s="88">
        <f>$B202/$AI202</f>
        <v>0</v>
      </c>
      <c r="D202" s="3">
        <v>1800</v>
      </c>
      <c r="E202" s="88">
        <f>$D202/$AI202</f>
        <v>4.2889016544604926E-2</v>
      </c>
      <c r="F202" s="3">
        <v>0</v>
      </c>
      <c r="G202" s="88">
        <f>$F202/$AI202</f>
        <v>0</v>
      </c>
      <c r="H202" s="3">
        <v>47.2</v>
      </c>
      <c r="I202" s="88">
        <f>$H202/$AI202</f>
        <v>1.1246453227251958E-3</v>
      </c>
      <c r="J202" s="3">
        <v>4004.665</v>
      </c>
      <c r="K202" s="88">
        <f>$J202/$AI202</f>
        <v>9.5420079689222378E-2</v>
      </c>
      <c r="L202" s="3"/>
      <c r="M202" s="88">
        <f>$L202/$AI202</f>
        <v>0</v>
      </c>
      <c r="N202" s="3"/>
      <c r="O202" s="88">
        <f>$N202/$AI202</f>
        <v>0</v>
      </c>
      <c r="P202" s="3">
        <v>264.72000000000003</v>
      </c>
      <c r="Q202" s="88">
        <f>$P202/$AI202</f>
        <v>6.3075446998265648E-3</v>
      </c>
      <c r="R202" s="3">
        <v>1281.758</v>
      </c>
      <c r="S202" s="88">
        <f>$R202/$AI202</f>
        <v>3.0540744482322069E-2</v>
      </c>
      <c r="U202" s="88">
        <f>$T202/$AI202</f>
        <v>0</v>
      </c>
      <c r="W202" s="88">
        <f>$V202/$AI202</f>
        <v>0</v>
      </c>
      <c r="X202" s="3">
        <v>205</v>
      </c>
      <c r="Y202" s="88">
        <f>$X202/$AI202</f>
        <v>4.8845824398022278E-3</v>
      </c>
      <c r="Z202" s="3">
        <v>56.260000000000005</v>
      </c>
      <c r="AA202" s="88">
        <f>$Z202/$AI202</f>
        <v>1.3405200393330407E-3</v>
      </c>
      <c r="AB202" s="56">
        <v>7659.6030000000001</v>
      </c>
      <c r="AC202" s="88">
        <f>$AB202/AI202</f>
        <v>0.1825071332178364</v>
      </c>
      <c r="AD202" s="101">
        <v>23110.182000000001</v>
      </c>
      <c r="AE202" s="88">
        <f>$AD202/$AI202</f>
        <v>0.55065165452601716</v>
      </c>
      <c r="AF202" s="3">
        <v>-36593.195999999996</v>
      </c>
      <c r="AG202" s="3">
        <v>-5375.5910000000003</v>
      </c>
      <c r="AH202" s="89">
        <f>SUM(AF202,AG202)</f>
        <v>-41968.786999999997</v>
      </c>
      <c r="AI202" s="3">
        <f>((AF202+AG202)*-1)</f>
        <v>41968.786999999997</v>
      </c>
      <c r="AJ202" s="8">
        <f>AI202/($AI$224)</f>
        <v>3.2027327778728879E-3</v>
      </c>
      <c r="AK202" s="56">
        <f>AJ202*($G$260+$G$313-$B$406)</f>
        <v>5657.0645500481614</v>
      </c>
      <c r="AL202" s="3">
        <v>10285.603767577555</v>
      </c>
      <c r="AM202" s="8">
        <f>AL202/AL$224</f>
        <v>2.1829367979133338E-3</v>
      </c>
      <c r="AN202" s="3">
        <f>(AM202*$B$406)</f>
        <v>2967.888110673855</v>
      </c>
      <c r="AO202" s="3">
        <f>AN202+AK202</f>
        <v>8624.9526607220159</v>
      </c>
      <c r="AP202" s="113">
        <f>$AO202/$AI202</f>
        <v>0.20550874297896712</v>
      </c>
      <c r="AQ202" s="3">
        <f>AB202+AD202+AH202</f>
        <v>-11199.001999999997</v>
      </c>
      <c r="AR202" s="3">
        <f>AQ202+AO202</f>
        <v>-2574.0493392779808</v>
      </c>
      <c r="AS202" s="113">
        <f>AR202/AI202</f>
        <v>-6.133246927717928E-2</v>
      </c>
      <c r="AT202" s="70"/>
      <c r="AU202" s="70"/>
      <c r="AV202" s="70"/>
      <c r="AW202" s="3"/>
      <c r="BA202" s="3"/>
      <c r="BB202" s="3"/>
      <c r="BC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</row>
    <row r="203" spans="1:68" ht="22.2" customHeight="1" x14ac:dyDescent="0.3">
      <c r="A203" s="2" t="s">
        <v>947</v>
      </c>
      <c r="B203" s="3">
        <v>0</v>
      </c>
      <c r="C203" s="88">
        <f>$B203/$AI203</f>
        <v>0</v>
      </c>
      <c r="D203" s="3">
        <v>400.23</v>
      </c>
      <c r="E203" s="88">
        <f>$D203/$AI203</f>
        <v>1.2004231219315323E-2</v>
      </c>
      <c r="F203" s="3">
        <v>0</v>
      </c>
      <c r="G203" s="88">
        <f>$F203/$AI203</f>
        <v>0</v>
      </c>
      <c r="H203" s="3">
        <v>0</v>
      </c>
      <c r="I203" s="88">
        <f>$H203/$AI203</f>
        <v>0</v>
      </c>
      <c r="J203" s="3">
        <v>3098.1010000000001</v>
      </c>
      <c r="K203" s="88">
        <f>$J203/$AI203</f>
        <v>9.2922371498368489E-2</v>
      </c>
      <c r="L203" s="3"/>
      <c r="M203" s="88">
        <f>$L203/$AI203</f>
        <v>0</v>
      </c>
      <c r="N203" s="3"/>
      <c r="O203" s="88">
        <f>$N203/$AI203</f>
        <v>0</v>
      </c>
      <c r="P203" s="3">
        <v>54.38</v>
      </c>
      <c r="Q203" s="88">
        <f>$P203/$AI203</f>
        <v>1.6310373877679515E-3</v>
      </c>
      <c r="R203" s="3">
        <v>64.641999999999996</v>
      </c>
      <c r="S203" s="88">
        <f>$R203/$AI203</f>
        <v>1.9388289595457138E-3</v>
      </c>
      <c r="U203" s="88">
        <f>$T203/$AI203</f>
        <v>0</v>
      </c>
      <c r="W203" s="88">
        <f>$V203/$AI203</f>
        <v>0</v>
      </c>
      <c r="X203" s="3">
        <v>643.84</v>
      </c>
      <c r="Y203" s="88">
        <f>$X203/$AI203</f>
        <v>1.9310906799200403E-2</v>
      </c>
      <c r="Z203" s="3">
        <v>77.347999999999999</v>
      </c>
      <c r="AA203" s="88">
        <f>$Z203/$AI203</f>
        <v>2.3199242344441985E-3</v>
      </c>
      <c r="AB203" s="56">
        <v>4338.5410000000002</v>
      </c>
      <c r="AC203" s="88">
        <f>$AB203/AI203</f>
        <v>0.13012730009864207</v>
      </c>
      <c r="AD203" s="101">
        <v>14235.841</v>
      </c>
      <c r="AE203" s="88">
        <f>$AD203/$AI203</f>
        <v>0.4269803037388728</v>
      </c>
      <c r="AF203" s="3">
        <v>-29120.683999999997</v>
      </c>
      <c r="AG203" s="3">
        <v>-4220.0599999999995</v>
      </c>
      <c r="AH203" s="89">
        <f>SUM(AF203,AG203)</f>
        <v>-33340.743999999999</v>
      </c>
      <c r="AI203" s="3">
        <f>((AF203+AG203)*-1)</f>
        <v>33340.743999999999</v>
      </c>
      <c r="AJ203" s="8">
        <f>AI203/($AI$224)</f>
        <v>2.5443073598355086E-3</v>
      </c>
      <c r="AK203" s="56">
        <f>AJ203*($G$260+$G$313-$B$406)</f>
        <v>4494.0717718296437</v>
      </c>
      <c r="AL203" s="3">
        <v>12452.599859749676</v>
      </c>
      <c r="AM203" s="8">
        <f>AL203/AL$224</f>
        <v>2.6428432474936889E-3</v>
      </c>
      <c r="AN203" s="3">
        <f>(AM203*$B$406)</f>
        <v>3593.1700176152353</v>
      </c>
      <c r="AO203" s="3">
        <f>AN203+AK203</f>
        <v>8087.241789444879</v>
      </c>
      <c r="AP203" s="113">
        <f>$AO203/$AI203</f>
        <v>0.24256332700448674</v>
      </c>
      <c r="AQ203" s="3">
        <f>AB203+AD203+AH203</f>
        <v>-14766.361999999997</v>
      </c>
      <c r="AR203" s="3">
        <f>AQ203+AO203</f>
        <v>-6679.1202105551183</v>
      </c>
      <c r="AS203" s="113">
        <f>AR203/AI203</f>
        <v>-0.20032906915799836</v>
      </c>
      <c r="AT203" s="70"/>
      <c r="AU203" s="70"/>
      <c r="AV203" s="70"/>
      <c r="AW203" s="3"/>
      <c r="BA203" s="3"/>
      <c r="BB203" s="3"/>
      <c r="BC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</row>
    <row r="204" spans="1:68" ht="22.2" customHeight="1" x14ac:dyDescent="0.3">
      <c r="A204" s="2" t="s">
        <v>948</v>
      </c>
      <c r="B204" s="3">
        <v>0</v>
      </c>
      <c r="C204" s="88">
        <f>$B204/$AI204</f>
        <v>0</v>
      </c>
      <c r="D204" s="3">
        <v>930</v>
      </c>
      <c r="E204" s="88">
        <f>$D204/$AI204</f>
        <v>1.1989349280903968E-2</v>
      </c>
      <c r="F204" s="3">
        <v>186.01</v>
      </c>
      <c r="G204" s="88">
        <f>$F204/$AI204</f>
        <v>2.3979987739149969E-3</v>
      </c>
      <c r="H204" s="3">
        <v>47.2</v>
      </c>
      <c r="I204" s="88">
        <f>$H204/$AI204</f>
        <v>6.0849170543942721E-4</v>
      </c>
      <c r="J204" s="3">
        <v>3069.7349999999997</v>
      </c>
      <c r="K204" s="88">
        <f>$J204/$AI204</f>
        <v>3.957432808044703E-2</v>
      </c>
      <c r="L204" s="3"/>
      <c r="M204" s="88">
        <f>$L204/$AI204</f>
        <v>0</v>
      </c>
      <c r="N204" s="3"/>
      <c r="O204" s="88">
        <f>$N204/$AI204</f>
        <v>0</v>
      </c>
      <c r="P204" s="3">
        <v>72.75</v>
      </c>
      <c r="Q204" s="88">
        <f>$P204/$AI204</f>
        <v>9.3787651632877816E-4</v>
      </c>
      <c r="R204" s="3">
        <v>216.14800000000002</v>
      </c>
      <c r="S204" s="88">
        <f>$R204/$AI204</f>
        <v>2.7865310412568075E-3</v>
      </c>
      <c r="U204" s="88">
        <f>$T204/$AI204</f>
        <v>0</v>
      </c>
      <c r="W204" s="88">
        <f>$V204/$AI204</f>
        <v>0</v>
      </c>
      <c r="X204" s="3">
        <v>108.98</v>
      </c>
      <c r="Y204" s="88">
        <f>$X204/$AI204</f>
        <v>1.4049454673472198E-3</v>
      </c>
      <c r="Z204" s="3">
        <v>522.86899999999991</v>
      </c>
      <c r="AA204" s="88">
        <f>$Z204/$AI204</f>
        <v>6.7407086765128767E-3</v>
      </c>
      <c r="AB204" s="56">
        <v>5153.6919999999991</v>
      </c>
      <c r="AC204" s="88">
        <f>$AB204/AI204</f>
        <v>6.6440229542151091E-2</v>
      </c>
      <c r="AD204" s="101">
        <v>38294.762000000002</v>
      </c>
      <c r="AE204" s="88">
        <f>$AD204/$AI204</f>
        <v>0.4936873948893426</v>
      </c>
      <c r="AF204" s="3">
        <v>-67683.644000000015</v>
      </c>
      <c r="AG204" s="3">
        <v>-9885.2029999999995</v>
      </c>
      <c r="AH204" s="89">
        <f>SUM(AF204,AG204)</f>
        <v>-77568.847000000009</v>
      </c>
      <c r="AI204" s="3">
        <f>((AF204+AG204)*-1)</f>
        <v>77568.847000000009</v>
      </c>
      <c r="AJ204" s="8">
        <f>AI204/($AI$224)</f>
        <v>5.9194536365491587E-3</v>
      </c>
      <c r="AK204" s="56">
        <f>AJ204*($G$260+$G$313-$B$406)</f>
        <v>10455.674464735179</v>
      </c>
      <c r="AL204" s="3">
        <v>25208.408216621483</v>
      </c>
      <c r="AM204" s="8">
        <f>AL204/AL$224</f>
        <v>5.3500371155989065E-3</v>
      </c>
      <c r="AN204" s="3">
        <f>(AM204*$B$406)</f>
        <v>7273.8301732912714</v>
      </c>
      <c r="AO204" s="3">
        <f>AN204+AK204</f>
        <v>17729.50463802645</v>
      </c>
      <c r="AP204" s="113">
        <f>$AO204/$AI204</f>
        <v>0.22856475664807094</v>
      </c>
      <c r="AQ204" s="3">
        <f>AB204+AD204+AH204</f>
        <v>-34120.393000000011</v>
      </c>
      <c r="AR204" s="3">
        <f>AQ204+AO204</f>
        <v>-16390.888361973561</v>
      </c>
      <c r="AS204" s="113">
        <f>AR204/AI204</f>
        <v>-0.2113076189204354</v>
      </c>
      <c r="AT204" s="70"/>
      <c r="AU204" s="70"/>
      <c r="AV204" s="70"/>
      <c r="AW204" s="3"/>
      <c r="BA204" s="3"/>
      <c r="BB204" s="3"/>
      <c r="BC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</row>
    <row r="205" spans="1:68" ht="22.2" customHeight="1" x14ac:dyDescent="0.3">
      <c r="A205" s="2" t="s">
        <v>949</v>
      </c>
      <c r="B205" s="3">
        <v>0</v>
      </c>
      <c r="C205" s="88">
        <f>$B205/$AI205</f>
        <v>0</v>
      </c>
      <c r="D205" s="3">
        <v>1875</v>
      </c>
      <c r="E205" s="88">
        <f>$D205/$AI205</f>
        <v>1.3379329780349438E-2</v>
      </c>
      <c r="F205" s="3">
        <v>0</v>
      </c>
      <c r="G205" s="88">
        <f>$F205/$AI205</f>
        <v>0</v>
      </c>
      <c r="H205" s="3">
        <v>0</v>
      </c>
      <c r="I205" s="88">
        <f>$H205/$AI205</f>
        <v>0</v>
      </c>
      <c r="J205" s="3">
        <v>5680.6319999999996</v>
      </c>
      <c r="K205" s="88">
        <f>$J205/$AI205</f>
        <v>4.0534959407363194E-2</v>
      </c>
      <c r="L205" s="3"/>
      <c r="M205" s="88">
        <f>$L205/$AI205</f>
        <v>0</v>
      </c>
      <c r="N205" s="3"/>
      <c r="O205" s="88">
        <f>$N205/$AI205</f>
        <v>0</v>
      </c>
      <c r="P205" s="3">
        <v>262.60000000000002</v>
      </c>
      <c r="Q205" s="88">
        <f>$P205/$AI205</f>
        <v>1.8738197335038734E-3</v>
      </c>
      <c r="R205" s="3">
        <v>22.020000000000003</v>
      </c>
      <c r="S205" s="88">
        <f>$R205/$AI205</f>
        <v>1.5712684894042382E-4</v>
      </c>
      <c r="U205" s="88">
        <f>$T205/$AI205</f>
        <v>0</v>
      </c>
      <c r="W205" s="88">
        <f>$V205/$AI205</f>
        <v>0</v>
      </c>
      <c r="X205" s="3">
        <v>300.95999999999998</v>
      </c>
      <c r="Y205" s="88">
        <f>$X205/$AI205</f>
        <v>2.1475429817034487E-3</v>
      </c>
      <c r="Z205" s="3">
        <v>1434.87</v>
      </c>
      <c r="AA205" s="88">
        <f>$Z205/$AI205</f>
        <v>1.0238719425029331E-2</v>
      </c>
      <c r="AB205" s="56">
        <v>9576.0819999999985</v>
      </c>
      <c r="AC205" s="88">
        <f>$AB205/AI205</f>
        <v>6.8331498176889702E-2</v>
      </c>
      <c r="AD205" s="101">
        <v>70236.793000000005</v>
      </c>
      <c r="AE205" s="88">
        <f>$AD205/$AI205</f>
        <v>0.50118464867260748</v>
      </c>
      <c r="AF205" s="3">
        <v>-121396.36</v>
      </c>
      <c r="AG205" s="3">
        <v>-18745.188999999998</v>
      </c>
      <c r="AH205" s="89">
        <f>SUM(AF205,AG205)</f>
        <v>-140141.549</v>
      </c>
      <c r="AI205" s="3">
        <f>((AF205+AG205)*-1)</f>
        <v>140141.549</v>
      </c>
      <c r="AJ205" s="8">
        <f>AI205/($AI$224)</f>
        <v>1.0694517631023729E-2</v>
      </c>
      <c r="AK205" s="56">
        <f>AJ205*($G$260+$G$313-$B$406)</f>
        <v>18889.985761007039</v>
      </c>
      <c r="AL205" s="3">
        <v>42384.712529186472</v>
      </c>
      <c r="AM205" s="8">
        <f>AL205/AL$224</f>
        <v>8.9954027726201567E-3</v>
      </c>
      <c r="AN205" s="3">
        <f>(AM205*$B$406)</f>
        <v>12230.014613845875</v>
      </c>
      <c r="AO205" s="3">
        <f>AN205+AK205</f>
        <v>31120.000374852913</v>
      </c>
      <c r="AP205" s="113">
        <f>$AO205/$AI205</f>
        <v>0.22206119881586947</v>
      </c>
      <c r="AQ205" s="3">
        <f>AB205+AD205+AH205</f>
        <v>-60328.673999999999</v>
      </c>
      <c r="AR205" s="3">
        <f>AQ205+AO205</f>
        <v>-29208.673625147087</v>
      </c>
      <c r="AS205" s="113">
        <f>AR205/AI205</f>
        <v>-0.20842265433463339</v>
      </c>
      <c r="AT205" s="70"/>
      <c r="AU205" s="70"/>
      <c r="AV205" s="70"/>
      <c r="AW205" s="3"/>
      <c r="BA205" s="3"/>
      <c r="BB205" s="3"/>
      <c r="BC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</row>
    <row r="206" spans="1:68" ht="22.2" customHeight="1" x14ac:dyDescent="0.3">
      <c r="A206" s="2" t="s">
        <v>950</v>
      </c>
      <c r="B206" s="3">
        <v>0</v>
      </c>
      <c r="C206" s="88">
        <f>$B206/$AI206</f>
        <v>0</v>
      </c>
      <c r="D206" s="3">
        <v>1100</v>
      </c>
      <c r="E206" s="88">
        <f>$D206/$AI206</f>
        <v>1.539208969726278E-2</v>
      </c>
      <c r="F206" s="3">
        <v>0</v>
      </c>
      <c r="G206" s="88">
        <f>$F206/$AI206</f>
        <v>0</v>
      </c>
      <c r="H206" s="3">
        <v>0</v>
      </c>
      <c r="I206" s="88">
        <f>$H206/$AI206</f>
        <v>0</v>
      </c>
      <c r="J206" s="3">
        <v>4984.396999999999</v>
      </c>
      <c r="K206" s="88">
        <f>$J206/$AI206</f>
        <v>6.97457142825159E-2</v>
      </c>
      <c r="L206" s="3"/>
      <c r="M206" s="88">
        <f>$L206/$AI206</f>
        <v>0</v>
      </c>
      <c r="N206" s="3"/>
      <c r="O206" s="88">
        <f>$N206/$AI206</f>
        <v>0</v>
      </c>
      <c r="P206" s="3">
        <v>750.29</v>
      </c>
      <c r="Q206" s="88">
        <f>$P206/$AI206</f>
        <v>1.0498664526326628E-2</v>
      </c>
      <c r="R206" s="3">
        <v>295.32599999999996</v>
      </c>
      <c r="S206" s="88">
        <f>$R206/$AI206</f>
        <v>4.1324402563034796E-3</v>
      </c>
      <c r="U206" s="88">
        <f>$T206/$AI206</f>
        <v>0</v>
      </c>
      <c r="W206" s="88">
        <f>$V206/$AI206</f>
        <v>0</v>
      </c>
      <c r="X206" s="3">
        <v>197.78</v>
      </c>
      <c r="Y206" s="88">
        <f>$X206/$AI206</f>
        <v>2.7674977275678478E-3</v>
      </c>
      <c r="Z206" s="3">
        <v>251.12299999999999</v>
      </c>
      <c r="AA206" s="88">
        <f>$Z206/$AI206</f>
        <v>3.5139161282233826E-3</v>
      </c>
      <c r="AB206" s="56">
        <v>7578.9160000000011</v>
      </c>
      <c r="AC206" s="88">
        <f>$AB206/AI206</f>
        <v>0.10605032261820005</v>
      </c>
      <c r="AD206" s="101">
        <v>35403.601999999992</v>
      </c>
      <c r="AE206" s="88">
        <f>$AD206/$AI206</f>
        <v>0.49539583417290167</v>
      </c>
      <c r="AF206" s="3">
        <v>-62680.393000000011</v>
      </c>
      <c r="AG206" s="3">
        <v>-8784.8870000000006</v>
      </c>
      <c r="AH206" s="89">
        <f>SUM(AF206,AG206)</f>
        <v>-71465.280000000013</v>
      </c>
      <c r="AI206" s="3">
        <f>((AF206+AG206)*-1)</f>
        <v>71465.280000000013</v>
      </c>
      <c r="AJ206" s="8">
        <f>AI206/($AI$224)</f>
        <v>5.4536766749027979E-3</v>
      </c>
      <c r="AK206" s="56">
        <f>AJ206*($G$260+$G$313-$B$406)</f>
        <v>9632.961325455175</v>
      </c>
      <c r="AL206" s="3">
        <v>29077.668566788969</v>
      </c>
      <c r="AM206" s="8">
        <f>AL206/AL$224</f>
        <v>6.1712189334045238E-3</v>
      </c>
      <c r="AN206" s="3">
        <f>(AM206*$B$406)</f>
        <v>8390.296649140013</v>
      </c>
      <c r="AO206" s="3">
        <f>AN206+AK206</f>
        <v>18023.257974595188</v>
      </c>
      <c r="AP206" s="113">
        <f>$AO206/$AI206</f>
        <v>0.25219600307443257</v>
      </c>
      <c r="AQ206" s="3">
        <f>AB206+AD206+AH206</f>
        <v>-28482.762000000017</v>
      </c>
      <c r="AR206" s="3">
        <f>AQ206+AO206</f>
        <v>-10459.504025404829</v>
      </c>
      <c r="AS206" s="113">
        <f>AR206/AI206</f>
        <v>-0.14635784013446568</v>
      </c>
      <c r="AT206" s="70"/>
      <c r="AU206" s="70"/>
      <c r="AV206" s="70"/>
      <c r="AW206" s="3"/>
      <c r="BA206" s="3"/>
      <c r="BB206" s="3"/>
      <c r="BC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</row>
    <row r="207" spans="1:68" ht="22.2" customHeight="1" x14ac:dyDescent="0.3">
      <c r="A207" s="2" t="s">
        <v>951</v>
      </c>
      <c r="B207" s="3">
        <v>0</v>
      </c>
      <c r="C207" s="88">
        <f>$B207/$AI207</f>
        <v>0</v>
      </c>
      <c r="D207" s="3">
        <v>2199.31</v>
      </c>
      <c r="E207" s="88">
        <f>$D207/$AI207</f>
        <v>3.2968702510642295E-2</v>
      </c>
      <c r="F207" s="3">
        <v>60</v>
      </c>
      <c r="G207" s="88">
        <f>$F207/$AI207</f>
        <v>8.9942852560054645E-4</v>
      </c>
      <c r="H207" s="3">
        <v>0</v>
      </c>
      <c r="I207" s="88">
        <f>$H207/$AI207</f>
        <v>0</v>
      </c>
      <c r="J207" s="3">
        <v>4441.5429999999997</v>
      </c>
      <c r="K207" s="88">
        <f>$J207/$AI207</f>
        <v>6.6580841198023794E-2</v>
      </c>
      <c r="L207" s="3">
        <v>0.12</v>
      </c>
      <c r="M207" s="88">
        <f>$L207/$AI207</f>
        <v>1.7988570512010928E-6</v>
      </c>
      <c r="N207" s="3"/>
      <c r="O207" s="88">
        <f>$N207/$AI207</f>
        <v>0</v>
      </c>
      <c r="P207" s="3"/>
      <c r="Q207" s="88">
        <f>$P207/$AI207</f>
        <v>0</v>
      </c>
      <c r="R207" s="3">
        <v>496.44700000000006</v>
      </c>
      <c r="S207" s="88">
        <f>$R207/$AI207</f>
        <v>7.4419765541469092E-3</v>
      </c>
      <c r="U207" s="88">
        <f>$T207/$AI207</f>
        <v>0</v>
      </c>
      <c r="W207" s="88">
        <f>$V207/$AI207</f>
        <v>0</v>
      </c>
      <c r="X207" s="3">
        <v>82.68</v>
      </c>
      <c r="Y207" s="88">
        <f>$X207/$AI207</f>
        <v>1.2394125082775531E-3</v>
      </c>
      <c r="Z207" s="3">
        <v>216.107</v>
      </c>
      <c r="AA207" s="88">
        <f>$Z207/$AI207</f>
        <v>3.2395466730326217E-3</v>
      </c>
      <c r="AB207" s="56">
        <v>7496.2069999999985</v>
      </c>
      <c r="AC207" s="88">
        <f>$AB207/AI207</f>
        <v>0.1123717068267749</v>
      </c>
      <c r="AD207" s="101">
        <v>31458.660000000003</v>
      </c>
      <c r="AE207" s="88">
        <f>$AD207/$AI207</f>
        <v>0.47158026968614813</v>
      </c>
      <c r="AF207" s="3">
        <v>-58517.778000000006</v>
      </c>
      <c r="AG207" s="3">
        <v>-8191.2470000000003</v>
      </c>
      <c r="AH207" s="89">
        <f>SUM(AF207,AG207)</f>
        <v>-66709.025000000009</v>
      </c>
      <c r="AI207" s="3">
        <f>((AF207+AG207)*-1)</f>
        <v>66709.025000000009</v>
      </c>
      <c r="AJ207" s="8">
        <f>AI207/($AI$224)</f>
        <v>5.0907161302384549E-3</v>
      </c>
      <c r="AK207" s="56">
        <f>AJ207*($G$260+$G$313-$B$406)</f>
        <v>8991.8553160894699</v>
      </c>
      <c r="AL207" s="3">
        <v>24566.596053819958</v>
      </c>
      <c r="AM207" s="8">
        <f>AL207/AL$224</f>
        <v>5.2138238782249218E-3</v>
      </c>
      <c r="AN207" s="3">
        <f>(AM207*$B$406)</f>
        <v>7088.6366999368975</v>
      </c>
      <c r="AO207" s="3">
        <f>AN207+AK207</f>
        <v>16080.492016026368</v>
      </c>
      <c r="AP207" s="113">
        <f>$AO207/$AI207</f>
        <v>0.24105422041509925</v>
      </c>
      <c r="AQ207" s="3">
        <f>AB207+AD207+AH207</f>
        <v>-27754.15800000001</v>
      </c>
      <c r="AR207" s="3">
        <f>AQ207+AO207</f>
        <v>-11673.665983973642</v>
      </c>
      <c r="AS207" s="113">
        <f>AR207/AI207</f>
        <v>-0.17499380307197776</v>
      </c>
      <c r="AT207" s="70"/>
      <c r="AU207" s="70"/>
      <c r="AV207" s="70"/>
      <c r="AW207" s="3"/>
      <c r="BA207" s="3"/>
      <c r="BB207" s="3"/>
      <c r="BC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</row>
    <row r="208" spans="1:68" ht="22.2" customHeight="1" x14ac:dyDescent="0.3">
      <c r="A208" s="2" t="s">
        <v>1040</v>
      </c>
      <c r="B208" s="3">
        <v>0</v>
      </c>
      <c r="C208" s="88">
        <v>0</v>
      </c>
      <c r="D208" s="3">
        <v>0</v>
      </c>
      <c r="E208" s="88">
        <v>0</v>
      </c>
      <c r="F208" s="3">
        <v>0</v>
      </c>
      <c r="G208" s="88">
        <v>0</v>
      </c>
      <c r="H208" s="3">
        <v>0</v>
      </c>
      <c r="I208" s="88">
        <v>0</v>
      </c>
      <c r="J208" s="3">
        <v>0</v>
      </c>
      <c r="K208" s="88">
        <v>0</v>
      </c>
      <c r="L208" s="3"/>
      <c r="M208" s="88">
        <v>0</v>
      </c>
      <c r="N208" s="3"/>
      <c r="O208" s="88">
        <v>0</v>
      </c>
      <c r="P208" s="3"/>
      <c r="Q208" s="88">
        <v>0</v>
      </c>
      <c r="R208" s="3"/>
      <c r="S208" s="88">
        <v>0</v>
      </c>
      <c r="U208" s="88">
        <v>0</v>
      </c>
      <c r="W208" s="88">
        <v>0</v>
      </c>
      <c r="Y208" s="88">
        <v>0</v>
      </c>
      <c r="Z208" s="3">
        <v>168.98</v>
      </c>
      <c r="AA208" s="88">
        <v>0</v>
      </c>
      <c r="AB208" s="56">
        <v>168.98</v>
      </c>
      <c r="AC208" s="88">
        <v>0</v>
      </c>
      <c r="AD208" s="101"/>
      <c r="AE208" s="88">
        <v>0</v>
      </c>
      <c r="AF208" s="3">
        <v>0</v>
      </c>
      <c r="AG208" s="3">
        <v>0</v>
      </c>
      <c r="AH208" s="89">
        <f>SUM(AF208,AG208)</f>
        <v>0</v>
      </c>
      <c r="AI208" s="3">
        <f>((AF208+AG208)*-1)</f>
        <v>0</v>
      </c>
      <c r="AJ208" s="8">
        <f>AI208/($AI$224)</f>
        <v>0</v>
      </c>
      <c r="AK208" s="56">
        <f>AJ208*($G$260+$G$313-$B$406)</f>
        <v>0</v>
      </c>
      <c r="AL208" s="3">
        <v>0</v>
      </c>
      <c r="AM208" s="8">
        <f>AL208/AL$224</f>
        <v>0</v>
      </c>
      <c r="AN208" s="3">
        <f>(AM208*$B$406)</f>
        <v>0</v>
      </c>
      <c r="AO208" s="3">
        <f>AN208+AK208</f>
        <v>0</v>
      </c>
      <c r="AP208" s="113">
        <v>0</v>
      </c>
      <c r="AQ208" s="3">
        <f>AB208+AD208+AH208</f>
        <v>168.98</v>
      </c>
      <c r="AR208" s="3">
        <f>AQ208+AO208</f>
        <v>168.98</v>
      </c>
      <c r="AS208" s="113">
        <v>0</v>
      </c>
      <c r="AT208" s="70"/>
      <c r="AU208" s="70"/>
      <c r="AV208" s="70"/>
      <c r="AW208" s="3"/>
      <c r="BA208" s="3"/>
      <c r="BB208" s="3"/>
      <c r="BC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</row>
    <row r="209" spans="1:68" ht="22.2" customHeight="1" x14ac:dyDescent="0.3">
      <c r="A209" s="2" t="s">
        <v>952</v>
      </c>
      <c r="B209" s="3">
        <v>0</v>
      </c>
      <c r="C209" s="88">
        <f>$B209/$AI209</f>
        <v>0</v>
      </c>
      <c r="D209" s="3">
        <v>800</v>
      </c>
      <c r="E209" s="88">
        <f>$D209/$AI209</f>
        <v>1.6345437613438617E-2</v>
      </c>
      <c r="F209" s="3">
        <v>0</v>
      </c>
      <c r="G209" s="88">
        <f>$F209/$AI209</f>
        <v>0</v>
      </c>
      <c r="H209" s="3">
        <v>0</v>
      </c>
      <c r="I209" s="88">
        <f>$H209/$AI209</f>
        <v>0</v>
      </c>
      <c r="J209" s="3">
        <v>2900.0039999999999</v>
      </c>
      <c r="K209" s="88">
        <f>$J209/$AI209</f>
        <v>5.9252293075903045E-2</v>
      </c>
      <c r="L209" s="3"/>
      <c r="M209" s="88">
        <f>$L209/$AI209</f>
        <v>0</v>
      </c>
      <c r="N209" s="3">
        <v>85</v>
      </c>
      <c r="O209" s="88">
        <f>$N209/$AI209</f>
        <v>1.7367027464278528E-3</v>
      </c>
      <c r="P209" s="3"/>
      <c r="Q209" s="88">
        <f>$P209/$AI209</f>
        <v>0</v>
      </c>
      <c r="R209" s="3">
        <v>111.10600000000001</v>
      </c>
      <c r="S209" s="88">
        <f>$R209/$AI209</f>
        <v>2.2700952393483885E-3</v>
      </c>
      <c r="U209" s="88">
        <f>$T209/$AI209</f>
        <v>0</v>
      </c>
      <c r="W209" s="88">
        <f>$V209/$AI209</f>
        <v>0</v>
      </c>
      <c r="X209" s="3">
        <v>101.44</v>
      </c>
      <c r="Y209" s="88">
        <f>$X209/$AI209</f>
        <v>2.0726014893840163E-3</v>
      </c>
      <c r="Z209" s="3">
        <v>43.152999999999999</v>
      </c>
      <c r="AA209" s="88">
        <f>$Z209/$AI209</f>
        <v>8.816933366658957E-4</v>
      </c>
      <c r="AB209" s="56">
        <v>4040.7029999999991</v>
      </c>
      <c r="AC209" s="88">
        <f>$AB209/AI209</f>
        <v>8.2558823501167791E-2</v>
      </c>
      <c r="AD209" s="101">
        <v>23254.953000000001</v>
      </c>
      <c r="AE209" s="88">
        <f>$AD209/$AI209</f>
        <v>0.47514047933118397</v>
      </c>
      <c r="AF209" s="3">
        <v>-42806.013999999996</v>
      </c>
      <c r="AG209" s="3">
        <v>-6137.3070000000007</v>
      </c>
      <c r="AH209" s="89">
        <f>SUM(AF209,AG209)</f>
        <v>-48943.320999999996</v>
      </c>
      <c r="AI209" s="3">
        <f>((AF209+AG209)*-1)</f>
        <v>48943.320999999996</v>
      </c>
      <c r="AJ209" s="8">
        <f>AI209/($AI$224)</f>
        <v>3.7349751953673202E-3</v>
      </c>
      <c r="AK209" s="56">
        <f>AJ209*($G$260+$G$313-$B$406)</f>
        <v>6597.177235327953</v>
      </c>
      <c r="AL209" s="3">
        <v>15445.215878118113</v>
      </c>
      <c r="AM209" s="8">
        <f>AL209/AL$224</f>
        <v>3.2779728690637711E-3</v>
      </c>
      <c r="AN209" s="3">
        <f>(AM209*$B$406)</f>
        <v>4456.6827195846627</v>
      </c>
      <c r="AO209" s="3">
        <f>AN209+AK209</f>
        <v>11053.859954912616</v>
      </c>
      <c r="AP209" s="113">
        <f>$AO209/$AI209</f>
        <v>0.22585022285088943</v>
      </c>
      <c r="AQ209" s="3">
        <f>AB209+AD209+AH209</f>
        <v>-21647.664999999997</v>
      </c>
      <c r="AR209" s="3">
        <f>AQ209+AO209</f>
        <v>-10593.805045087382</v>
      </c>
      <c r="AS209" s="113">
        <f>AR209/AI209</f>
        <v>-0.21645047431675882</v>
      </c>
      <c r="AT209" s="70"/>
      <c r="AU209" s="70"/>
      <c r="AV209" s="70"/>
      <c r="AW209" s="3"/>
      <c r="BA209" s="3"/>
      <c r="BB209" s="3"/>
      <c r="BC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</row>
    <row r="210" spans="1:68" ht="22.2" customHeight="1" x14ac:dyDescent="0.3">
      <c r="A210" s="2" t="s">
        <v>953</v>
      </c>
      <c r="B210" s="3">
        <v>0</v>
      </c>
      <c r="C210" s="88">
        <f>$B210/$AI210</f>
        <v>0</v>
      </c>
      <c r="D210" s="3">
        <v>1400</v>
      </c>
      <c r="E210" s="88">
        <f>$D210/$AI210</f>
        <v>1.7937685352344954E-2</v>
      </c>
      <c r="F210" s="3">
        <v>0</v>
      </c>
      <c r="G210" s="88">
        <f>$F210/$AI210</f>
        <v>0</v>
      </c>
      <c r="H210" s="3">
        <v>0</v>
      </c>
      <c r="I210" s="88">
        <f>$H210/$AI210</f>
        <v>0</v>
      </c>
      <c r="J210" s="3">
        <v>3631.9180000000001</v>
      </c>
      <c r="K210" s="88">
        <f>$J210/$AI210</f>
        <v>4.6534430221084271E-2</v>
      </c>
      <c r="L210" s="3"/>
      <c r="M210" s="88">
        <f>$L210/$AI210</f>
        <v>0</v>
      </c>
      <c r="N210" s="3"/>
      <c r="O210" s="88">
        <f>$N210/$AI210</f>
        <v>0</v>
      </c>
      <c r="P210" s="3">
        <v>203.99</v>
      </c>
      <c r="Q210" s="88">
        <f>$P210/$AI210</f>
        <v>2.6136488821606051E-3</v>
      </c>
      <c r="R210" s="3">
        <v>85.962999999999994</v>
      </c>
      <c r="S210" s="88">
        <f>$R210/$AI210</f>
        <v>1.1014123185311636E-3</v>
      </c>
      <c r="U210" s="88">
        <f>$T210/$AI210</f>
        <v>0</v>
      </c>
      <c r="W210" s="88">
        <f>$V210/$AI210</f>
        <v>0</v>
      </c>
      <c r="X210" s="3">
        <v>225.37</v>
      </c>
      <c r="Y210" s="88">
        <f>$X210/$AI210</f>
        <v>2.8875829627557016E-3</v>
      </c>
      <c r="Z210" s="3">
        <v>51.427999999999997</v>
      </c>
      <c r="AA210" s="88">
        <f>$Z210/$AI210</f>
        <v>6.5892805878599726E-4</v>
      </c>
      <c r="AB210" s="56">
        <v>5598.6689999999999</v>
      </c>
      <c r="AC210" s="88">
        <f>$AB210/AI210</f>
        <v>7.1733687795662693E-2</v>
      </c>
      <c r="AD210" s="101">
        <v>36214.627</v>
      </c>
      <c r="AE210" s="88">
        <f>$AD210/$AI210</f>
        <v>0.4640047030560972</v>
      </c>
      <c r="AF210" s="3">
        <v>-68211.579000000012</v>
      </c>
      <c r="AG210" s="3">
        <v>-9836.3950000000004</v>
      </c>
      <c r="AH210" s="89">
        <f>SUM(AF210,AG210)</f>
        <v>-78047.974000000017</v>
      </c>
      <c r="AI210" s="3">
        <f>((AF210+AG210)*-1)</f>
        <v>78047.974000000017</v>
      </c>
      <c r="AJ210" s="8">
        <f>AI210/($AI$224)</f>
        <v>5.9560168983766671E-3</v>
      </c>
      <c r="AK210" s="56">
        <f>AJ210*($G$260+$G$313-$B$406)</f>
        <v>10520.257040511577</v>
      </c>
      <c r="AL210" s="3">
        <v>24486.75028287376</v>
      </c>
      <c r="AM210" s="8">
        <f>AL210/AL$224</f>
        <v>5.1968780308546741E-3</v>
      </c>
      <c r="AN210" s="3">
        <f>(AM210*$B$406)</f>
        <v>7065.5973801620294</v>
      </c>
      <c r="AO210" s="3">
        <f>AN210+AK210</f>
        <v>17585.854420673604</v>
      </c>
      <c r="AP210" s="113">
        <f>$AO210/$AI210</f>
        <v>0.22532108803584833</v>
      </c>
      <c r="AQ210" s="3">
        <f>AB210+AD210+AH210</f>
        <v>-36234.678000000014</v>
      </c>
      <c r="AR210" s="3">
        <f>AQ210+AO210</f>
        <v>-18648.82357932641</v>
      </c>
      <c r="AS210" s="113">
        <f>AR210/AI210</f>
        <v>-0.23894052111239181</v>
      </c>
      <c r="AT210" s="70"/>
      <c r="AU210" s="70"/>
      <c r="AV210" s="70"/>
      <c r="AW210" s="3"/>
      <c r="BA210" s="3"/>
      <c r="BB210" s="3"/>
      <c r="BC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</row>
    <row r="211" spans="1:68" ht="22.2" customHeight="1" x14ac:dyDescent="0.3">
      <c r="A211" s="2" t="s">
        <v>954</v>
      </c>
      <c r="B211" s="3">
        <v>0</v>
      </c>
      <c r="C211" s="88">
        <f>$B211/$AI211</f>
        <v>0</v>
      </c>
      <c r="D211" s="3">
        <v>0</v>
      </c>
      <c r="E211" s="88">
        <f>$D211/$AI211</f>
        <v>0</v>
      </c>
      <c r="F211" s="3">
        <v>0</v>
      </c>
      <c r="G211" s="88">
        <f>$F211/$AI211</f>
        <v>0</v>
      </c>
      <c r="H211" s="3">
        <v>0</v>
      </c>
      <c r="I211" s="88">
        <f>$H211/$AI211</f>
        <v>0</v>
      </c>
      <c r="J211" s="3">
        <v>3972.68</v>
      </c>
      <c r="K211" s="88">
        <f>$J211/$AI211</f>
        <v>7.3248232423691439E-2</v>
      </c>
      <c r="L211" s="3"/>
      <c r="M211" s="88">
        <f>$L211/$AI211</f>
        <v>0</v>
      </c>
      <c r="N211" s="3"/>
      <c r="O211" s="88">
        <f>$N211/$AI211</f>
        <v>0</v>
      </c>
      <c r="P211" s="3">
        <v>92.26</v>
      </c>
      <c r="Q211" s="88">
        <f>$P211/$AI211</f>
        <v>1.7010889181635E-3</v>
      </c>
      <c r="R211" s="3">
        <v>1734.6830000000002</v>
      </c>
      <c r="S211" s="88">
        <f>$R211/$AI211</f>
        <v>3.1984067069440868E-2</v>
      </c>
      <c r="U211" s="88">
        <f>$T211/$AI211</f>
        <v>0</v>
      </c>
      <c r="W211" s="88">
        <f>$V211/$AI211</f>
        <v>0</v>
      </c>
      <c r="X211" s="3">
        <v>317.58199999999999</v>
      </c>
      <c r="Y211" s="88">
        <f>$X211/$AI211</f>
        <v>5.8555736051181511E-3</v>
      </c>
      <c r="Z211" s="3">
        <v>583.33699999999999</v>
      </c>
      <c r="AA211" s="88">
        <f>$Z211/$AI211</f>
        <v>1.0755561524547382E-2</v>
      </c>
      <c r="AB211" s="56">
        <v>6700.5420000000022</v>
      </c>
      <c r="AC211" s="88">
        <f>$AB211/AI211</f>
        <v>0.12354452354096138</v>
      </c>
      <c r="AD211" s="101">
        <v>23043.811000000002</v>
      </c>
      <c r="AE211" s="88">
        <f>$AD211/$AI211</f>
        <v>0.42488154697977626</v>
      </c>
      <c r="AF211" s="3">
        <v>-47500.016999999993</v>
      </c>
      <c r="AG211" s="3">
        <v>-6735.8310000000001</v>
      </c>
      <c r="AH211" s="89">
        <f>SUM(AF211,AG211)</f>
        <v>-54235.847999999991</v>
      </c>
      <c r="AI211" s="3">
        <f>((AF211+AG211)*-1)</f>
        <v>54235.847999999991</v>
      </c>
      <c r="AJ211" s="8">
        <f>AI211/($AI$224)</f>
        <v>4.1388598656742614E-3</v>
      </c>
      <c r="AK211" s="56">
        <f>AJ211*($G$260+$G$313-$B$406)</f>
        <v>7310.5685199479421</v>
      </c>
      <c r="AL211" s="3">
        <v>27488.563162986869</v>
      </c>
      <c r="AM211" s="8">
        <f>AL211/AL$224</f>
        <v>5.8339595230568969E-3</v>
      </c>
      <c r="AN211" s="3">
        <f>(AM211*$B$406)</f>
        <v>7931.7638161508021</v>
      </c>
      <c r="AO211" s="3">
        <f>AN211+AK211</f>
        <v>15242.332336098745</v>
      </c>
      <c r="AP211" s="113">
        <f>$AO211/$AI211</f>
        <v>0.28103796470737857</v>
      </c>
      <c r="AQ211" s="3">
        <f>AB211+AD211+AH211</f>
        <v>-24491.494999999988</v>
      </c>
      <c r="AR211" s="3">
        <f>AQ211+AO211</f>
        <v>-9249.1626639012429</v>
      </c>
      <c r="AS211" s="113">
        <f>AR211/AI211</f>
        <v>-0.17053596477188379</v>
      </c>
      <c r="AT211" s="70"/>
      <c r="AU211" s="70"/>
      <c r="AV211" s="70"/>
      <c r="AW211" s="3"/>
      <c r="BA211" s="3"/>
      <c r="BB211" s="3"/>
      <c r="BC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</row>
    <row r="212" spans="1:68" ht="22.2" customHeight="1" x14ac:dyDescent="0.3">
      <c r="A212" s="2" t="s">
        <v>955</v>
      </c>
      <c r="B212" s="3">
        <v>0</v>
      </c>
      <c r="C212" s="88">
        <f>$B212/$AI212</f>
        <v>0</v>
      </c>
      <c r="D212" s="3">
        <v>1350</v>
      </c>
      <c r="E212" s="88">
        <f>$D212/$AI212</f>
        <v>3.6343971949776295E-2</v>
      </c>
      <c r="F212" s="3">
        <v>0</v>
      </c>
      <c r="G212" s="88">
        <f>$F212/$AI212</f>
        <v>0</v>
      </c>
      <c r="H212" s="3">
        <v>0</v>
      </c>
      <c r="I212" s="88">
        <f>$H212/$AI212</f>
        <v>0</v>
      </c>
      <c r="J212" s="3">
        <v>9291.0889999999999</v>
      </c>
      <c r="K212" s="88">
        <f>$J212/$AI212</f>
        <v>0.2501296874065741</v>
      </c>
      <c r="L212" s="3"/>
      <c r="M212" s="88">
        <f>$L212/$AI212</f>
        <v>0</v>
      </c>
      <c r="N212" s="3"/>
      <c r="O212" s="88">
        <f>$N212/$AI212</f>
        <v>0</v>
      </c>
      <c r="P212" s="3">
        <v>113.83</v>
      </c>
      <c r="Q212" s="88">
        <f>$P212/$AI212</f>
        <v>3.0644698718837299E-3</v>
      </c>
      <c r="R212" s="3">
        <v>2311.2809999999999</v>
      </c>
      <c r="S212" s="88">
        <f>$R212/$AI212</f>
        <v>6.2223060616334001E-2</v>
      </c>
      <c r="U212" s="88">
        <f>$T212/$AI212</f>
        <v>0</v>
      </c>
      <c r="W212" s="88">
        <f>$V212/$AI212</f>
        <v>0</v>
      </c>
      <c r="X212" s="3">
        <v>309.91200000000003</v>
      </c>
      <c r="Y212" s="88">
        <f>$X212/$AI212</f>
        <v>8.3432837295548679E-3</v>
      </c>
      <c r="Z212" s="3">
        <v>28.157999999999998</v>
      </c>
      <c r="AA212" s="88">
        <f>$Z212/$AI212</f>
        <v>7.5805449049022274E-4</v>
      </c>
      <c r="AB212" s="56">
        <v>13404.269999999997</v>
      </c>
      <c r="AC212" s="88">
        <f>$AB212/AI212</f>
        <v>0.36086252806461316</v>
      </c>
      <c r="AD212" s="101">
        <v>20089.487999999998</v>
      </c>
      <c r="AE212" s="88">
        <f>$AD212/$AI212</f>
        <v>0.54083836174619804</v>
      </c>
      <c r="AF212" s="3">
        <v>-32516.173000000003</v>
      </c>
      <c r="AG212" s="3">
        <v>-4628.9139999999998</v>
      </c>
      <c r="AH212" s="89">
        <f>SUM(AF212,AG212)</f>
        <v>-37145.087</v>
      </c>
      <c r="AI212" s="3">
        <f>((AF212+AG212)*-1)</f>
        <v>37145.087</v>
      </c>
      <c r="AJ212" s="8">
        <f>AI212/($AI$224)</f>
        <v>2.8346253531663923E-3</v>
      </c>
      <c r="AK212" s="56">
        <f>AJ212*($G$260+$G$313-$B$406)</f>
        <v>5006.8674816871599</v>
      </c>
      <c r="AL212" s="3">
        <v>14632.935071358103</v>
      </c>
      <c r="AM212" s="8">
        <f>AL212/AL$224</f>
        <v>3.1055806883631561E-3</v>
      </c>
      <c r="AN212" s="3">
        <f>(AM212*$B$406)</f>
        <v>4222.3008978280404</v>
      </c>
      <c r="AO212" s="3">
        <f>AN212+AK212</f>
        <v>9229.1683795152003</v>
      </c>
      <c r="AP212" s="113">
        <f>$AO212/$AI212</f>
        <v>0.24846269385545389</v>
      </c>
      <c r="AQ212" s="3">
        <f>AB212+AD212+AH212</f>
        <v>-3651.3290000000052</v>
      </c>
      <c r="AR212" s="3">
        <f>AQ212+AO212</f>
        <v>5577.8393795151951</v>
      </c>
      <c r="AS212" s="113">
        <f>AR212/AI212</f>
        <v>0.15016358366626509</v>
      </c>
      <c r="AT212" s="70"/>
      <c r="AU212" s="70"/>
      <c r="AV212" s="70"/>
      <c r="AW212" s="3"/>
      <c r="BA212" s="3"/>
      <c r="BB212" s="3"/>
      <c r="BC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</row>
    <row r="213" spans="1:68" ht="22.2" customHeight="1" x14ac:dyDescent="0.3">
      <c r="A213" s="2" t="s">
        <v>956</v>
      </c>
      <c r="B213" s="3">
        <v>0</v>
      </c>
      <c r="C213" s="88">
        <f>$B213/$AI213</f>
        <v>0</v>
      </c>
      <c r="D213" s="3">
        <v>2710</v>
      </c>
      <c r="E213" s="88">
        <f>$D213/$AI213</f>
        <v>9.2670963325674864E-3</v>
      </c>
      <c r="F213" s="3">
        <v>0</v>
      </c>
      <c r="G213" s="88">
        <f>$F213/$AI213</f>
        <v>0</v>
      </c>
      <c r="H213" s="3">
        <v>0</v>
      </c>
      <c r="I213" s="88">
        <f>$H213/$AI213</f>
        <v>0</v>
      </c>
      <c r="J213" s="3">
        <v>8602.0779999999995</v>
      </c>
      <c r="K213" s="88">
        <f>$J213/$AI213</f>
        <v>2.9415603500464741E-2</v>
      </c>
      <c r="L213" s="3"/>
      <c r="M213" s="88">
        <f>$L213/$AI213</f>
        <v>0</v>
      </c>
      <c r="N213" s="3"/>
      <c r="O213" s="88">
        <f>$N213/$AI213</f>
        <v>0</v>
      </c>
      <c r="P213" s="3">
        <v>392.51</v>
      </c>
      <c r="Q213" s="88">
        <f>$P213/$AI213</f>
        <v>1.3422243474155216E-3</v>
      </c>
      <c r="R213" s="3"/>
      <c r="S213" s="88">
        <f>$R213/$AI213</f>
        <v>0</v>
      </c>
      <c r="U213" s="88">
        <f>$T213/$AI213</f>
        <v>0</v>
      </c>
      <c r="W213" s="88">
        <f>$V213/$AI213</f>
        <v>0</v>
      </c>
      <c r="X213" s="3">
        <v>337.77</v>
      </c>
      <c r="Y213" s="88">
        <f>$X213/$AI213</f>
        <v>1.1550358406831438E-3</v>
      </c>
      <c r="Z213" s="3">
        <v>133.66900000000001</v>
      </c>
      <c r="AA213" s="88">
        <f>$Z213/$AI213</f>
        <v>4.5709354231659164E-4</v>
      </c>
      <c r="AB213" s="56">
        <v>12176.026999999998</v>
      </c>
      <c r="AC213" s="88">
        <f>$AB213/AI213</f>
        <v>4.1637053563447483E-2</v>
      </c>
      <c r="AD213" s="101">
        <v>157609.179</v>
      </c>
      <c r="AE213" s="88">
        <f>$AD213/$AI213</f>
        <v>0.53895920468260972</v>
      </c>
      <c r="AF213" s="3">
        <v>-256657.58899999998</v>
      </c>
      <c r="AG213" s="3">
        <v>-35774.894999999997</v>
      </c>
      <c r="AH213" s="89">
        <f>SUM(AF213,AG213)</f>
        <v>-292432.484</v>
      </c>
      <c r="AI213" s="3">
        <f>((AF213+AG213)*-1)</f>
        <v>292432.484</v>
      </c>
      <c r="AJ213" s="8">
        <f>AI213/($AI$224)</f>
        <v>2.2316182305235289E-2</v>
      </c>
      <c r="AK213" s="56">
        <f>AJ213*($G$260+$G$313-$B$406)</f>
        <v>39417.613821407947</v>
      </c>
      <c r="AL213" s="3">
        <v>162761.2824986566</v>
      </c>
      <c r="AM213" s="8">
        <f>AL213/AL$224</f>
        <v>3.454319268664225E-2</v>
      </c>
      <c r="AN213" s="3">
        <f>(AM213*$B$406)</f>
        <v>46964.40638015751</v>
      </c>
      <c r="AO213" s="3">
        <f>AN213+AK213</f>
        <v>86382.020201565465</v>
      </c>
      <c r="AP213" s="113">
        <f>$AO213/$AI213</f>
        <v>0.29539132937627227</v>
      </c>
      <c r="AQ213" s="3">
        <f>AB213+AD213+AH213</f>
        <v>-122647.27799999999</v>
      </c>
      <c r="AR213" s="3">
        <f>AQ213+AO213</f>
        <v>-36265.257798434526</v>
      </c>
      <c r="AS213" s="113">
        <f>AR213/AI213</f>
        <v>-0.12401241237767048</v>
      </c>
      <c r="AT213" s="70"/>
      <c r="AU213" s="70"/>
      <c r="AV213" s="70"/>
      <c r="AW213" s="3"/>
      <c r="BA213" s="3"/>
      <c r="BB213" s="3"/>
      <c r="BC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</row>
    <row r="214" spans="1:68" ht="22.2" customHeight="1" x14ac:dyDescent="0.3">
      <c r="A214" s="2" t="s">
        <v>957</v>
      </c>
      <c r="B214" s="3">
        <v>0</v>
      </c>
      <c r="C214" s="88">
        <f>$B214/$AI214</f>
        <v>0</v>
      </c>
      <c r="D214" s="3">
        <v>600</v>
      </c>
      <c r="E214" s="88">
        <f>$D214/$AI214</f>
        <v>1.3771631100970294E-2</v>
      </c>
      <c r="F214" s="3">
        <v>0</v>
      </c>
      <c r="G214" s="88">
        <f>$F214/$AI214</f>
        <v>0</v>
      </c>
      <c r="H214" s="3">
        <v>0</v>
      </c>
      <c r="I214" s="88">
        <f>$H214/$AI214</f>
        <v>0</v>
      </c>
      <c r="J214" s="3">
        <v>3308.3710000000001</v>
      </c>
      <c r="K214" s="88">
        <f>$J214/$AI214</f>
        <v>7.593610826191366E-2</v>
      </c>
      <c r="L214" s="3"/>
      <c r="M214" s="88">
        <f>$L214/$AI214</f>
        <v>0</v>
      </c>
      <c r="N214" s="3">
        <v>250</v>
      </c>
      <c r="O214" s="88">
        <f>$N214/$AI214</f>
        <v>5.7381796254042895E-3</v>
      </c>
      <c r="P214" s="3">
        <v>11.37</v>
      </c>
      <c r="Q214" s="88">
        <f>$P214/$AI214</f>
        <v>2.6097240936338704E-4</v>
      </c>
      <c r="R214" s="3">
        <v>329.233</v>
      </c>
      <c r="S214" s="88">
        <f>$R214/$AI214</f>
        <v>7.5567923704429217E-3</v>
      </c>
      <c r="U214" s="88">
        <f>$T214/$AI214</f>
        <v>0</v>
      </c>
      <c r="W214" s="88">
        <f>$V214/$AI214</f>
        <v>0</v>
      </c>
      <c r="X214" s="3">
        <v>204.26</v>
      </c>
      <c r="Y214" s="88">
        <f>$X214/$AI214</f>
        <v>4.6883222811403202E-3</v>
      </c>
      <c r="Z214" s="3">
        <v>161.19400000000002</v>
      </c>
      <c r="AA214" s="88">
        <f>$Z214/$AI214</f>
        <v>3.6998405061496762E-3</v>
      </c>
      <c r="AB214" s="56">
        <v>4864.4279999999999</v>
      </c>
      <c r="AC214" s="88">
        <f>$AB214/AI214</f>
        <v>0.11165184655538454</v>
      </c>
      <c r="AD214" s="101">
        <v>19767.578000000005</v>
      </c>
      <c r="AE214" s="88">
        <f>$AD214/$AI214</f>
        <v>0.45371965329276037</v>
      </c>
      <c r="AF214" s="3">
        <v>-38069.936000000002</v>
      </c>
      <c r="AG214" s="3">
        <v>-5497.8879999999999</v>
      </c>
      <c r="AH214" s="89">
        <f>SUM(AF214,AG214)</f>
        <v>-43567.824000000001</v>
      </c>
      <c r="AI214" s="3">
        <f>((AF214+AG214)*-1)</f>
        <v>43567.824000000001</v>
      </c>
      <c r="AJ214" s="8">
        <f>AI214/($AI$224)</f>
        <v>3.324758897258505E-3</v>
      </c>
      <c r="AK214" s="56">
        <f>AJ214*($G$260+$G$313-$B$406)</f>
        <v>5872.6022430225948</v>
      </c>
      <c r="AL214" s="3">
        <v>16962.135536750891</v>
      </c>
      <c r="AM214" s="8">
        <f>AL214/AL$224</f>
        <v>3.5999121365227881E-3</v>
      </c>
      <c r="AN214" s="3">
        <f>(AM214*$B$406)</f>
        <v>4894.3865162149668</v>
      </c>
      <c r="AO214" s="3">
        <f>AN214+AK214</f>
        <v>10766.988759237562</v>
      </c>
      <c r="AP214" s="113">
        <f>$AO214/$AI214</f>
        <v>0.24713166210085594</v>
      </c>
      <c r="AQ214" s="3">
        <f>AB214+AD214+AH214</f>
        <v>-18935.817999999996</v>
      </c>
      <c r="AR214" s="3">
        <f>AQ214+AO214</f>
        <v>-8168.829240762434</v>
      </c>
      <c r="AS214" s="113">
        <f>AR214/AI214</f>
        <v>-0.18749683805099915</v>
      </c>
      <c r="AT214" s="70"/>
      <c r="AU214" s="70"/>
      <c r="AV214" s="70"/>
      <c r="AW214" s="3"/>
      <c r="BA214" s="3"/>
      <c r="BB214" s="3"/>
      <c r="BC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</row>
    <row r="215" spans="1:68" ht="22.2" customHeight="1" x14ac:dyDescent="0.3">
      <c r="A215" s="2" t="s">
        <v>958</v>
      </c>
      <c r="B215" s="3">
        <v>0</v>
      </c>
      <c r="C215" s="88">
        <f>$B215/$AI215</f>
        <v>0</v>
      </c>
      <c r="D215" s="3">
        <v>1450</v>
      </c>
      <c r="E215" s="88">
        <f>$D215/$AI215</f>
        <v>1.7883949840774876E-2</v>
      </c>
      <c r="F215" s="3">
        <v>0</v>
      </c>
      <c r="G215" s="88">
        <f>$F215/$AI215</f>
        <v>0</v>
      </c>
      <c r="H215" s="3">
        <v>0</v>
      </c>
      <c r="I215" s="88">
        <f>$H215/$AI215</f>
        <v>0</v>
      </c>
      <c r="J215" s="3">
        <v>4963.3519999999999</v>
      </c>
      <c r="K215" s="88">
        <f>$J215/$AI215</f>
        <v>6.1216784972489419E-2</v>
      </c>
      <c r="L215" s="3"/>
      <c r="M215" s="88">
        <f>$L215/$AI215</f>
        <v>0</v>
      </c>
      <c r="N215" s="3"/>
      <c r="O215" s="88">
        <f>$N215/$AI215</f>
        <v>0</v>
      </c>
      <c r="P215" s="3">
        <v>167.56</v>
      </c>
      <c r="Q215" s="88">
        <f>$P215/$AI215</f>
        <v>2.066644576082923E-3</v>
      </c>
      <c r="R215" s="3">
        <v>396.28999999999996</v>
      </c>
      <c r="S215" s="88">
        <f>$R215/$AI215</f>
        <v>4.8877451602763276E-3</v>
      </c>
      <c r="U215" s="88">
        <f>$T215/$AI215</f>
        <v>0</v>
      </c>
      <c r="W215" s="88">
        <f>$V215/$AI215</f>
        <v>0</v>
      </c>
      <c r="X215" s="3">
        <v>200.91</v>
      </c>
      <c r="Y215" s="88">
        <f>$X215/$AI215</f>
        <v>2.477975422420745E-3</v>
      </c>
      <c r="Z215" s="3">
        <v>54.433999999999997</v>
      </c>
      <c r="AA215" s="88">
        <f>$Z215/$AI215</f>
        <v>6.7137581078119965E-4</v>
      </c>
      <c r="AB215" s="56">
        <v>7232.5460000000012</v>
      </c>
      <c r="AC215" s="88">
        <f>$AB215/AI215</f>
        <v>8.9204475782825504E-2</v>
      </c>
      <c r="AD215" s="101">
        <v>42169.816000000013</v>
      </c>
      <c r="AE215" s="88">
        <f>$AD215/$AI215</f>
        <v>0.5201123269922111</v>
      </c>
      <c r="AF215" s="3">
        <v>-71729.081000000006</v>
      </c>
      <c r="AG215" s="3">
        <v>-9349.2049999999999</v>
      </c>
      <c r="AH215" s="89">
        <f>SUM(AF215,AG215)</f>
        <v>-81078.286000000007</v>
      </c>
      <c r="AI215" s="3">
        <f>((AF215+AG215)*-1)</f>
        <v>81078.286000000007</v>
      </c>
      <c r="AJ215" s="8">
        <f>AI215/($AI$224)</f>
        <v>6.1872668406154439E-3</v>
      </c>
      <c r="AK215" s="56">
        <f>AJ215*($G$260+$G$313-$B$406)</f>
        <v>10928.719419726527</v>
      </c>
      <c r="AL215" s="3">
        <v>28154.276900373465</v>
      </c>
      <c r="AM215" s="8">
        <f>AL215/AL$224</f>
        <v>5.9752454453085831E-3</v>
      </c>
      <c r="AN215" s="3">
        <f>(AM215*$B$406)</f>
        <v>8123.8540357381025</v>
      </c>
      <c r="AO215" s="3">
        <f>AN215+AK215</f>
        <v>19052.57345546463</v>
      </c>
      <c r="AP215" s="113">
        <f>$AO215/$AI215</f>
        <v>0.23498984001048848</v>
      </c>
      <c r="AQ215" s="3">
        <f>AB215+AD215+AH215</f>
        <v>-31675.923999999992</v>
      </c>
      <c r="AR215" s="3">
        <f>AQ215+AO215</f>
        <v>-12623.350544535362</v>
      </c>
      <c r="AS215" s="113">
        <f>AR215/AI215</f>
        <v>-0.15569335721447491</v>
      </c>
      <c r="AT215" s="70"/>
      <c r="AU215" s="70"/>
      <c r="AV215" s="70"/>
      <c r="AW215" s="3"/>
      <c r="BA215" s="3"/>
      <c r="BB215" s="3"/>
      <c r="BC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</row>
    <row r="216" spans="1:68" ht="22.2" customHeight="1" x14ac:dyDescent="0.3">
      <c r="A216" s="2" t="s">
        <v>959</v>
      </c>
      <c r="B216" s="3">
        <v>0</v>
      </c>
      <c r="C216" s="88">
        <f>$B216/$AI216</f>
        <v>0</v>
      </c>
      <c r="D216" s="3">
        <v>1000</v>
      </c>
      <c r="E216" s="88">
        <f>$D216/$AI216</f>
        <v>1.9753902719298545E-2</v>
      </c>
      <c r="F216" s="3">
        <v>0</v>
      </c>
      <c r="G216" s="88">
        <f>$F216/$AI216</f>
        <v>0</v>
      </c>
      <c r="H216" s="3">
        <v>0</v>
      </c>
      <c r="I216" s="88">
        <f>$H216/$AI216</f>
        <v>0</v>
      </c>
      <c r="J216" s="3">
        <v>4881.8989999999994</v>
      </c>
      <c r="K216" s="88">
        <f>$J216/$AI216</f>
        <v>9.6436557931440833E-2</v>
      </c>
      <c r="L216" s="3"/>
      <c r="M216" s="88">
        <f>$L216/$AI216</f>
        <v>0</v>
      </c>
      <c r="N216" s="3"/>
      <c r="O216" s="88">
        <f>$N216/$AI216</f>
        <v>0</v>
      </c>
      <c r="P216" s="3">
        <v>123.42</v>
      </c>
      <c r="Q216" s="88">
        <f>$P216/$AI216</f>
        <v>2.4380266736158266E-3</v>
      </c>
      <c r="R216" s="3">
        <v>1163.251</v>
      </c>
      <c r="S216" s="88">
        <f>$R216/$AI216</f>
        <v>2.2978747092126751E-2</v>
      </c>
      <c r="U216" s="88">
        <f>$T216/$AI216</f>
        <v>0</v>
      </c>
      <c r="W216" s="88">
        <f>$V216/$AI216</f>
        <v>0</v>
      </c>
      <c r="X216" s="3">
        <v>69.540000000000006</v>
      </c>
      <c r="Y216" s="88">
        <f>$X216/$AI216</f>
        <v>1.3736863951000209E-3</v>
      </c>
      <c r="Z216" s="3">
        <v>90.171999999999997</v>
      </c>
      <c r="AA216" s="88">
        <f>$Z216/$AI216</f>
        <v>1.7812489160045884E-3</v>
      </c>
      <c r="AB216" s="56">
        <v>7328.2819999999992</v>
      </c>
      <c r="AC216" s="88">
        <f>$AB216/AI216</f>
        <v>0.14476216972758657</v>
      </c>
      <c r="AD216" s="101">
        <v>21218.465000000004</v>
      </c>
      <c r="AE216" s="88">
        <f>$AD216/$AI216</f>
        <v>0.41914749346284108</v>
      </c>
      <c r="AF216" s="3">
        <v>-44407.351999999999</v>
      </c>
      <c r="AG216" s="3">
        <v>-6215.5559999999996</v>
      </c>
      <c r="AH216" s="89">
        <f>SUM(AF216,AG216)</f>
        <v>-50622.907999999996</v>
      </c>
      <c r="AI216" s="3">
        <f>((AF216+AG216)*-1)</f>
        <v>50622.907999999996</v>
      </c>
      <c r="AJ216" s="8">
        <f>AI216/($AI$224)</f>
        <v>3.8631482668975785E-3</v>
      </c>
      <c r="AK216" s="56">
        <f>AJ216*($G$260+$G$313-$B$406)</f>
        <v>6823.5724388972558</v>
      </c>
      <c r="AL216" s="3">
        <v>22042.119118701812</v>
      </c>
      <c r="AM216" s="8">
        <f>AL216/AL$224</f>
        <v>4.6780484661364244E-3</v>
      </c>
      <c r="AN216" s="3">
        <f>(AM216*$B$406)</f>
        <v>6360.2044901501413</v>
      </c>
      <c r="AO216" s="3">
        <f>AN216+AK216</f>
        <v>13183.776929047397</v>
      </c>
      <c r="AP216" s="113">
        <f>$AO216/$AI216</f>
        <v>0.26043104692933478</v>
      </c>
      <c r="AQ216" s="3">
        <f>AB216+AD216+AH216</f>
        <v>-22076.160999999993</v>
      </c>
      <c r="AR216" s="3">
        <f>AQ216+AO216</f>
        <v>-8892.3840709525957</v>
      </c>
      <c r="AS216" s="113">
        <f>AR216/AI216</f>
        <v>-0.17565928988023755</v>
      </c>
      <c r="AT216" s="70"/>
      <c r="AU216" s="70"/>
      <c r="AV216" s="70"/>
      <c r="AW216" s="3"/>
      <c r="BA216" s="3"/>
      <c r="BB216" s="3"/>
      <c r="BC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</row>
    <row r="217" spans="1:68" ht="22.2" customHeight="1" x14ac:dyDescent="0.3">
      <c r="A217" s="2" t="s">
        <v>960</v>
      </c>
      <c r="B217" s="3">
        <v>0</v>
      </c>
      <c r="C217" s="88">
        <f>$B217/$AI217</f>
        <v>0</v>
      </c>
      <c r="D217" s="3">
        <v>913</v>
      </c>
      <c r="E217" s="88">
        <f>$D217/$AI217</f>
        <v>2.1536178184629919E-2</v>
      </c>
      <c r="F217" s="3">
        <v>0</v>
      </c>
      <c r="G217" s="88">
        <f>$F217/$AI217</f>
        <v>0</v>
      </c>
      <c r="H217" s="3">
        <v>0</v>
      </c>
      <c r="I217" s="88">
        <f>$H217/$AI217</f>
        <v>0</v>
      </c>
      <c r="J217" s="3">
        <v>3314.2049999999999</v>
      </c>
      <c r="K217" s="88">
        <f>$J217/$AI217</f>
        <v>7.8176680635697049E-2</v>
      </c>
      <c r="L217" s="3"/>
      <c r="M217" s="88">
        <f>$L217/$AI217</f>
        <v>0</v>
      </c>
      <c r="N217" s="3"/>
      <c r="O217" s="88">
        <f>$N217/$AI217</f>
        <v>0</v>
      </c>
      <c r="P217" s="3">
        <v>55.29</v>
      </c>
      <c r="Q217" s="88">
        <f>$P217/$AI217</f>
        <v>1.3042007577526707E-3</v>
      </c>
      <c r="R217" s="3">
        <v>251.01600000000002</v>
      </c>
      <c r="S217" s="88">
        <f>$R217/$AI217</f>
        <v>5.921057287177507E-3</v>
      </c>
      <c r="U217" s="88">
        <f>$T217/$AI217</f>
        <v>0</v>
      </c>
      <c r="W217" s="88">
        <f>$V217/$AI217</f>
        <v>0</v>
      </c>
      <c r="X217" s="3">
        <v>199.13</v>
      </c>
      <c r="Y217" s="88">
        <f>$X217/$AI217</f>
        <v>4.6971513273881228E-3</v>
      </c>
      <c r="Z217" s="3">
        <v>42.087999999999994</v>
      </c>
      <c r="AA217" s="88">
        <f>$Z217/$AI217</f>
        <v>9.9278714943560123E-4</v>
      </c>
      <c r="AB217" s="56">
        <v>4774.7290000000021</v>
      </c>
      <c r="AC217" s="88">
        <f>$AB217/AI217</f>
        <v>0.11262805534208091</v>
      </c>
      <c r="AD217" s="101">
        <v>20254.492999999999</v>
      </c>
      <c r="AE217" s="88">
        <f>$AD217/$AI217</f>
        <v>0.47777039461921073</v>
      </c>
      <c r="AF217" s="3">
        <v>-37155.092999999993</v>
      </c>
      <c r="AG217" s="3">
        <v>-5238.6869999999999</v>
      </c>
      <c r="AH217" s="89">
        <f>SUM(AF217,AG217)</f>
        <v>-42393.779999999992</v>
      </c>
      <c r="AI217" s="3">
        <f>((AF217+AG217)*-1)</f>
        <v>42393.779999999992</v>
      </c>
      <c r="AJ217" s="8">
        <f>AI217/($AI$224)</f>
        <v>3.2351649520852735E-3</v>
      </c>
      <c r="AK217" s="56">
        <f>AJ217*($G$260+$G$313-$B$406)</f>
        <v>5714.3502856191835</v>
      </c>
      <c r="AL217" s="3">
        <v>13257.721182336216</v>
      </c>
      <c r="AM217" s="8">
        <f>AL217/AL$224</f>
        <v>2.8137159547818036E-3</v>
      </c>
      <c r="AN217" s="3">
        <f>(AM217*$B$406)</f>
        <v>3825.485986123263</v>
      </c>
      <c r="AO217" s="3">
        <f>AN217+AK217</f>
        <v>9539.8362717424461</v>
      </c>
      <c r="AP217" s="113">
        <f>$AO217/$AI217</f>
        <v>0.22502914983618938</v>
      </c>
      <c r="AQ217" s="3">
        <f>AB217+AD217+AH217</f>
        <v>-17364.55799999999</v>
      </c>
      <c r="AR217" s="3">
        <f>AQ217+AO217</f>
        <v>-7824.7217282575439</v>
      </c>
      <c r="AS217" s="113">
        <f>AR217/AI217</f>
        <v>-0.184572400202519</v>
      </c>
      <c r="AT217" s="70"/>
      <c r="AU217" s="70"/>
      <c r="AV217" s="70"/>
      <c r="AW217" s="3"/>
      <c r="BA217" s="3"/>
      <c r="BB217" s="3"/>
      <c r="BC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</row>
    <row r="218" spans="1:68" ht="22.2" customHeight="1" x14ac:dyDescent="0.3">
      <c r="A218" s="2" t="s">
        <v>961</v>
      </c>
      <c r="B218" s="3">
        <v>0</v>
      </c>
      <c r="C218" s="88">
        <f>$B218/$AI218</f>
        <v>0</v>
      </c>
      <c r="D218" s="3">
        <v>1850</v>
      </c>
      <c r="E218" s="88">
        <f>$D218/$AI218</f>
        <v>1.8926198496148822E-2</v>
      </c>
      <c r="F218" s="3">
        <v>0</v>
      </c>
      <c r="G218" s="88">
        <f>$F218/$AI218</f>
        <v>0</v>
      </c>
      <c r="H218" s="3">
        <v>0</v>
      </c>
      <c r="I218" s="88">
        <f>$H218/$AI218</f>
        <v>0</v>
      </c>
      <c r="J218" s="3">
        <v>3853.4120000000003</v>
      </c>
      <c r="K218" s="88">
        <f>$J218/$AI218</f>
        <v>3.9421859675373962E-2</v>
      </c>
      <c r="L218" s="3"/>
      <c r="M218" s="88">
        <f>$L218/$AI218</f>
        <v>0</v>
      </c>
      <c r="N218" s="3"/>
      <c r="O218" s="88">
        <f>$N218/$AI218</f>
        <v>0</v>
      </c>
      <c r="P218" s="3">
        <v>207.19</v>
      </c>
      <c r="Q218" s="88">
        <f>$P218/$AI218</f>
        <v>2.1196319277930133E-3</v>
      </c>
      <c r="R218" s="3">
        <v>2585.3890000000001</v>
      </c>
      <c r="S218" s="88">
        <f>$R218/$AI218</f>
        <v>2.6449505623653898E-2</v>
      </c>
      <c r="U218" s="88">
        <f>$T218/$AI218</f>
        <v>0</v>
      </c>
      <c r="W218" s="88">
        <f>$V218/$AI218</f>
        <v>0</v>
      </c>
      <c r="X218" s="3">
        <v>273.322</v>
      </c>
      <c r="Y218" s="88">
        <f>$X218/$AI218</f>
        <v>2.7961872569537234E-3</v>
      </c>
      <c r="Z218" s="3">
        <v>319.38099999999997</v>
      </c>
      <c r="AA218" s="88">
        <f>$Z218/$AI218</f>
        <v>3.2673882172424358E-3</v>
      </c>
      <c r="AB218" s="56">
        <v>9088.6939999999995</v>
      </c>
      <c r="AC218" s="88">
        <f>$AB218/AI218</f>
        <v>9.2980771197165843E-2</v>
      </c>
      <c r="AD218" s="101">
        <v>49794.681999999993</v>
      </c>
      <c r="AE218" s="88">
        <f>$AD218/$AI218</f>
        <v>0.50941839761330199</v>
      </c>
      <c r="AF218" s="3">
        <v>-85436.00499999999</v>
      </c>
      <c r="AG218" s="3">
        <v>-12312.098</v>
      </c>
      <c r="AH218" s="89">
        <f>SUM(AF218,AG218)</f>
        <v>-97748.102999999988</v>
      </c>
      <c r="AI218" s="3">
        <f>((AF218+AG218)*-1)</f>
        <v>97748.102999999988</v>
      </c>
      <c r="AJ218" s="8">
        <f>AI218/($AI$224)</f>
        <v>7.4593781672316409E-3</v>
      </c>
      <c r="AK218" s="56">
        <f>AJ218*($G$260+$G$313-$B$406)</f>
        <v>13175.680495978029</v>
      </c>
      <c r="AL218" s="3">
        <v>44292.633624452428</v>
      </c>
      <c r="AM218" s="8">
        <f>AL218/AL$224</f>
        <v>9.4003251535016517E-3</v>
      </c>
      <c r="AN218" s="3">
        <f>(AM218*$B$406)</f>
        <v>12780.5410061412</v>
      </c>
      <c r="AO218" s="3">
        <f>AN218+AK218</f>
        <v>25956.221502119231</v>
      </c>
      <c r="AP218" s="113">
        <f>$AO218/$AI218</f>
        <v>0.26554194614006199</v>
      </c>
      <c r="AQ218" s="3">
        <f>AB218+AD218+AH218</f>
        <v>-38864.726999999999</v>
      </c>
      <c r="AR218" s="3">
        <f>AQ218+AO218-0.13</f>
        <v>-12908.635497880767</v>
      </c>
      <c r="AS218" s="113">
        <f>AR218/AI218</f>
        <v>-0.13206021499855367</v>
      </c>
      <c r="AT218" s="70"/>
      <c r="AU218" s="70"/>
      <c r="AV218" s="70"/>
      <c r="AW218" s="3"/>
      <c r="BA218" s="3"/>
      <c r="BB218" s="3"/>
      <c r="BC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</row>
    <row r="219" spans="1:68" ht="22.2" customHeight="1" x14ac:dyDescent="0.3">
      <c r="A219" s="2" t="s">
        <v>1041</v>
      </c>
      <c r="B219" s="3">
        <v>0</v>
      </c>
      <c r="C219" s="88">
        <f>$B219/$AI219</f>
        <v>0</v>
      </c>
      <c r="D219" s="3">
        <v>0</v>
      </c>
      <c r="E219" s="88">
        <f>$D219/$AI219</f>
        <v>0</v>
      </c>
      <c r="F219" s="3">
        <v>0</v>
      </c>
      <c r="G219" s="88">
        <f>$F219/$AI219</f>
        <v>0</v>
      </c>
      <c r="H219" s="3">
        <v>0</v>
      </c>
      <c r="I219" s="88">
        <f>$H219/$AI219</f>
        <v>0</v>
      </c>
      <c r="J219" s="3">
        <v>0</v>
      </c>
      <c r="K219" s="88">
        <f>$J219/$AI219</f>
        <v>0</v>
      </c>
      <c r="L219" s="3"/>
      <c r="M219" s="88">
        <f>$L219/$AI219</f>
        <v>0</v>
      </c>
      <c r="N219" s="3"/>
      <c r="O219" s="88">
        <f>$N219/$AI219</f>
        <v>0</v>
      </c>
      <c r="P219" s="3"/>
      <c r="Q219" s="88">
        <f>$P219/$AI219</f>
        <v>0</v>
      </c>
      <c r="R219" s="3"/>
      <c r="S219" s="88">
        <f>$R219/$AI219</f>
        <v>0</v>
      </c>
      <c r="U219" s="88">
        <f>$T219/$AI219</f>
        <v>0</v>
      </c>
      <c r="W219" s="88">
        <f>$V219/$AI219</f>
        <v>0</v>
      </c>
      <c r="Y219" s="88">
        <f>$X219/$AI219</f>
        <v>0</v>
      </c>
      <c r="AA219" s="88">
        <f>$Z219/$AI219</f>
        <v>0</v>
      </c>
      <c r="AB219" s="56">
        <v>0</v>
      </c>
      <c r="AC219" s="88">
        <f>$AB219/AI219</f>
        <v>0</v>
      </c>
      <c r="AD219" s="101">
        <v>135.72</v>
      </c>
      <c r="AE219" s="88">
        <f>$AD219/$AI219</f>
        <v>8.2862201599609264</v>
      </c>
      <c r="AF219" s="3">
        <v>-16.378999999999998</v>
      </c>
      <c r="AG219" s="3">
        <v>0</v>
      </c>
      <c r="AH219" s="89">
        <f>SUM(AF219,AG219)</f>
        <v>-16.378999999999998</v>
      </c>
      <c r="AI219" s="3">
        <f>((AF219+AG219)*-1)</f>
        <v>16.378999999999998</v>
      </c>
      <c r="AJ219" s="8">
        <f>AI219/($AI$224)</f>
        <v>1.2499184255380081E-6</v>
      </c>
      <c r="AK219" s="56">
        <f>AJ219*($G$260+$G$313-$B$406)</f>
        <v>2.2077612170501575</v>
      </c>
      <c r="AL219" s="3">
        <v>0</v>
      </c>
      <c r="AM219" s="8">
        <f>AL219/AL$224</f>
        <v>0</v>
      </c>
      <c r="AN219" s="3">
        <f>(AM219*$B$406)</f>
        <v>0</v>
      </c>
      <c r="AO219" s="3">
        <f>AN219+AK219</f>
        <v>2.2077612170501575</v>
      </c>
      <c r="AP219" s="113">
        <f>$AO219/$AI219</f>
        <v>0.13479218615606312</v>
      </c>
      <c r="AQ219" s="3">
        <f>AB219+AD219+AH219</f>
        <v>119.34100000000001</v>
      </c>
      <c r="AR219" s="3">
        <f>AQ219+AO219</f>
        <v>121.54876121705017</v>
      </c>
      <c r="AS219" s="113">
        <f>AR219/AI219</f>
        <v>7.4210123461169903</v>
      </c>
      <c r="AT219" s="70"/>
      <c r="AU219" s="70"/>
      <c r="AV219" s="70"/>
      <c r="AW219" s="3"/>
      <c r="BA219" s="3"/>
      <c r="BB219" s="3"/>
      <c r="BC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</row>
    <row r="220" spans="1:68" ht="22.2" customHeight="1" x14ac:dyDescent="0.3">
      <c r="A220" s="2" t="s">
        <v>962</v>
      </c>
      <c r="B220" s="3">
        <v>0</v>
      </c>
      <c r="C220" s="88">
        <f>$B220/$AI220</f>
        <v>0</v>
      </c>
      <c r="D220" s="3">
        <v>850</v>
      </c>
      <c r="E220" s="88">
        <f>$D220/$AI220</f>
        <v>9.7602375820956579E-3</v>
      </c>
      <c r="F220" s="3">
        <v>50.65</v>
      </c>
      <c r="G220" s="88">
        <f>$F220/$AI220</f>
        <v>5.8159533356840593E-4</v>
      </c>
      <c r="H220" s="3">
        <v>0</v>
      </c>
      <c r="I220" s="88">
        <f>$H220/$AI220</f>
        <v>0</v>
      </c>
      <c r="J220" s="3">
        <v>5263.4670000000006</v>
      </c>
      <c r="K220" s="88">
        <f>$J220/$AI220</f>
        <v>6.0438456971200337E-2</v>
      </c>
      <c r="L220" s="3"/>
      <c r="M220" s="88">
        <f>$L220/$AI220</f>
        <v>0</v>
      </c>
      <c r="N220" s="3">
        <v>15.35</v>
      </c>
      <c r="O220" s="88">
        <f>$N220/$AI220</f>
        <v>1.7625840810019805E-4</v>
      </c>
      <c r="P220" s="3">
        <v>306.58999999999997</v>
      </c>
      <c r="Q220" s="88">
        <f>$P220/$AI220</f>
        <v>3.5204602826996558E-3</v>
      </c>
      <c r="R220" s="3">
        <v>1541.76</v>
      </c>
      <c r="S220" s="88">
        <f>$R220/$AI220</f>
        <v>1.7703463405378587E-2</v>
      </c>
      <c r="U220" s="88">
        <f>$T220/$AI220</f>
        <v>0</v>
      </c>
      <c r="W220" s="88">
        <f>$V220/$AI220</f>
        <v>0</v>
      </c>
      <c r="X220" s="3">
        <v>301.82399999999996</v>
      </c>
      <c r="Y220" s="88">
        <f>$X220/$AI220</f>
        <v>3.4657340564452225E-3</v>
      </c>
      <c r="Z220" s="3">
        <v>140.52999999999997</v>
      </c>
      <c r="AA220" s="88">
        <f>$Z220/$AI220</f>
        <v>1.6136543381316498E-3</v>
      </c>
      <c r="AB220" s="56">
        <v>8470.1710000000021</v>
      </c>
      <c r="AC220" s="88">
        <f>$AB220/AI220</f>
        <v>9.7259860377619731E-2</v>
      </c>
      <c r="AD220" s="101">
        <v>43425.085000000006</v>
      </c>
      <c r="AE220" s="88">
        <f>$AD220/$AI220</f>
        <v>0.49863429014435112</v>
      </c>
      <c r="AF220" s="3">
        <v>-76140.964999999982</v>
      </c>
      <c r="AG220" s="3">
        <v>-10947.079</v>
      </c>
      <c r="AH220" s="89">
        <f>SUM(AF220,AG220)</f>
        <v>-87088.04399999998</v>
      </c>
      <c r="AI220" s="3">
        <f>((AF220+AG220)*-1)</f>
        <v>87088.04399999998</v>
      </c>
      <c r="AJ220" s="8">
        <f>AI220/($AI$224)</f>
        <v>6.6458850259273929E-3</v>
      </c>
      <c r="AK220" s="56">
        <f>AJ220*($G$260+$G$313-$B$406)</f>
        <v>11738.787838815413</v>
      </c>
      <c r="AL220" s="3">
        <v>27793.155835956717</v>
      </c>
      <c r="AM220" s="8">
        <f>AL220/AL$224</f>
        <v>5.8986039104186377E-3</v>
      </c>
      <c r="AN220" s="3">
        <f>(AM220*$B$406)</f>
        <v>8019.6533550765744</v>
      </c>
      <c r="AO220" s="3">
        <f>AN220+AK220</f>
        <v>19758.441193891987</v>
      </c>
      <c r="AP220" s="113">
        <f>$AO220/$AI220</f>
        <v>0.22687891800500185</v>
      </c>
      <c r="AQ220" s="3">
        <f>AB220+AD220+AH220</f>
        <v>-35192.787999999971</v>
      </c>
      <c r="AR220" s="3">
        <f>AQ220+AO220</f>
        <v>-15434.346806107984</v>
      </c>
      <c r="AS220" s="113">
        <f>AR220/AI220</f>
        <v>-0.17722693147302732</v>
      </c>
      <c r="AT220" s="70"/>
      <c r="AU220" s="70"/>
      <c r="AV220" s="70"/>
      <c r="AW220" s="3"/>
      <c r="BA220" s="3"/>
      <c r="BB220" s="3"/>
      <c r="BC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</row>
    <row r="221" spans="1:68" ht="22.2" customHeight="1" x14ac:dyDescent="0.3">
      <c r="A221" s="2" t="s">
        <v>963</v>
      </c>
      <c r="B221" s="3">
        <v>0</v>
      </c>
      <c r="C221" s="88">
        <f>$B221/$AI221</f>
        <v>0</v>
      </c>
      <c r="D221" s="3">
        <v>1500</v>
      </c>
      <c r="E221" s="88">
        <f>$D221/$AI221</f>
        <v>1.1106556517960067E-2</v>
      </c>
      <c r="F221" s="3">
        <v>0</v>
      </c>
      <c r="G221" s="88">
        <f>$F221/$AI221</f>
        <v>0</v>
      </c>
      <c r="H221" s="3">
        <v>0</v>
      </c>
      <c r="I221" s="88">
        <f>$H221/$AI221</f>
        <v>0</v>
      </c>
      <c r="J221" s="3">
        <v>5118.0349999999999</v>
      </c>
      <c r="K221" s="88">
        <f>$J221/$AI221</f>
        <v>3.7895829992265172E-2</v>
      </c>
      <c r="L221" s="3"/>
      <c r="M221" s="88">
        <f>$L221/$AI221</f>
        <v>0</v>
      </c>
      <c r="N221" s="3"/>
      <c r="O221" s="88">
        <f>$N221/$AI221</f>
        <v>0</v>
      </c>
      <c r="P221" s="3">
        <v>182.29</v>
      </c>
      <c r="Q221" s="88">
        <f>$P221/$AI221</f>
        <v>1.3497427917726272E-3</v>
      </c>
      <c r="R221" s="3"/>
      <c r="S221" s="88">
        <f>$R221/$AI221</f>
        <v>0</v>
      </c>
      <c r="U221" s="88">
        <f>$T221/$AI221</f>
        <v>0</v>
      </c>
      <c r="W221" s="88">
        <f>$V221/$AI221</f>
        <v>0</v>
      </c>
      <c r="X221" s="3">
        <v>159.30000000000001</v>
      </c>
      <c r="Y221" s="88">
        <f>$X221/$AI221</f>
        <v>1.1795163022073592E-3</v>
      </c>
      <c r="Z221" s="3">
        <v>88.932999999999993</v>
      </c>
      <c r="AA221" s="88">
        <f>$Z221/$AI221</f>
        <v>6.5849292720782842E-4</v>
      </c>
      <c r="AB221" s="56">
        <v>7048.558</v>
      </c>
      <c r="AC221" s="88">
        <f>$AB221/AI221</f>
        <v>5.2190138531413056E-2</v>
      </c>
      <c r="AD221" s="101">
        <v>69260.038</v>
      </c>
      <c r="AE221" s="88">
        <f>$AD221/$AI221</f>
        <v>0.51282701765537464</v>
      </c>
      <c r="AF221" s="3">
        <v>-118283.727</v>
      </c>
      <c r="AG221" s="3">
        <v>-16771.634000000002</v>
      </c>
      <c r="AH221" s="89">
        <f>SUM(AF221,AG221)</f>
        <v>-135055.361</v>
      </c>
      <c r="AI221" s="3">
        <f>((AF221+AG221)*-1)</f>
        <v>135055.361</v>
      </c>
      <c r="AJ221" s="8">
        <f>AI221/($AI$224)</f>
        <v>1.0306379155112481E-2</v>
      </c>
      <c r="AK221" s="56">
        <f>AJ221*($G$260+$G$313-$B$406)</f>
        <v>18204.407361286307</v>
      </c>
      <c r="AL221" s="3">
        <v>43546.162247494271</v>
      </c>
      <c r="AM221" s="8">
        <f>AL221/AL$224</f>
        <v>9.2418998559525133E-3</v>
      </c>
      <c r="AN221" s="3">
        <f>(AM221*$B$406)</f>
        <v>12565.148349113519</v>
      </c>
      <c r="AO221" s="3">
        <f>AN221+AK221</f>
        <v>30769.555710399825</v>
      </c>
      <c r="AP221" s="113">
        <f>$AO221/$AI221</f>
        <v>0.22782920635338441</v>
      </c>
      <c r="AQ221" s="3">
        <f>AB221+AD221+AH221</f>
        <v>-58746.764999999999</v>
      </c>
      <c r="AR221" s="3">
        <f>AQ221+AO221</f>
        <v>-27977.209289600174</v>
      </c>
      <c r="AS221" s="113">
        <f>AR221/AI221</f>
        <v>-0.20715363745982784</v>
      </c>
      <c r="AT221" s="70"/>
      <c r="AU221" s="70"/>
      <c r="AV221" s="70"/>
      <c r="AW221" s="3"/>
      <c r="BA221" s="3"/>
      <c r="BB221" s="3"/>
      <c r="BC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</row>
    <row r="222" spans="1:68" ht="22.2" customHeight="1" x14ac:dyDescent="0.3">
      <c r="A222" s="2" t="s">
        <v>964</v>
      </c>
      <c r="B222" s="3">
        <v>0</v>
      </c>
      <c r="C222" s="88">
        <f>$B222/$AI222</f>
        <v>0</v>
      </c>
      <c r="D222" s="3">
        <v>710</v>
      </c>
      <c r="E222" s="88">
        <f>$D222/$AI222</f>
        <v>1.5041815505607643E-2</v>
      </c>
      <c r="F222" s="3">
        <v>0</v>
      </c>
      <c r="G222" s="88">
        <f>$F222/$AI222</f>
        <v>0</v>
      </c>
      <c r="H222" s="3">
        <v>0</v>
      </c>
      <c r="I222" s="88">
        <f>$H222/$AI222</f>
        <v>0</v>
      </c>
      <c r="J222" s="3">
        <v>3321.7219999999998</v>
      </c>
      <c r="K222" s="88">
        <f>$J222/$AI222</f>
        <v>7.0372858429462004E-2</v>
      </c>
      <c r="L222" s="3"/>
      <c r="M222" s="88">
        <f>$L222/$AI222</f>
        <v>0</v>
      </c>
      <c r="N222" s="3"/>
      <c r="O222" s="88">
        <f>$N222/$AI222</f>
        <v>0</v>
      </c>
      <c r="P222" s="3">
        <v>42.8</v>
      </c>
      <c r="Q222" s="88">
        <f>$P222/$AI222</f>
        <v>9.0674606146479869E-4</v>
      </c>
      <c r="R222" s="3">
        <v>944.524</v>
      </c>
      <c r="S222" s="88">
        <f>$R222/$AI222</f>
        <v>2.0010360209321905E-2</v>
      </c>
      <c r="U222" s="88">
        <f>$T222/$AI222</f>
        <v>0</v>
      </c>
      <c r="W222" s="88">
        <f>$V222/$AI222</f>
        <v>0</v>
      </c>
      <c r="X222" s="3">
        <v>204.8</v>
      </c>
      <c r="Y222" s="88">
        <f>$X222/$AI222</f>
        <v>4.3388222754203454E-3</v>
      </c>
      <c r="Z222" s="3">
        <v>23.702999999999999</v>
      </c>
      <c r="AA222" s="88">
        <f>$Z222/$AI222</f>
        <v>5.0216359567523659E-4</v>
      </c>
      <c r="AB222" s="56">
        <v>5247.5490000000009</v>
      </c>
      <c r="AC222" s="88">
        <f>$AB222/AI222</f>
        <v>0.11117276607695196</v>
      </c>
      <c r="AD222" s="101">
        <v>21909.735000000001</v>
      </c>
      <c r="AE222" s="88">
        <f>$AD222/$AI222</f>
        <v>0.46417210091092181</v>
      </c>
      <c r="AF222" s="3">
        <v>-41521.279999999999</v>
      </c>
      <c r="AG222" s="3">
        <v>-5680.4690000000001</v>
      </c>
      <c r="AH222" s="89">
        <f>SUM(AF222,AG222)</f>
        <v>-47201.748999999996</v>
      </c>
      <c r="AI222" s="3">
        <f>((AF222+AG222)*-1)</f>
        <v>47201.748999999996</v>
      </c>
      <c r="AJ222" s="8">
        <f>AI222/($AI$224)</f>
        <v>3.6020719087075069E-3</v>
      </c>
      <c r="AK222" s="56">
        <f>AJ222*($G$260+$G$313-$B$406)</f>
        <v>6362.4269380997657</v>
      </c>
      <c r="AL222" s="3">
        <v>16337.195911206752</v>
      </c>
      <c r="AM222" s="8">
        <f>AL222/AL$224</f>
        <v>3.467279795641182E-3</v>
      </c>
      <c r="AN222" s="3">
        <f>(AM222*$B$406)</f>
        <v>4714.0615759924012</v>
      </c>
      <c r="AO222" s="3">
        <f>AN222+AK222</f>
        <v>11076.488514092167</v>
      </c>
      <c r="AP222" s="113">
        <f>$AO222/$AI222</f>
        <v>0.234662671378812</v>
      </c>
      <c r="AQ222" s="3">
        <f>AB222+AD222+AH222</f>
        <v>-20044.464999999997</v>
      </c>
      <c r="AR222" s="3">
        <f>AQ222+AO222</f>
        <v>-8967.9764859078296</v>
      </c>
      <c r="AS222" s="113">
        <f>AR222/AI222</f>
        <v>-0.18999246163331426</v>
      </c>
      <c r="AT222" s="70"/>
      <c r="AU222" s="70"/>
      <c r="AV222" s="70"/>
      <c r="AW222" s="3"/>
      <c r="BA222" s="3"/>
      <c r="BB222" s="3"/>
      <c r="BC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</row>
    <row r="223" spans="1:68" ht="22.2" customHeight="1" x14ac:dyDescent="0.3">
      <c r="A223" s="2" t="s">
        <v>965</v>
      </c>
      <c r="B223" s="3">
        <v>0</v>
      </c>
      <c r="C223" s="88">
        <f>$B223/$AI223</f>
        <v>0</v>
      </c>
      <c r="D223" s="3">
        <v>1000</v>
      </c>
      <c r="E223" s="88">
        <f>$D223/$AI223</f>
        <v>1.2678930615883491E-2</v>
      </c>
      <c r="F223" s="3">
        <v>0</v>
      </c>
      <c r="G223" s="88">
        <f>$F223/$AI223</f>
        <v>0</v>
      </c>
      <c r="H223" s="3">
        <v>0</v>
      </c>
      <c r="I223" s="88">
        <f>$H223/$AI223</f>
        <v>0</v>
      </c>
      <c r="J223" s="3">
        <v>3986.404</v>
      </c>
      <c r="K223" s="88">
        <f>$J223/$AI223</f>
        <v>5.0543339722880415E-2</v>
      </c>
      <c r="L223" s="3"/>
      <c r="M223" s="88">
        <f>$L223/$AI223</f>
        <v>0</v>
      </c>
      <c r="N223" s="3"/>
      <c r="O223" s="88">
        <f>$N223/$AI223</f>
        <v>0</v>
      </c>
      <c r="P223" s="3">
        <v>125.54</v>
      </c>
      <c r="Q223" s="88">
        <f>$P223/$AI223</f>
        <v>1.5917129495180136E-3</v>
      </c>
      <c r="R223" s="3">
        <v>114.434</v>
      </c>
      <c r="S223" s="88">
        <f>$R223/$AI223</f>
        <v>1.4509007460980115E-3</v>
      </c>
      <c r="U223" s="88">
        <f>$T223/$AI223</f>
        <v>0</v>
      </c>
      <c r="W223" s="88">
        <f>$V223/$AI223</f>
        <v>0</v>
      </c>
      <c r="X223" s="3">
        <v>100.08</v>
      </c>
      <c r="Y223" s="88">
        <f>$X223/$AI223</f>
        <v>1.2689073760376198E-3</v>
      </c>
      <c r="Z223" s="3">
        <v>62.759999999999991</v>
      </c>
      <c r="AA223" s="88">
        <f>$Z223/$AI223</f>
        <v>7.9572968545284781E-4</v>
      </c>
      <c r="AB223" s="56">
        <v>5389.2180000000008</v>
      </c>
      <c r="AC223" s="88">
        <f>$AB223/AI223</f>
        <v>6.8329521095870413E-2</v>
      </c>
      <c r="AD223" s="101">
        <v>41189.403999999995</v>
      </c>
      <c r="AE223" s="88">
        <f>$AD223/$AI223</f>
        <v>0.52223759542559389</v>
      </c>
      <c r="AF223" s="3">
        <v>-69311.22</v>
      </c>
      <c r="AG223" s="3">
        <v>-9559.7849999999999</v>
      </c>
      <c r="AH223" s="89">
        <f>SUM(AF223,AG223)</f>
        <v>-78871.005000000005</v>
      </c>
      <c r="AI223" s="3">
        <f>((AF223+AG223)*-1)</f>
        <v>78871.005000000005</v>
      </c>
      <c r="AJ223" s="8">
        <f>AI223/($AI$224)</f>
        <v>6.0188242499664441E-3</v>
      </c>
      <c r="AK223" s="56">
        <f>AJ223*($G$260+$G$313-$B$406)</f>
        <v>10631.195188275786</v>
      </c>
      <c r="AL223" s="3">
        <v>31518.40728732412</v>
      </c>
      <c r="AM223" s="8">
        <f>AL223/AL$224</f>
        <v>6.6892223960639575E-3</v>
      </c>
      <c r="AN223" s="3">
        <f>(AM223*$B$406)</f>
        <v>9094.5663831902129</v>
      </c>
      <c r="AO223" s="3">
        <f>AN223+AK223</f>
        <v>19725.761571465999</v>
      </c>
      <c r="AP223" s="113">
        <f>$AO223/$AI223</f>
        <v>0.2501015623100783</v>
      </c>
      <c r="AQ223" s="3">
        <f>AB223+AD223+AH223</f>
        <v>-32292.383000000009</v>
      </c>
      <c r="AR223" s="3">
        <f>AQ223+AO223</f>
        <v>-12566.62142853401</v>
      </c>
      <c r="AS223" s="113">
        <f>AR223/AI223</f>
        <v>-0.15933132116845741</v>
      </c>
      <c r="AT223" s="70"/>
      <c r="AU223" s="70"/>
      <c r="AV223" s="70"/>
      <c r="AW223" s="3"/>
      <c r="BA223" s="3"/>
      <c r="BB223" s="3"/>
      <c r="BC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</row>
    <row r="224" spans="1:68" ht="22.2" customHeight="1" x14ac:dyDescent="0.3">
      <c r="A224" s="34" t="s">
        <v>246</v>
      </c>
      <c r="B224" s="36">
        <f>SUM(B2:B223)</f>
        <v>-5925.7560000000003</v>
      </c>
      <c r="C224" s="40">
        <f>AVERAGE(C2:C223)</f>
        <v>-6.3890502204516826E-4</v>
      </c>
      <c r="D224" s="36">
        <f>SUM(D2:D223)</f>
        <v>242825.55000000002</v>
      </c>
      <c r="E224" s="40">
        <f>AVERAGE(E2:E223)</f>
        <v>1.3320345825480897</v>
      </c>
      <c r="F224" s="36">
        <f>SUM(F2:F223)</f>
        <v>6107.72</v>
      </c>
      <c r="G224" s="40">
        <f>AVERAGE(G2:G223)</f>
        <v>6.1150124585691943E-4</v>
      </c>
      <c r="H224" s="36">
        <f>SUM(H2:H223)</f>
        <v>517.476</v>
      </c>
      <c r="I224" s="40">
        <f>AVERAGE(I2:I223)</f>
        <v>3.5752453728700363E-5</v>
      </c>
      <c r="J224" s="36">
        <f>SUM(J2:J223)</f>
        <v>803615.51799999946</v>
      </c>
      <c r="K224" s="40">
        <f>AVERAGE(K2:K223)</f>
        <v>2.6366421267020046</v>
      </c>
      <c r="L224" s="36">
        <f>SUM(L2:L223)</f>
        <v>1006.1499999999999</v>
      </c>
      <c r="M224" s="40">
        <f>AVERAGE(M2:M223)</f>
        <v>1.2465672100795415E-3</v>
      </c>
      <c r="N224" s="36">
        <f>SUM(N2:N223)</f>
        <v>3181.18</v>
      </c>
      <c r="O224" s="40">
        <f>AVERAGE(O2:O223)</f>
        <v>7.3038454362934428E-4</v>
      </c>
      <c r="P224" s="36">
        <f>SUM(P2:P223)</f>
        <v>36344.327000000005</v>
      </c>
      <c r="Q224" s="40">
        <f>AVERAGE(Q2:Q223)</f>
        <v>0.1172817473673899</v>
      </c>
      <c r="R224" s="36">
        <f>SUM(R2:R223)</f>
        <v>228654.0290000001</v>
      </c>
      <c r="S224" s="40">
        <f>AVERAGE(S2:S223)</f>
        <v>0.32463904378069325</v>
      </c>
      <c r="T224" s="36">
        <f>SUM(T2:T223)</f>
        <v>397.74299999999999</v>
      </c>
      <c r="U224" s="40">
        <f>AVERAGE(U2:U223)</f>
        <v>5.1409959592715979E-5</v>
      </c>
      <c r="V224" s="36">
        <f>SUM(V2:V223)</f>
        <v>425</v>
      </c>
      <c r="W224" s="40">
        <f>AVERAGE(W2:W223)</f>
        <v>2.7729506242436624E-5</v>
      </c>
      <c r="X224" s="36">
        <f>SUM(X2:X223)</f>
        <v>44333.628999999986</v>
      </c>
      <c r="Y224" s="40">
        <f>AVERAGE(Y2:Y223)</f>
        <v>5.8248868598857181E-2</v>
      </c>
      <c r="Z224" s="36">
        <f>SUM(Z2:Z223)</f>
        <v>52779.892000000022</v>
      </c>
      <c r="AA224" s="40">
        <f>AVERAGE(AA2:AA223)</f>
        <v>4.3852354172733879E-2</v>
      </c>
      <c r="AB224" s="36">
        <f>SUM(AB2:AB223)</f>
        <v>1414262.4579999994</v>
      </c>
      <c r="AC224" s="40">
        <f>AVERAGE(AC2:AC223)</f>
        <v>4.5174747013210297</v>
      </c>
      <c r="AD224" s="37">
        <f>SUM(AD2:AD223)</f>
        <v>6580207.106999997</v>
      </c>
      <c r="AE224" s="40">
        <f>AVERAGE(AE2:AE223)</f>
        <v>9.3255720304509619</v>
      </c>
      <c r="AF224" s="37">
        <f>SUM(AF2:AF223)</f>
        <v>-11521842.824000003</v>
      </c>
      <c r="AG224" s="37">
        <f>SUM(AG2:AG223)</f>
        <v>-1582212.3410000005</v>
      </c>
      <c r="AH224" s="37">
        <f>SUM(AH2:AH223)</f>
        <v>-13104055.164999995</v>
      </c>
      <c r="AI224" s="37">
        <f>SUM(AI2:AI223)</f>
        <v>13104055.164999995</v>
      </c>
      <c r="AJ224" s="39">
        <f>SUM(AJ2:AJ223)</f>
        <v>1.0000000000000009</v>
      </c>
      <c r="AK224" s="37">
        <f>SUM(AK2:AK223)</f>
        <v>1766324.2432000011</v>
      </c>
      <c r="AL224" s="37">
        <f>SUM(AL2:AL223)</f>
        <v>4711819.3148833029</v>
      </c>
      <c r="AM224" s="39">
        <f>SUM(AM2:AM223)</f>
        <v>0.99999999999999956</v>
      </c>
      <c r="AN224" s="37">
        <f>SUM(AN2:AN223)</f>
        <v>1359584.9928000006</v>
      </c>
      <c r="AO224" s="37">
        <f>SUM(AO2:AO223)</f>
        <v>3125909.2359999996</v>
      </c>
      <c r="AP224" s="35">
        <f>AVERAGE(AP2:AP223)</f>
        <v>0.21265528515012269</v>
      </c>
      <c r="AQ224" s="37">
        <f>SUM(AQ2:AQ223)</f>
        <v>-5109585.5999999987</v>
      </c>
      <c r="AR224" s="37">
        <f>SUM(AR2:AR223)</f>
        <v>-1983676.4940000004</v>
      </c>
      <c r="AS224" s="35">
        <f>+AR224/AH224</f>
        <v>0.1513788265557871</v>
      </c>
      <c r="AT224" s="70"/>
      <c r="AU224" s="70"/>
      <c r="AV224" s="70"/>
      <c r="AW224" s="3"/>
      <c r="BA224" s="3"/>
      <c r="BB224" s="3"/>
      <c r="BC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</row>
    <row r="225" spans="1:57" ht="22.2" customHeight="1" x14ac:dyDescent="0.3">
      <c r="A225" s="25" t="s">
        <v>732</v>
      </c>
      <c r="B225" s="33">
        <f>B224/222</f>
        <v>-26.692594594594595</v>
      </c>
      <c r="C225" s="25"/>
      <c r="D225" s="33">
        <f>D224/222</f>
        <v>1093.8087837837838</v>
      </c>
      <c r="E225" s="25"/>
      <c r="F225" s="33">
        <f>F224/222</f>
        <v>27.512252252252253</v>
      </c>
      <c r="G225" s="25"/>
      <c r="H225" s="33">
        <f>H224/222</f>
        <v>2.3309729729729729</v>
      </c>
      <c r="I225" s="2"/>
      <c r="J225" s="33">
        <f>J224/222</f>
        <v>3619.8897207207183</v>
      </c>
      <c r="K225" s="25"/>
      <c r="L225" s="33">
        <f>L224/222</f>
        <v>4.5322072072072066</v>
      </c>
      <c r="M225" s="25"/>
      <c r="N225" s="33">
        <f>N224/222</f>
        <v>14.329639639639639</v>
      </c>
      <c r="O225" s="25"/>
      <c r="P225" s="33">
        <f>P224/222</f>
        <v>163.71318468468471</v>
      </c>
      <c r="Q225" s="15"/>
      <c r="R225" s="33">
        <f>R224/222</f>
        <v>1029.9731036036039</v>
      </c>
      <c r="S225" s="15"/>
      <c r="T225" s="33">
        <f>T224/222</f>
        <v>1.7916351351351352</v>
      </c>
      <c r="U225" s="11"/>
      <c r="V225" s="33">
        <f>V224/222</f>
        <v>1.9144144144144144</v>
      </c>
      <c r="W225" s="102"/>
      <c r="X225" s="33">
        <f>X224/222</f>
        <v>199.70103153153147</v>
      </c>
      <c r="Y225" s="11"/>
      <c r="Z225" s="33">
        <f>Z224/222</f>
        <v>237.74726126126137</v>
      </c>
      <c r="AA225" s="11"/>
      <c r="AB225" s="33">
        <f>AB224/222</f>
        <v>6370.5516126126104</v>
      </c>
      <c r="AC225" s="11"/>
      <c r="AD225" s="11">
        <f>AD224/222</f>
        <v>29640.572554054041</v>
      </c>
      <c r="AE225" s="11"/>
      <c r="AF225" s="11"/>
      <c r="AH225" s="3">
        <f>+D260+E260</f>
        <v>-167144.59899999999</v>
      </c>
      <c r="AM225" s="3"/>
      <c r="AO225" s="33">
        <f>AO224/222</f>
        <v>14080.672234234233</v>
      </c>
      <c r="AR225" s="70"/>
      <c r="AS225" s="3"/>
      <c r="AT225" s="70"/>
    </row>
    <row r="226" spans="1:57" ht="22.2" customHeight="1" x14ac:dyDescent="0.3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33"/>
      <c r="O226" s="33"/>
      <c r="P226" s="33"/>
      <c r="Q226" s="33"/>
      <c r="R226" s="11"/>
      <c r="S226" s="11"/>
      <c r="T226" s="11"/>
      <c r="U226" s="11"/>
      <c r="V226" s="11"/>
      <c r="W226" s="11"/>
      <c r="X226" s="11"/>
      <c r="Y226" s="46"/>
      <c r="Z226" s="11"/>
      <c r="AA226" s="11"/>
      <c r="AB226" s="46"/>
      <c r="AC226" s="11"/>
      <c r="AD226" s="11"/>
      <c r="AE226" s="11"/>
      <c r="AG226"/>
      <c r="AH226" s="3">
        <f>+AH224+AH225</f>
        <v>-13271199.763999995</v>
      </c>
      <c r="AI226"/>
      <c r="AM226" s="3"/>
      <c r="AN226" s="3"/>
      <c r="AO226" s="3"/>
      <c r="AP226" s="3"/>
      <c r="AQ226" s="3"/>
      <c r="AR226" s="70" t="s">
        <v>1340</v>
      </c>
      <c r="AS226" s="70"/>
      <c r="AT226" s="70"/>
      <c r="AU226" s="3"/>
      <c r="AV226" s="3"/>
      <c r="AW226" s="3"/>
      <c r="BA226" s="3"/>
      <c r="BB226" s="3"/>
      <c r="BC226" s="3"/>
      <c r="BE226" s="3"/>
    </row>
    <row r="227" spans="1:57" ht="22.2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7"/>
      <c r="T227" s="2"/>
      <c r="U227" s="2"/>
      <c r="V227" s="2"/>
      <c r="W227" s="2"/>
      <c r="X227" s="2"/>
      <c r="Z227"/>
      <c r="AA227"/>
      <c r="AB227"/>
      <c r="AM227" s="3"/>
      <c r="AN227" s="3"/>
      <c r="AO227" s="3"/>
      <c r="AP227" s="3"/>
      <c r="AQ227" s="3"/>
      <c r="AR227" s="70"/>
      <c r="AS227" s="70"/>
      <c r="AT227" s="70"/>
      <c r="AU227" s="3"/>
    </row>
    <row r="228" spans="1:57" ht="30" customHeight="1" x14ac:dyDescent="0.3">
      <c r="A228" s="58" t="s">
        <v>5</v>
      </c>
      <c r="B228" s="58" t="s">
        <v>236</v>
      </c>
      <c r="C228" s="58" t="s">
        <v>237</v>
      </c>
      <c r="D228" s="58" t="s">
        <v>3</v>
      </c>
      <c r="E228" s="58" t="s">
        <v>4</v>
      </c>
      <c r="F228" s="58" t="s">
        <v>239</v>
      </c>
      <c r="G228" s="58" t="s">
        <v>234</v>
      </c>
      <c r="H228" s="58" t="s">
        <v>33</v>
      </c>
      <c r="I228" s="58" t="s">
        <v>31</v>
      </c>
      <c r="J228" s="58" t="s">
        <v>32</v>
      </c>
      <c r="K228" s="47" t="s">
        <v>235</v>
      </c>
      <c r="AR228" s="70"/>
      <c r="AS228" s="70"/>
      <c r="AT228" s="70"/>
    </row>
    <row r="229" spans="1:57" ht="22.2" customHeight="1" x14ac:dyDescent="0.3">
      <c r="A229" s="25" t="s">
        <v>1043</v>
      </c>
      <c r="B229" s="3">
        <f>158526.55+4.1</f>
        <v>158530.65</v>
      </c>
      <c r="C229" s="3">
        <v>160564.76399999994</v>
      </c>
      <c r="D229" s="3">
        <v>-156632.85999999999</v>
      </c>
      <c r="E229" s="3">
        <f>-3896.237-0.04</f>
        <v>-3896.277</v>
      </c>
      <c r="F229" s="3">
        <f>D229+E229</f>
        <v>-160529.13699999999</v>
      </c>
      <c r="G229" s="57">
        <f>D229+E229+C229+B229</f>
        <v>158566.27699999994</v>
      </c>
      <c r="H229" s="56">
        <f t="shared" ref="H229:H235" si="0">((D229+E229)*-1)-C229</f>
        <v>-35.626999999949476</v>
      </c>
      <c r="I229" s="8">
        <f t="shared" ref="I229:I259" si="1">H229/($H$260)</f>
        <v>-5.4145734657402803E-3</v>
      </c>
      <c r="J229" s="28">
        <f>-G229</f>
        <v>-158566.27699999994</v>
      </c>
      <c r="K229" s="56">
        <f>G229+J229</f>
        <v>0</v>
      </c>
      <c r="AR229" s="70"/>
      <c r="AS229" s="70"/>
      <c r="AT229" s="70"/>
    </row>
    <row r="230" spans="1:57" ht="22.2" customHeight="1" x14ac:dyDescent="0.3">
      <c r="A230" s="25" t="s">
        <v>1044</v>
      </c>
      <c r="B230" s="3">
        <v>2335.5700000000002</v>
      </c>
      <c r="C230" s="3"/>
      <c r="D230" s="3"/>
      <c r="E230" s="3"/>
      <c r="F230" s="3">
        <v>0</v>
      </c>
      <c r="G230" s="57">
        <f>B230+C230+D230+E230</f>
        <v>2335.5700000000002</v>
      </c>
      <c r="H230" s="56">
        <f t="shared" si="0"/>
        <v>0</v>
      </c>
      <c r="I230" s="8">
        <f t="shared" si="1"/>
        <v>0</v>
      </c>
      <c r="J230" s="28">
        <f t="shared" ref="J230:J259" si="2">-G230</f>
        <v>-2335.5700000000002</v>
      </c>
      <c r="K230" s="56">
        <f t="shared" ref="K230:K231" si="3">G230+J230</f>
        <v>0</v>
      </c>
      <c r="L230" s="3"/>
      <c r="AR230" s="70"/>
      <c r="AS230" s="70"/>
    </row>
    <row r="231" spans="1:57" ht="22.2" customHeight="1" x14ac:dyDescent="0.3">
      <c r="A231" s="25" t="s">
        <v>1045</v>
      </c>
      <c r="B231" s="3">
        <v>50617.478999999992</v>
      </c>
      <c r="C231" s="3"/>
      <c r="D231" s="3"/>
      <c r="E231" s="3"/>
      <c r="F231" s="3">
        <f>D231+E231</f>
        <v>0</v>
      </c>
      <c r="G231" s="57">
        <f t="shared" ref="G231:G238" si="4">D231+E231+C231+B231</f>
        <v>50617.478999999992</v>
      </c>
      <c r="H231" s="56">
        <f t="shared" si="0"/>
        <v>0</v>
      </c>
      <c r="I231" s="8">
        <f t="shared" si="1"/>
        <v>0</v>
      </c>
      <c r="J231" s="28">
        <f t="shared" si="2"/>
        <v>-50617.478999999992</v>
      </c>
      <c r="K231" s="56">
        <f t="shared" si="3"/>
        <v>0</v>
      </c>
      <c r="L231" s="3"/>
      <c r="AR231" s="70"/>
      <c r="AS231" s="70"/>
      <c r="AT231" s="70"/>
    </row>
    <row r="232" spans="1:57" ht="22.2" customHeight="1" x14ac:dyDescent="0.3">
      <c r="A232" s="25" t="s">
        <v>1046</v>
      </c>
      <c r="B232" s="3">
        <v>5978.853000000001</v>
      </c>
      <c r="C232" s="3"/>
      <c r="D232" s="3"/>
      <c r="E232" s="3"/>
      <c r="F232" s="3">
        <f>D232+E232</f>
        <v>0</v>
      </c>
      <c r="G232" s="57">
        <f t="shared" si="4"/>
        <v>5978.853000000001</v>
      </c>
      <c r="H232" s="56">
        <f t="shared" si="0"/>
        <v>0</v>
      </c>
      <c r="I232" s="8">
        <f t="shared" si="1"/>
        <v>0</v>
      </c>
      <c r="J232" s="28">
        <f t="shared" si="2"/>
        <v>-5978.853000000001</v>
      </c>
      <c r="K232" s="56">
        <f t="shared" ref="K232:K244" si="5">G232+J232</f>
        <v>0</v>
      </c>
      <c r="L232" s="3"/>
      <c r="AR232" s="70"/>
      <c r="AS232" s="70"/>
      <c r="AT232" s="70"/>
    </row>
    <row r="233" spans="1:57" ht="22.2" customHeight="1" x14ac:dyDescent="0.3">
      <c r="A233" s="25" t="s">
        <v>1047</v>
      </c>
      <c r="B233" s="3">
        <v>27670.112000000001</v>
      </c>
      <c r="C233" s="3"/>
      <c r="D233" s="3"/>
      <c r="E233" s="3"/>
      <c r="F233" s="3">
        <f>D233+E233</f>
        <v>0</v>
      </c>
      <c r="G233" s="57">
        <f t="shared" si="4"/>
        <v>27670.112000000001</v>
      </c>
      <c r="H233" s="56">
        <f t="shared" si="0"/>
        <v>0</v>
      </c>
      <c r="I233" s="8">
        <f t="shared" si="1"/>
        <v>0</v>
      </c>
      <c r="J233" s="28">
        <f t="shared" si="2"/>
        <v>-27670.112000000001</v>
      </c>
      <c r="K233" s="56">
        <f t="shared" si="5"/>
        <v>0</v>
      </c>
      <c r="L233" s="3"/>
      <c r="AR233" s="70"/>
      <c r="AS233" s="70"/>
      <c r="AT233" s="70"/>
    </row>
    <row r="234" spans="1:57" ht="22.2" customHeight="1" x14ac:dyDescent="0.3">
      <c r="A234" s="25" t="s">
        <v>1048</v>
      </c>
      <c r="B234" s="3">
        <f>2326624.291+226.539+100+100</f>
        <v>2327050.83</v>
      </c>
      <c r="C234" s="3"/>
      <c r="D234" s="3"/>
      <c r="E234" s="3">
        <v>-6614.52</v>
      </c>
      <c r="F234" s="3">
        <f>D234+E234</f>
        <v>-6614.52</v>
      </c>
      <c r="G234" s="57">
        <f t="shared" si="4"/>
        <v>2320436.31</v>
      </c>
      <c r="H234" s="56">
        <f t="shared" si="0"/>
        <v>6614.52</v>
      </c>
      <c r="I234" s="8">
        <f t="shared" si="1"/>
        <v>1.0052714087815195</v>
      </c>
      <c r="J234" s="28">
        <f t="shared" si="2"/>
        <v>-2320436.31</v>
      </c>
      <c r="K234" s="56">
        <f t="shared" si="5"/>
        <v>0</v>
      </c>
      <c r="L234" s="3"/>
      <c r="AR234" s="70"/>
      <c r="AS234" s="70"/>
      <c r="AT234" s="70"/>
    </row>
    <row r="235" spans="1:57" ht="22.2" customHeight="1" x14ac:dyDescent="0.3">
      <c r="A235" s="25" t="s">
        <v>1049</v>
      </c>
      <c r="B235" s="3">
        <v>3827.5129999999995</v>
      </c>
      <c r="C235" s="3"/>
      <c r="D235" s="3"/>
      <c r="E235" s="3"/>
      <c r="F235" s="3">
        <f>D235+E235</f>
        <v>0</v>
      </c>
      <c r="G235" s="57">
        <f t="shared" si="4"/>
        <v>3827.5129999999995</v>
      </c>
      <c r="H235" s="56">
        <f t="shared" si="0"/>
        <v>0</v>
      </c>
      <c r="I235" s="8">
        <f t="shared" si="1"/>
        <v>0</v>
      </c>
      <c r="J235" s="28">
        <f t="shared" si="2"/>
        <v>-3827.5129999999995</v>
      </c>
      <c r="K235" s="56">
        <f t="shared" si="5"/>
        <v>0</v>
      </c>
      <c r="L235" s="3"/>
      <c r="AR235" s="70"/>
      <c r="AS235" s="70"/>
      <c r="AT235" s="70"/>
    </row>
    <row r="236" spans="1:57" ht="22.2" customHeight="1" x14ac:dyDescent="0.3">
      <c r="A236" s="25" t="s">
        <v>1050</v>
      </c>
      <c r="B236" s="3">
        <v>3353.973</v>
      </c>
      <c r="C236" s="3"/>
      <c r="D236" s="3"/>
      <c r="E236" s="3"/>
      <c r="F236" s="3">
        <f t="shared" ref="F236:F259" si="6">D236+E236</f>
        <v>0</v>
      </c>
      <c r="G236" s="57">
        <f t="shared" si="4"/>
        <v>3353.973</v>
      </c>
      <c r="H236" s="56">
        <f t="shared" ref="H236:H259" si="7">((D236+E236)*-1)-C236</f>
        <v>0</v>
      </c>
      <c r="I236" s="8">
        <f t="shared" si="1"/>
        <v>0</v>
      </c>
      <c r="J236" s="28">
        <f t="shared" si="2"/>
        <v>-3353.973</v>
      </c>
      <c r="K236" s="56">
        <f t="shared" si="5"/>
        <v>0</v>
      </c>
      <c r="L236" s="3"/>
      <c r="AR236" s="70"/>
      <c r="AS236" s="70"/>
      <c r="AT236" s="70"/>
    </row>
    <row r="237" spans="1:57" ht="22.2" customHeight="1" x14ac:dyDescent="0.3">
      <c r="A237" s="25" t="s">
        <v>1051</v>
      </c>
      <c r="B237" s="3">
        <v>33185.258999999998</v>
      </c>
      <c r="C237" s="3"/>
      <c r="D237" s="3"/>
      <c r="E237" s="3"/>
      <c r="F237" s="3">
        <f t="shared" si="6"/>
        <v>0</v>
      </c>
      <c r="G237" s="57">
        <f t="shared" si="4"/>
        <v>33185.258999999998</v>
      </c>
      <c r="H237" s="56">
        <f t="shared" si="7"/>
        <v>0</v>
      </c>
      <c r="I237" s="8">
        <f t="shared" si="1"/>
        <v>0</v>
      </c>
      <c r="J237" s="28">
        <f t="shared" si="2"/>
        <v>-33185.258999999998</v>
      </c>
      <c r="K237" s="56">
        <f t="shared" si="5"/>
        <v>0</v>
      </c>
      <c r="L237" s="3"/>
      <c r="AR237" s="70"/>
      <c r="AS237" s="70"/>
      <c r="AT237" s="70"/>
    </row>
    <row r="238" spans="1:57" ht="22.2" customHeight="1" x14ac:dyDescent="0.3">
      <c r="A238" s="25" t="s">
        <v>1052</v>
      </c>
      <c r="B238" s="3">
        <v>2119.7799999999997</v>
      </c>
      <c r="C238" s="3"/>
      <c r="D238" s="3"/>
      <c r="E238" s="3"/>
      <c r="F238" s="3">
        <f t="shared" ref="F238:F256" si="8">D238+E238</f>
        <v>0</v>
      </c>
      <c r="G238" s="57">
        <f t="shared" si="4"/>
        <v>2119.7799999999997</v>
      </c>
      <c r="H238" s="56">
        <f t="shared" si="7"/>
        <v>0</v>
      </c>
      <c r="I238" s="8">
        <f t="shared" si="1"/>
        <v>0</v>
      </c>
      <c r="J238" s="28">
        <f t="shared" si="2"/>
        <v>-2119.7799999999997</v>
      </c>
      <c r="K238" s="56">
        <f t="shared" si="5"/>
        <v>0</v>
      </c>
      <c r="L238" s="3"/>
      <c r="AR238" s="70"/>
      <c r="AS238" s="70"/>
      <c r="AT238" s="70"/>
    </row>
    <row r="239" spans="1:57" ht="22.2" customHeight="1" x14ac:dyDescent="0.3">
      <c r="A239" s="25" t="s">
        <v>1053</v>
      </c>
      <c r="B239" s="3">
        <v>70260.320000000007</v>
      </c>
      <c r="C239" s="3"/>
      <c r="D239" s="3"/>
      <c r="E239" s="3">
        <v>-0.94199999999999995</v>
      </c>
      <c r="F239" s="3">
        <f t="shared" si="8"/>
        <v>-0.94199999999999995</v>
      </c>
      <c r="G239" s="57">
        <f t="shared" ref="G239:G259" si="9">D239+E239+C239+B239</f>
        <v>70259.378000000012</v>
      </c>
      <c r="H239" s="56">
        <f t="shared" si="7"/>
        <v>0.94199999999999995</v>
      </c>
      <c r="I239" s="8">
        <f t="shared" si="1"/>
        <v>1.4316468422080381E-4</v>
      </c>
      <c r="J239" s="28">
        <f t="shared" si="2"/>
        <v>-70259.378000000012</v>
      </c>
      <c r="K239" s="56">
        <f t="shared" si="5"/>
        <v>0</v>
      </c>
      <c r="L239" s="3"/>
      <c r="AR239" s="70"/>
      <c r="AS239" s="70"/>
      <c r="AT239" s="70"/>
    </row>
    <row r="240" spans="1:57" ht="22.2" customHeight="1" x14ac:dyDescent="0.3">
      <c r="A240" s="25" t="s">
        <v>1054</v>
      </c>
      <c r="B240" s="3">
        <v>33857.404999999999</v>
      </c>
      <c r="C240" s="3"/>
      <c r="D240" s="3"/>
      <c r="E240" s="3"/>
      <c r="F240" s="3">
        <f t="shared" si="8"/>
        <v>0</v>
      </c>
      <c r="G240" s="57">
        <f>D240+E240+C240+B240</f>
        <v>33857.404999999999</v>
      </c>
      <c r="H240" s="56">
        <f t="shared" si="7"/>
        <v>0</v>
      </c>
      <c r="I240" s="8">
        <f t="shared" si="1"/>
        <v>0</v>
      </c>
      <c r="J240" s="28">
        <f t="shared" si="2"/>
        <v>-33857.404999999999</v>
      </c>
      <c r="K240" s="56">
        <f t="shared" si="5"/>
        <v>0</v>
      </c>
      <c r="L240" s="3"/>
      <c r="AR240" s="70"/>
      <c r="AS240" s="70"/>
      <c r="AT240" s="70"/>
    </row>
    <row r="241" spans="1:46" ht="22.2" customHeight="1" x14ac:dyDescent="0.3">
      <c r="A241" s="25" t="s">
        <v>1055</v>
      </c>
      <c r="B241" s="3">
        <v>6880.3109999999997</v>
      </c>
      <c r="C241" s="3"/>
      <c r="D241" s="3"/>
      <c r="E241" s="3"/>
      <c r="F241" s="3">
        <f t="shared" si="8"/>
        <v>0</v>
      </c>
      <c r="G241" s="57">
        <f>D241+E241+C241+B241</f>
        <v>6880.3109999999997</v>
      </c>
      <c r="H241" s="56">
        <f t="shared" si="7"/>
        <v>0</v>
      </c>
      <c r="I241" s="8">
        <f t="shared" si="1"/>
        <v>0</v>
      </c>
      <c r="J241" s="28">
        <f t="shared" si="2"/>
        <v>-6880.3109999999997</v>
      </c>
      <c r="K241" s="56">
        <f t="shared" si="5"/>
        <v>0</v>
      </c>
      <c r="L241" s="3"/>
      <c r="AR241" s="70"/>
      <c r="AS241" s="70"/>
      <c r="AT241" s="70"/>
    </row>
    <row r="242" spans="1:46" ht="22.2" customHeight="1" x14ac:dyDescent="0.3">
      <c r="A242" s="25" t="s">
        <v>1056</v>
      </c>
      <c r="B242" s="3">
        <v>43847.361000000004</v>
      </c>
      <c r="C242" s="3"/>
      <c r="D242" s="3"/>
      <c r="E242" s="3"/>
      <c r="F242" s="3">
        <f t="shared" si="8"/>
        <v>0</v>
      </c>
      <c r="G242" s="57">
        <f t="shared" si="9"/>
        <v>43847.361000000004</v>
      </c>
      <c r="H242" s="56">
        <f t="shared" si="7"/>
        <v>0</v>
      </c>
      <c r="I242" s="8">
        <f t="shared" si="1"/>
        <v>0</v>
      </c>
      <c r="J242" s="28">
        <f t="shared" si="2"/>
        <v>-43847.361000000004</v>
      </c>
      <c r="K242" s="56">
        <f t="shared" si="5"/>
        <v>0</v>
      </c>
      <c r="L242" s="3"/>
      <c r="AR242" s="70"/>
      <c r="AS242" s="70"/>
      <c r="AT242" s="70"/>
    </row>
    <row r="243" spans="1:46" ht="22.2" customHeight="1" x14ac:dyDescent="0.3">
      <c r="A243" s="25" t="s">
        <v>1057</v>
      </c>
      <c r="B243" s="3">
        <v>34018.936000000002</v>
      </c>
      <c r="C243" s="3"/>
      <c r="D243" s="3"/>
      <c r="E243" s="3"/>
      <c r="F243" s="3">
        <f t="shared" si="8"/>
        <v>0</v>
      </c>
      <c r="G243" s="57">
        <f t="shared" si="9"/>
        <v>34018.936000000002</v>
      </c>
      <c r="H243" s="56">
        <f t="shared" si="7"/>
        <v>0</v>
      </c>
      <c r="I243" s="8">
        <f t="shared" si="1"/>
        <v>0</v>
      </c>
      <c r="J243" s="28">
        <f t="shared" si="2"/>
        <v>-34018.936000000002</v>
      </c>
      <c r="K243" s="56">
        <f t="shared" si="5"/>
        <v>0</v>
      </c>
      <c r="L243" s="3"/>
      <c r="AR243" s="70"/>
      <c r="AS243" s="70"/>
      <c r="AT243" s="70"/>
    </row>
    <row r="244" spans="1:46" ht="22.2" customHeight="1" x14ac:dyDescent="0.3">
      <c r="A244" s="25" t="s">
        <v>1058</v>
      </c>
      <c r="B244" s="3">
        <v>5019.54</v>
      </c>
      <c r="C244" s="3"/>
      <c r="D244" s="3"/>
      <c r="E244" s="3"/>
      <c r="F244" s="3">
        <f t="shared" si="8"/>
        <v>0</v>
      </c>
      <c r="G244" s="57">
        <f t="shared" si="9"/>
        <v>5019.54</v>
      </c>
      <c r="H244" s="56">
        <f t="shared" si="7"/>
        <v>0</v>
      </c>
      <c r="I244" s="8">
        <f t="shared" si="1"/>
        <v>0</v>
      </c>
      <c r="J244" s="28">
        <f t="shared" si="2"/>
        <v>-5019.54</v>
      </c>
      <c r="K244" s="56">
        <f t="shared" si="5"/>
        <v>0</v>
      </c>
      <c r="L244" s="3"/>
      <c r="AR244" s="70"/>
      <c r="AS244" s="70"/>
      <c r="AT244" s="70"/>
    </row>
    <row r="245" spans="1:46" ht="22.2" customHeight="1" x14ac:dyDescent="0.3">
      <c r="A245" s="25" t="s">
        <v>1059</v>
      </c>
      <c r="B245" s="3">
        <v>642.78600000000006</v>
      </c>
      <c r="C245" s="3"/>
      <c r="D245" s="3"/>
      <c r="E245" s="3"/>
      <c r="F245" s="3">
        <f t="shared" si="8"/>
        <v>0</v>
      </c>
      <c r="G245" s="57">
        <f t="shared" si="9"/>
        <v>642.78600000000006</v>
      </c>
      <c r="H245" s="56">
        <f t="shared" si="7"/>
        <v>0</v>
      </c>
      <c r="I245" s="8">
        <f t="shared" si="1"/>
        <v>0</v>
      </c>
      <c r="J245" s="28">
        <f t="shared" si="2"/>
        <v>-642.78600000000006</v>
      </c>
      <c r="K245" s="56">
        <f t="shared" ref="K245:K256" si="10">G245+J245</f>
        <v>0</v>
      </c>
      <c r="L245" s="3"/>
      <c r="AR245" s="70"/>
      <c r="AS245" s="70"/>
      <c r="AT245" s="70"/>
    </row>
    <row r="246" spans="1:46" ht="22.2" customHeight="1" x14ac:dyDescent="0.3">
      <c r="A246" s="25" t="s">
        <v>1060</v>
      </c>
      <c r="B246" s="3">
        <v>1787.84</v>
      </c>
      <c r="C246" s="3"/>
      <c r="D246" s="3"/>
      <c r="E246" s="3"/>
      <c r="F246" s="3">
        <f t="shared" si="8"/>
        <v>0</v>
      </c>
      <c r="G246" s="57">
        <f t="shared" si="9"/>
        <v>1787.84</v>
      </c>
      <c r="H246" s="56">
        <f t="shared" si="7"/>
        <v>0</v>
      </c>
      <c r="I246" s="8">
        <f t="shared" si="1"/>
        <v>0</v>
      </c>
      <c r="J246" s="28">
        <f t="shared" si="2"/>
        <v>-1787.84</v>
      </c>
      <c r="K246" s="56">
        <f t="shared" si="10"/>
        <v>0</v>
      </c>
      <c r="L246" s="3"/>
      <c r="AR246" s="70"/>
      <c r="AS246" s="70"/>
      <c r="AT246" s="70"/>
    </row>
    <row r="247" spans="1:46" ht="22.2" customHeight="1" x14ac:dyDescent="0.3">
      <c r="A247" s="25" t="s">
        <v>1061</v>
      </c>
      <c r="B247" s="3">
        <v>3312.5950000000003</v>
      </c>
      <c r="C247" s="3"/>
      <c r="D247" s="3"/>
      <c r="E247" s="3"/>
      <c r="F247" s="3">
        <f t="shared" si="8"/>
        <v>0</v>
      </c>
      <c r="G247" s="57">
        <f t="shared" si="9"/>
        <v>3312.5950000000003</v>
      </c>
      <c r="H247" s="56">
        <f t="shared" si="7"/>
        <v>0</v>
      </c>
      <c r="I247" s="8">
        <f t="shared" si="1"/>
        <v>0</v>
      </c>
      <c r="J247" s="28">
        <f t="shared" si="2"/>
        <v>-3312.5950000000003</v>
      </c>
      <c r="K247" s="56">
        <f t="shared" si="10"/>
        <v>0</v>
      </c>
      <c r="L247" s="3"/>
      <c r="AR247" s="70"/>
      <c r="AS247" s="70"/>
      <c r="AT247" s="70"/>
    </row>
    <row r="248" spans="1:46" ht="22.2" customHeight="1" x14ac:dyDescent="0.3">
      <c r="A248" s="25" t="s">
        <v>1062</v>
      </c>
      <c r="B248" s="3">
        <v>5935.29</v>
      </c>
      <c r="C248" s="3"/>
      <c r="D248" s="3"/>
      <c r="E248" s="3"/>
      <c r="F248" s="3">
        <f t="shared" si="8"/>
        <v>0</v>
      </c>
      <c r="G248" s="57">
        <f t="shared" si="9"/>
        <v>5935.29</v>
      </c>
      <c r="H248" s="56">
        <f t="shared" si="7"/>
        <v>0</v>
      </c>
      <c r="I248" s="8">
        <f t="shared" si="1"/>
        <v>0</v>
      </c>
      <c r="J248" s="28">
        <f t="shared" si="2"/>
        <v>-5935.29</v>
      </c>
      <c r="K248" s="56">
        <f t="shared" si="10"/>
        <v>0</v>
      </c>
      <c r="L248" s="3"/>
      <c r="AR248" s="70"/>
      <c r="AS248" s="70"/>
      <c r="AT248" s="70"/>
    </row>
    <row r="249" spans="1:46" ht="22.2" customHeight="1" x14ac:dyDescent="0.3">
      <c r="A249" s="25" t="s">
        <v>1063</v>
      </c>
      <c r="B249" s="3">
        <v>5051.6790000000001</v>
      </c>
      <c r="C249" s="3"/>
      <c r="D249" s="3"/>
      <c r="E249" s="3"/>
      <c r="F249" s="3">
        <f t="shared" si="8"/>
        <v>0</v>
      </c>
      <c r="G249" s="57">
        <f t="shared" si="9"/>
        <v>5051.6790000000001</v>
      </c>
      <c r="H249" s="56">
        <f t="shared" si="7"/>
        <v>0</v>
      </c>
      <c r="I249" s="8">
        <f t="shared" si="1"/>
        <v>0</v>
      </c>
      <c r="J249" s="28">
        <f t="shared" si="2"/>
        <v>-5051.6790000000001</v>
      </c>
      <c r="K249" s="56">
        <f t="shared" si="10"/>
        <v>0</v>
      </c>
      <c r="L249" s="3"/>
      <c r="AR249" s="70"/>
      <c r="AS249" s="70"/>
      <c r="AT249" s="70"/>
    </row>
    <row r="250" spans="1:46" ht="22.2" customHeight="1" x14ac:dyDescent="0.3">
      <c r="A250" s="25" t="s">
        <v>1064</v>
      </c>
      <c r="B250" s="3">
        <v>4466.7950000000001</v>
      </c>
      <c r="C250" s="3"/>
      <c r="D250" s="3"/>
      <c r="E250" s="3"/>
      <c r="F250" s="3">
        <f t="shared" si="8"/>
        <v>0</v>
      </c>
      <c r="G250" s="57">
        <f t="shared" si="9"/>
        <v>4466.7950000000001</v>
      </c>
      <c r="H250" s="56">
        <f t="shared" si="7"/>
        <v>0</v>
      </c>
      <c r="I250" s="8">
        <f t="shared" si="1"/>
        <v>0</v>
      </c>
      <c r="J250" s="28">
        <f t="shared" si="2"/>
        <v>-4466.7950000000001</v>
      </c>
      <c r="K250" s="56">
        <f t="shared" si="10"/>
        <v>0</v>
      </c>
      <c r="L250" s="3"/>
      <c r="AR250" s="70"/>
      <c r="AS250" s="70"/>
      <c r="AT250" s="70"/>
    </row>
    <row r="251" spans="1:46" ht="22.2" customHeight="1" x14ac:dyDescent="0.3">
      <c r="A251" s="25" t="s">
        <v>1065</v>
      </c>
      <c r="B251" s="3">
        <v>4399.4319999999998</v>
      </c>
      <c r="C251" s="3"/>
      <c r="D251" s="3"/>
      <c r="E251" s="3"/>
      <c r="F251" s="3">
        <f t="shared" si="8"/>
        <v>0</v>
      </c>
      <c r="G251" s="57">
        <f t="shared" si="9"/>
        <v>4399.4319999999998</v>
      </c>
      <c r="H251" s="56">
        <f t="shared" si="7"/>
        <v>0</v>
      </c>
      <c r="I251" s="8">
        <f t="shared" si="1"/>
        <v>0</v>
      </c>
      <c r="J251" s="28">
        <f t="shared" si="2"/>
        <v>-4399.4319999999998</v>
      </c>
      <c r="K251" s="56">
        <f t="shared" si="10"/>
        <v>0</v>
      </c>
      <c r="L251" s="3"/>
      <c r="AR251" s="70"/>
      <c r="AS251" s="70"/>
      <c r="AT251" s="70"/>
    </row>
    <row r="252" spans="1:46" ht="22.2" customHeight="1" x14ac:dyDescent="0.3">
      <c r="A252" s="25" t="s">
        <v>1066</v>
      </c>
      <c r="B252" s="3">
        <v>3594.8069999999998</v>
      </c>
      <c r="C252" s="3"/>
      <c r="D252" s="3"/>
      <c r="E252" s="3"/>
      <c r="F252" s="3">
        <f t="shared" si="8"/>
        <v>0</v>
      </c>
      <c r="G252" s="57">
        <f t="shared" si="9"/>
        <v>3594.8069999999998</v>
      </c>
      <c r="H252" s="56">
        <f t="shared" si="7"/>
        <v>0</v>
      </c>
      <c r="I252" s="8">
        <f t="shared" si="1"/>
        <v>0</v>
      </c>
      <c r="J252" s="28">
        <f t="shared" si="2"/>
        <v>-3594.8069999999998</v>
      </c>
      <c r="K252" s="56">
        <f t="shared" si="10"/>
        <v>0</v>
      </c>
      <c r="L252" s="3"/>
      <c r="AR252" s="70"/>
      <c r="AS252" s="70"/>
      <c r="AT252" s="70"/>
    </row>
    <row r="253" spans="1:46" ht="22.2" customHeight="1" x14ac:dyDescent="0.3">
      <c r="A253" s="25" t="s">
        <v>1067</v>
      </c>
      <c r="B253" s="3">
        <v>4613.3130000000001</v>
      </c>
      <c r="C253" s="3"/>
      <c r="D253" s="3"/>
      <c r="E253" s="3"/>
      <c r="F253" s="3">
        <f t="shared" si="8"/>
        <v>0</v>
      </c>
      <c r="G253" s="57">
        <f t="shared" si="9"/>
        <v>4613.3130000000001</v>
      </c>
      <c r="H253" s="56">
        <f t="shared" si="7"/>
        <v>0</v>
      </c>
      <c r="I253" s="8">
        <f t="shared" si="1"/>
        <v>0</v>
      </c>
      <c r="J253" s="28">
        <f t="shared" si="2"/>
        <v>-4613.3130000000001</v>
      </c>
      <c r="K253" s="56">
        <f t="shared" si="10"/>
        <v>0</v>
      </c>
      <c r="L253" s="3"/>
      <c r="AR253" s="70"/>
      <c r="AS253" s="70"/>
      <c r="AT253" s="70"/>
    </row>
    <row r="254" spans="1:46" ht="22.2" customHeight="1" x14ac:dyDescent="0.3">
      <c r="A254" s="25" t="s">
        <v>1068</v>
      </c>
      <c r="B254" s="3">
        <v>2390.1799999999998</v>
      </c>
      <c r="C254" s="3"/>
      <c r="D254" s="3"/>
      <c r="E254" s="3"/>
      <c r="F254" s="3">
        <f t="shared" si="8"/>
        <v>0</v>
      </c>
      <c r="G254" s="57">
        <f t="shared" si="9"/>
        <v>2390.1799999999998</v>
      </c>
      <c r="H254" s="56">
        <f t="shared" si="7"/>
        <v>0</v>
      </c>
      <c r="I254" s="8">
        <f t="shared" si="1"/>
        <v>0</v>
      </c>
      <c r="J254" s="28">
        <f t="shared" si="2"/>
        <v>-2390.1799999999998</v>
      </c>
      <c r="K254" s="56">
        <f t="shared" si="10"/>
        <v>0</v>
      </c>
      <c r="L254" s="3"/>
      <c r="AR254" s="70"/>
      <c r="AS254" s="70"/>
      <c r="AT254" s="70"/>
    </row>
    <row r="255" spans="1:46" ht="22.2" customHeight="1" x14ac:dyDescent="0.3">
      <c r="A255" s="25" t="s">
        <v>1069</v>
      </c>
      <c r="B255" s="3">
        <v>11050.525000000001</v>
      </c>
      <c r="C255" s="3"/>
      <c r="D255" s="3"/>
      <c r="E255" s="3"/>
      <c r="F255" s="3">
        <f t="shared" si="8"/>
        <v>0</v>
      </c>
      <c r="G255" s="57">
        <f t="shared" si="9"/>
        <v>11050.525000000001</v>
      </c>
      <c r="H255" s="56">
        <f t="shared" si="7"/>
        <v>0</v>
      </c>
      <c r="I255" s="8">
        <f t="shared" si="1"/>
        <v>0</v>
      </c>
      <c r="J255" s="28">
        <f t="shared" si="2"/>
        <v>-11050.525000000001</v>
      </c>
      <c r="K255" s="56">
        <f t="shared" si="10"/>
        <v>0</v>
      </c>
      <c r="L255" s="3"/>
      <c r="AR255" s="70"/>
      <c r="AS255" s="70"/>
      <c r="AT255" s="70"/>
    </row>
    <row r="256" spans="1:46" ht="22.2" customHeight="1" x14ac:dyDescent="0.3">
      <c r="A256" s="25" t="s">
        <v>1070</v>
      </c>
      <c r="B256" s="3">
        <v>9900.6009999999987</v>
      </c>
      <c r="C256" s="3"/>
      <c r="D256" s="3"/>
      <c r="E256" s="3"/>
      <c r="F256" s="3">
        <f t="shared" si="8"/>
        <v>0</v>
      </c>
      <c r="G256" s="57">
        <f t="shared" si="9"/>
        <v>9900.6009999999987</v>
      </c>
      <c r="H256" s="56">
        <f t="shared" si="7"/>
        <v>0</v>
      </c>
      <c r="I256" s="8">
        <f t="shared" si="1"/>
        <v>0</v>
      </c>
      <c r="J256" s="28">
        <f t="shared" si="2"/>
        <v>-9900.6009999999987</v>
      </c>
      <c r="K256" s="56">
        <f t="shared" si="10"/>
        <v>0</v>
      </c>
      <c r="L256" s="3"/>
      <c r="AR256" s="70"/>
      <c r="AS256" s="70"/>
      <c r="AT256" s="70"/>
    </row>
    <row r="257" spans="1:46" ht="22.2" customHeight="1" x14ac:dyDescent="0.3">
      <c r="A257" s="25" t="s">
        <v>1071</v>
      </c>
      <c r="B257" s="3">
        <v>3253.2719999999999</v>
      </c>
      <c r="C257" s="3"/>
      <c r="D257" s="3"/>
      <c r="E257" s="3"/>
      <c r="F257" s="3">
        <f t="shared" si="6"/>
        <v>0</v>
      </c>
      <c r="G257" s="57">
        <f t="shared" si="9"/>
        <v>3253.2719999999999</v>
      </c>
      <c r="H257" s="56">
        <f t="shared" si="7"/>
        <v>0</v>
      </c>
      <c r="I257" s="8">
        <f t="shared" si="1"/>
        <v>0</v>
      </c>
      <c r="J257" s="28">
        <f t="shared" si="2"/>
        <v>-3253.2719999999999</v>
      </c>
      <c r="K257" s="56">
        <f>G257+J257</f>
        <v>0</v>
      </c>
      <c r="L257" s="3"/>
      <c r="AR257" s="70"/>
      <c r="AS257" s="70"/>
      <c r="AT257" s="70"/>
    </row>
    <row r="258" spans="1:46" ht="22.2" customHeight="1" x14ac:dyDescent="0.3">
      <c r="A258" s="25" t="s">
        <v>1072</v>
      </c>
      <c r="B258" s="3">
        <v>3146.585</v>
      </c>
      <c r="C258" s="3"/>
      <c r="D258" s="3"/>
      <c r="E258" s="3"/>
      <c r="F258" s="3">
        <f t="shared" ref="F258" si="11">D258+E258</f>
        <v>0</v>
      </c>
      <c r="G258" s="57">
        <f t="shared" ref="G258" si="12">D258+E258+C258+B258</f>
        <v>3146.585</v>
      </c>
      <c r="H258" s="56">
        <f t="shared" ref="H258" si="13">((D258+E258)*-1)-C258</f>
        <v>0</v>
      </c>
      <c r="I258" s="8">
        <f t="shared" si="1"/>
        <v>0</v>
      </c>
      <c r="J258" s="28">
        <f t="shared" ref="J258" si="14">-G258</f>
        <v>-3146.585</v>
      </c>
      <c r="K258" s="56">
        <f>G258+J258</f>
        <v>0</v>
      </c>
      <c r="L258" s="3"/>
      <c r="AR258" s="70"/>
      <c r="AS258" s="70"/>
      <c r="AT258" s="70"/>
    </row>
    <row r="259" spans="1:46" ht="22.2" customHeight="1" x14ac:dyDescent="0.3">
      <c r="A259" s="25" t="s">
        <v>1073</v>
      </c>
      <c r="B259" s="3">
        <v>25354.875000000004</v>
      </c>
      <c r="C259" s="3"/>
      <c r="D259" s="3"/>
      <c r="E259" s="3"/>
      <c r="F259" s="3">
        <f t="shared" si="6"/>
        <v>0</v>
      </c>
      <c r="G259" s="57">
        <f t="shared" si="9"/>
        <v>25354.875000000004</v>
      </c>
      <c r="H259" s="56">
        <f t="shared" si="7"/>
        <v>0</v>
      </c>
      <c r="I259" s="8">
        <f t="shared" si="1"/>
        <v>0</v>
      </c>
      <c r="J259" s="28">
        <f t="shared" si="2"/>
        <v>-25354.875000000004</v>
      </c>
      <c r="K259" s="56">
        <f>G259+J259</f>
        <v>0</v>
      </c>
      <c r="L259" s="3"/>
      <c r="AR259" s="70"/>
      <c r="AS259" s="70"/>
      <c r="AT259" s="70"/>
    </row>
    <row r="260" spans="1:46" ht="22.2" customHeight="1" x14ac:dyDescent="0.3">
      <c r="A260" s="34" t="s">
        <v>247</v>
      </c>
      <c r="B260" s="37">
        <f t="shared" ref="B260:K260" si="15">SUM(B229:B259)</f>
        <v>2897454.4669999997</v>
      </c>
      <c r="C260" s="37">
        <f t="shared" si="15"/>
        <v>160564.76399999994</v>
      </c>
      <c r="D260" s="37">
        <f t="shared" si="15"/>
        <v>-156632.85999999999</v>
      </c>
      <c r="E260" s="37">
        <f t="shared" si="15"/>
        <v>-10511.739</v>
      </c>
      <c r="F260" s="37">
        <f t="shared" si="15"/>
        <v>-167144.59899999999</v>
      </c>
      <c r="G260" s="37">
        <f t="shared" si="15"/>
        <v>2890874.6319999998</v>
      </c>
      <c r="H260" s="37">
        <f t="shared" si="15"/>
        <v>6579.835000000051</v>
      </c>
      <c r="I260" s="39">
        <f t="shared" si="15"/>
        <v>1</v>
      </c>
      <c r="J260" s="37">
        <f t="shared" si="15"/>
        <v>-2890874.6319999998</v>
      </c>
      <c r="K260" s="37">
        <f t="shared" si="15"/>
        <v>0</v>
      </c>
      <c r="L260" s="3"/>
      <c r="AR260" s="70"/>
      <c r="AS260" s="70"/>
      <c r="AT260" s="70"/>
    </row>
    <row r="261" spans="1:46" ht="22.2" customHeight="1" x14ac:dyDescent="0.3">
      <c r="A261" s="2"/>
      <c r="B261" s="3"/>
      <c r="C261" s="3"/>
      <c r="D261" s="3"/>
      <c r="E261" s="3"/>
      <c r="F261" s="3"/>
      <c r="G261" s="3"/>
      <c r="H261" s="3"/>
      <c r="I261" s="3"/>
      <c r="K261" s="3"/>
      <c r="L261" s="3"/>
      <c r="AR261" s="70"/>
      <c r="AS261" s="70"/>
      <c r="AT261" s="70"/>
    </row>
    <row r="262" spans="1:46" ht="22.2" customHeight="1" x14ac:dyDescent="0.3">
      <c r="A262" s="2"/>
      <c r="B262" s="3"/>
      <c r="C262" s="3"/>
      <c r="D262" s="3"/>
      <c r="E262" s="3"/>
      <c r="F262" s="3"/>
      <c r="G262" s="3"/>
      <c r="H262" s="3"/>
      <c r="I262" s="12" t="s">
        <v>248</v>
      </c>
      <c r="J262" s="12"/>
      <c r="K262" s="12"/>
      <c r="L262" s="12"/>
      <c r="M262" s="12"/>
      <c r="N262" s="12"/>
      <c r="O262" s="54"/>
      <c r="P262" s="12">
        <f>K260+AR224</f>
        <v>-1983676.4940000004</v>
      </c>
      <c r="AR262" s="70"/>
      <c r="AS262" s="70"/>
      <c r="AT262" s="70"/>
    </row>
    <row r="263" spans="1:46" ht="22.2" customHeight="1" x14ac:dyDescent="0.3">
      <c r="A263" s="34" t="s">
        <v>233</v>
      </c>
      <c r="B263" s="34" t="s">
        <v>1</v>
      </c>
      <c r="C263" s="34" t="s">
        <v>2</v>
      </c>
      <c r="D263" s="34" t="s">
        <v>3</v>
      </c>
      <c r="E263" s="34" t="s">
        <v>4</v>
      </c>
      <c r="F263" s="34" t="s">
        <v>239</v>
      </c>
      <c r="G263" s="34" t="s">
        <v>0</v>
      </c>
      <c r="I263" s="3"/>
      <c r="K263" s="3"/>
      <c r="L263" s="3"/>
      <c r="M263" s="3"/>
      <c r="N263" s="3"/>
      <c r="O263" s="3"/>
      <c r="P263" s="3"/>
      <c r="Q263" s="3"/>
      <c r="AR263" s="70"/>
      <c r="AS263" s="70"/>
      <c r="AT263" s="70"/>
    </row>
    <row r="264" spans="1:46" ht="22.2" customHeight="1" x14ac:dyDescent="0.3">
      <c r="A264" s="2" t="s">
        <v>1074</v>
      </c>
      <c r="B264" s="3">
        <v>18.38</v>
      </c>
      <c r="C264" s="3"/>
      <c r="D264" s="3"/>
      <c r="E264" s="3"/>
      <c r="F264" s="99">
        <f>D264+E264</f>
        <v>0</v>
      </c>
      <c r="G264" s="57">
        <f>B264+C264+D264+E264</f>
        <v>18.38</v>
      </c>
      <c r="H264" s="3"/>
      <c r="N264" s="3"/>
      <c r="O264" s="3"/>
      <c r="P264" s="3"/>
      <c r="Q264" s="3"/>
      <c r="AR264" s="70"/>
      <c r="AS264" s="70"/>
      <c r="AT264" s="70"/>
    </row>
    <row r="265" spans="1:46" ht="22.2" customHeight="1" x14ac:dyDescent="0.3">
      <c r="A265" s="2" t="s">
        <v>1075</v>
      </c>
      <c r="B265" s="3">
        <v>4064.59</v>
      </c>
      <c r="C265" s="3"/>
      <c r="D265" s="3"/>
      <c r="E265" s="3"/>
      <c r="F265" s="99">
        <f t="shared" ref="F265:F312" si="16">D265+E265</f>
        <v>0</v>
      </c>
      <c r="G265" s="57">
        <f t="shared" ref="G265:G308" si="17">B265+C265+D265+E265</f>
        <v>4064.59</v>
      </c>
      <c r="H265" s="3"/>
      <c r="I265" s="3"/>
      <c r="K265" s="3"/>
      <c r="L265" s="3"/>
      <c r="M265" s="3"/>
      <c r="N265" s="3"/>
      <c r="O265" s="3"/>
      <c r="P265" s="3"/>
      <c r="Q265" s="3"/>
      <c r="AR265" s="70"/>
      <c r="AS265" s="70"/>
      <c r="AT265" s="70"/>
    </row>
    <row r="266" spans="1:46" ht="22.2" customHeight="1" x14ac:dyDescent="0.3">
      <c r="A266" s="2" t="s">
        <v>1076</v>
      </c>
      <c r="B266" s="3">
        <v>18.5</v>
      </c>
      <c r="C266" s="3"/>
      <c r="D266" s="3"/>
      <c r="E266" s="3"/>
      <c r="F266" s="99">
        <f t="shared" si="16"/>
        <v>0</v>
      </c>
      <c r="G266" s="57">
        <f t="shared" si="17"/>
        <v>18.5</v>
      </c>
      <c r="H266" s="3"/>
      <c r="I266" s="3"/>
      <c r="K266" s="3"/>
      <c r="L266" s="3"/>
      <c r="M266" s="3"/>
      <c r="N266" s="3"/>
      <c r="O266" s="3"/>
      <c r="P266" s="3"/>
      <c r="Q266" s="3"/>
      <c r="AR266" s="70"/>
      <c r="AS266" s="70"/>
      <c r="AT266" s="70"/>
    </row>
    <row r="267" spans="1:46" ht="22.2" customHeight="1" x14ac:dyDescent="0.3">
      <c r="A267" s="2" t="s">
        <v>1077</v>
      </c>
      <c r="B267" s="3">
        <v>18.5</v>
      </c>
      <c r="C267" s="3"/>
      <c r="D267" s="3"/>
      <c r="E267" s="3"/>
      <c r="F267" s="99">
        <f t="shared" si="16"/>
        <v>0</v>
      </c>
      <c r="G267" s="57">
        <f t="shared" si="17"/>
        <v>18.5</v>
      </c>
      <c r="H267" s="3"/>
      <c r="I267" s="3"/>
      <c r="K267" s="3"/>
      <c r="L267" s="3"/>
      <c r="M267" s="3"/>
      <c r="N267" s="3"/>
      <c r="O267" s="3"/>
      <c r="P267" s="3"/>
      <c r="AR267" s="70"/>
      <c r="AS267" s="70"/>
      <c r="AT267" s="70"/>
    </row>
    <row r="268" spans="1:46" ht="22.2" customHeight="1" x14ac:dyDescent="0.3">
      <c r="A268" s="2" t="s">
        <v>1078</v>
      </c>
      <c r="B268" s="3">
        <v>18.54</v>
      </c>
      <c r="C268" s="3"/>
      <c r="D268" s="3"/>
      <c r="E268" s="3"/>
      <c r="F268" s="99">
        <f t="shared" si="16"/>
        <v>0</v>
      </c>
      <c r="G268" s="57">
        <f t="shared" si="17"/>
        <v>18.54</v>
      </c>
      <c r="H268" s="3"/>
      <c r="I268" s="3"/>
      <c r="K268" s="3"/>
      <c r="L268" s="3"/>
      <c r="M268" s="3"/>
      <c r="N268" s="3"/>
      <c r="O268" s="3"/>
      <c r="P268" s="3"/>
      <c r="AR268" s="70"/>
      <c r="AS268" s="70"/>
      <c r="AT268" s="70"/>
    </row>
    <row r="269" spans="1:46" ht="22.2" customHeight="1" x14ac:dyDescent="0.3">
      <c r="A269" s="2" t="s">
        <v>1079</v>
      </c>
      <c r="B269" s="3">
        <v>18.379999999999995</v>
      </c>
      <c r="C269" s="3"/>
      <c r="D269" s="3"/>
      <c r="E269" s="3"/>
      <c r="F269" s="99">
        <f t="shared" si="16"/>
        <v>0</v>
      </c>
      <c r="G269" s="57">
        <f t="shared" si="17"/>
        <v>18.379999999999995</v>
      </c>
      <c r="H269" s="3"/>
      <c r="I269" s="3"/>
      <c r="K269" s="3"/>
      <c r="L269" s="3"/>
      <c r="M269" s="3"/>
      <c r="N269" s="3"/>
      <c r="O269" s="3"/>
      <c r="P269" s="3"/>
      <c r="AR269" s="70"/>
      <c r="AS269" s="70"/>
      <c r="AT269" s="70"/>
    </row>
    <row r="270" spans="1:46" ht="22.2" customHeight="1" x14ac:dyDescent="0.3">
      <c r="A270" s="2" t="s">
        <v>1080</v>
      </c>
      <c r="B270" s="3">
        <v>11569.26</v>
      </c>
      <c r="C270" s="3"/>
      <c r="D270" s="3"/>
      <c r="E270" s="3"/>
      <c r="F270" s="99">
        <f t="shared" si="16"/>
        <v>0</v>
      </c>
      <c r="G270" s="57">
        <f t="shared" si="17"/>
        <v>11569.26</v>
      </c>
      <c r="H270" s="3"/>
      <c r="I270" s="3"/>
      <c r="K270" s="3"/>
      <c r="L270" s="3"/>
      <c r="M270" s="3"/>
      <c r="N270" s="3"/>
      <c r="O270" s="3"/>
      <c r="P270" s="3"/>
      <c r="AR270" s="70"/>
      <c r="AS270" s="70"/>
      <c r="AT270" s="70"/>
    </row>
    <row r="271" spans="1:46" ht="22.2" customHeight="1" x14ac:dyDescent="0.3">
      <c r="A271" s="2" t="s">
        <v>1081</v>
      </c>
      <c r="B271" s="3">
        <v>1073.2339999999999</v>
      </c>
      <c r="C271" s="3"/>
      <c r="D271" s="3"/>
      <c r="E271" s="3"/>
      <c r="F271" s="99">
        <f t="shared" si="16"/>
        <v>0</v>
      </c>
      <c r="G271" s="57">
        <f t="shared" si="17"/>
        <v>1073.2339999999999</v>
      </c>
      <c r="H271" s="3"/>
      <c r="I271" s="3"/>
      <c r="K271" s="3"/>
      <c r="L271" s="3"/>
      <c r="M271" s="3"/>
      <c r="N271" s="3"/>
      <c r="O271" s="3"/>
      <c r="P271" s="3"/>
      <c r="AR271" s="70"/>
      <c r="AS271" s="70"/>
      <c r="AT271" s="70"/>
    </row>
    <row r="272" spans="1:46" ht="22.2" customHeight="1" x14ac:dyDescent="0.3">
      <c r="A272" s="2" t="s">
        <v>1082</v>
      </c>
      <c r="B272" s="3">
        <v>6329.762999999999</v>
      </c>
      <c r="C272" s="3"/>
      <c r="D272" s="3"/>
      <c r="E272" s="3">
        <v>-20</v>
      </c>
      <c r="F272" s="99">
        <f t="shared" si="16"/>
        <v>-20</v>
      </c>
      <c r="G272" s="57">
        <f t="shared" si="17"/>
        <v>6309.762999999999</v>
      </c>
      <c r="H272" s="3"/>
      <c r="I272" s="3"/>
      <c r="K272" s="3"/>
      <c r="L272" s="3"/>
      <c r="M272" s="3"/>
      <c r="N272" s="3"/>
      <c r="O272" s="3"/>
      <c r="P272" s="3"/>
      <c r="AR272" s="70"/>
      <c r="AS272" s="70"/>
      <c r="AT272" s="70"/>
    </row>
    <row r="273" spans="1:46" ht="22.2" customHeight="1" x14ac:dyDescent="0.3">
      <c r="A273" s="2" t="s">
        <v>1083</v>
      </c>
      <c r="B273" s="3">
        <v>18.38</v>
      </c>
      <c r="C273" s="3"/>
      <c r="D273" s="3"/>
      <c r="E273" s="3"/>
      <c r="F273" s="99">
        <f t="shared" si="16"/>
        <v>0</v>
      </c>
      <c r="G273" s="57">
        <f t="shared" si="17"/>
        <v>18.38</v>
      </c>
      <c r="H273" s="3"/>
      <c r="I273" s="3"/>
      <c r="K273" s="3"/>
      <c r="L273" s="3"/>
      <c r="M273" s="3"/>
      <c r="N273" s="3"/>
      <c r="O273" s="3"/>
      <c r="P273" s="3"/>
      <c r="AR273" s="70"/>
      <c r="AS273" s="70"/>
      <c r="AT273" s="70"/>
    </row>
    <row r="274" spans="1:46" ht="22.2" customHeight="1" x14ac:dyDescent="0.3">
      <c r="A274" s="2" t="s">
        <v>1084</v>
      </c>
      <c r="B274" s="3">
        <v>18.079999999999998</v>
      </c>
      <c r="C274" s="3"/>
      <c r="D274" s="3"/>
      <c r="E274" s="3"/>
      <c r="F274" s="99">
        <f t="shared" si="16"/>
        <v>0</v>
      </c>
      <c r="G274" s="57">
        <f t="shared" si="17"/>
        <v>18.079999999999998</v>
      </c>
      <c r="H274" s="3"/>
      <c r="I274" s="3"/>
      <c r="K274" s="3"/>
      <c r="L274" s="3"/>
      <c r="M274" s="3"/>
      <c r="N274" s="3"/>
      <c r="O274" s="3"/>
      <c r="P274" s="3"/>
      <c r="AR274" s="70"/>
      <c r="AS274" s="70"/>
      <c r="AT274" s="70"/>
    </row>
    <row r="275" spans="1:46" ht="22.2" customHeight="1" x14ac:dyDescent="0.3">
      <c r="A275" s="2" t="s">
        <v>1085</v>
      </c>
      <c r="B275" s="3">
        <v>18.5</v>
      </c>
      <c r="C275" s="3"/>
      <c r="D275" s="3"/>
      <c r="E275" s="3"/>
      <c r="F275" s="99">
        <f t="shared" si="16"/>
        <v>0</v>
      </c>
      <c r="G275" s="57">
        <f t="shared" si="17"/>
        <v>18.5</v>
      </c>
      <c r="H275" s="3"/>
      <c r="I275" s="3"/>
      <c r="K275" s="3"/>
      <c r="L275" s="3"/>
      <c r="M275" s="3"/>
      <c r="N275" s="3"/>
      <c r="O275" s="3"/>
      <c r="P275" s="3"/>
      <c r="AR275" s="70"/>
      <c r="AS275" s="70"/>
      <c r="AT275" s="70"/>
    </row>
    <row r="276" spans="1:46" ht="22.2" customHeight="1" x14ac:dyDescent="0.3">
      <c r="A276" s="2" t="s">
        <v>1086</v>
      </c>
      <c r="B276" s="3">
        <v>18.38</v>
      </c>
      <c r="C276" s="3"/>
      <c r="D276" s="3"/>
      <c r="E276" s="3"/>
      <c r="F276" s="99">
        <f t="shared" si="16"/>
        <v>0</v>
      </c>
      <c r="G276" s="57">
        <f t="shared" si="17"/>
        <v>18.38</v>
      </c>
      <c r="H276" s="3"/>
      <c r="I276" s="3"/>
      <c r="K276" s="3"/>
      <c r="L276" s="3"/>
      <c r="M276" s="3"/>
      <c r="N276" s="3"/>
      <c r="O276" s="3"/>
      <c r="P276" s="3"/>
      <c r="AR276" s="70"/>
      <c r="AS276" s="70"/>
      <c r="AT276" s="70"/>
    </row>
    <row r="277" spans="1:46" ht="22.2" customHeight="1" x14ac:dyDescent="0.3">
      <c r="A277" s="2" t="s">
        <v>1087</v>
      </c>
      <c r="B277" s="3">
        <v>196806.24</v>
      </c>
      <c r="C277" s="3"/>
      <c r="D277" s="3"/>
      <c r="E277" s="3"/>
      <c r="F277" s="99">
        <f t="shared" si="16"/>
        <v>0</v>
      </c>
      <c r="G277" s="57">
        <f t="shared" si="17"/>
        <v>196806.24</v>
      </c>
      <c r="H277" s="3"/>
      <c r="I277" s="3"/>
      <c r="K277" s="3"/>
      <c r="L277" s="3"/>
      <c r="M277" s="3"/>
      <c r="N277" s="3"/>
      <c r="O277" s="3"/>
      <c r="P277" s="3"/>
      <c r="AR277" s="70"/>
      <c r="AS277" s="70"/>
      <c r="AT277" s="70"/>
    </row>
    <row r="278" spans="1:46" ht="22.2" customHeight="1" x14ac:dyDescent="0.3">
      <c r="A278" s="2" t="s">
        <v>1088</v>
      </c>
      <c r="B278" s="3">
        <v>4133.9110000000001</v>
      </c>
      <c r="C278" s="3"/>
      <c r="D278" s="3"/>
      <c r="E278" s="3"/>
      <c r="F278" s="99">
        <f t="shared" si="16"/>
        <v>0</v>
      </c>
      <c r="G278" s="57">
        <f t="shared" si="17"/>
        <v>4133.9110000000001</v>
      </c>
      <c r="H278" s="3"/>
      <c r="I278" s="3"/>
      <c r="K278" s="3"/>
      <c r="L278" s="3"/>
      <c r="M278" s="3"/>
      <c r="N278" s="3"/>
      <c r="O278" s="3"/>
      <c r="P278" s="3"/>
      <c r="AR278" s="70"/>
      <c r="AS278" s="70"/>
      <c r="AT278" s="70"/>
    </row>
    <row r="279" spans="1:46" ht="22.2" customHeight="1" x14ac:dyDescent="0.3">
      <c r="A279" s="2" t="s">
        <v>1089</v>
      </c>
      <c r="B279" s="3">
        <v>18.38</v>
      </c>
      <c r="C279" s="3"/>
      <c r="D279" s="3"/>
      <c r="E279" s="3"/>
      <c r="F279" s="99">
        <f t="shared" si="16"/>
        <v>0</v>
      </c>
      <c r="G279" s="57">
        <f t="shared" si="17"/>
        <v>18.38</v>
      </c>
      <c r="H279" s="3"/>
      <c r="I279" s="3"/>
      <c r="K279" s="3"/>
      <c r="L279" s="3"/>
      <c r="M279" s="3"/>
      <c r="N279" s="3"/>
      <c r="O279" s="3"/>
      <c r="P279" s="3"/>
      <c r="AR279" s="70"/>
      <c r="AS279" s="70"/>
      <c r="AT279" s="70"/>
    </row>
    <row r="280" spans="1:46" ht="22.2" customHeight="1" x14ac:dyDescent="0.3">
      <c r="A280" s="2" t="s">
        <v>1090</v>
      </c>
      <c r="B280" s="3">
        <v>18.5</v>
      </c>
      <c r="C280" s="3"/>
      <c r="D280" s="3"/>
      <c r="E280" s="3"/>
      <c r="F280" s="99">
        <f t="shared" si="16"/>
        <v>0</v>
      </c>
      <c r="G280" s="57">
        <f t="shared" si="17"/>
        <v>18.5</v>
      </c>
      <c r="H280" s="3"/>
      <c r="I280" s="3"/>
      <c r="K280" s="3"/>
      <c r="L280" s="3"/>
      <c r="M280" s="3"/>
      <c r="N280" s="3"/>
      <c r="O280" s="3"/>
      <c r="P280" s="3"/>
      <c r="AR280" s="70"/>
      <c r="AS280" s="70"/>
      <c r="AT280" s="70"/>
    </row>
    <row r="281" spans="1:46" ht="22.2" customHeight="1" x14ac:dyDescent="0.3">
      <c r="A281" s="2" t="s">
        <v>1091</v>
      </c>
      <c r="B281" s="3">
        <v>131.47</v>
      </c>
      <c r="C281" s="3"/>
      <c r="D281" s="3"/>
      <c r="E281" s="3"/>
      <c r="F281" s="99">
        <f t="shared" si="16"/>
        <v>0</v>
      </c>
      <c r="G281" s="57">
        <f t="shared" si="17"/>
        <v>131.47</v>
      </c>
      <c r="H281" s="3"/>
      <c r="I281" s="3"/>
      <c r="K281" s="3"/>
      <c r="L281" s="3"/>
      <c r="M281" s="3"/>
      <c r="N281" s="3"/>
      <c r="O281" s="3"/>
      <c r="P281" s="3"/>
      <c r="AR281" s="70"/>
      <c r="AS281" s="70"/>
      <c r="AT281" s="70"/>
    </row>
    <row r="282" spans="1:46" ht="22.2" customHeight="1" x14ac:dyDescent="0.3">
      <c r="A282" s="2" t="s">
        <v>1092</v>
      </c>
      <c r="B282" s="3">
        <v>18.38</v>
      </c>
      <c r="C282" s="3"/>
      <c r="D282" s="3"/>
      <c r="E282" s="3"/>
      <c r="F282" s="99">
        <f t="shared" si="16"/>
        <v>0</v>
      </c>
      <c r="G282" s="57">
        <f t="shared" si="17"/>
        <v>18.38</v>
      </c>
      <c r="H282" s="3"/>
      <c r="I282" s="3"/>
      <c r="K282" s="3"/>
      <c r="L282" s="3"/>
      <c r="M282" s="3"/>
      <c r="N282" s="3"/>
      <c r="O282" s="3"/>
      <c r="P282" s="3"/>
      <c r="AR282" s="70"/>
      <c r="AS282" s="70"/>
      <c r="AT282" s="70"/>
    </row>
    <row r="283" spans="1:46" ht="22.2" customHeight="1" x14ac:dyDescent="0.3">
      <c r="A283" s="2" t="s">
        <v>1093</v>
      </c>
      <c r="B283" s="3">
        <v>18.5</v>
      </c>
      <c r="C283" s="3"/>
      <c r="D283" s="3"/>
      <c r="E283" s="3"/>
      <c r="F283" s="99">
        <f t="shared" si="16"/>
        <v>0</v>
      </c>
      <c r="G283" s="57">
        <f t="shared" si="17"/>
        <v>18.5</v>
      </c>
      <c r="H283" s="3"/>
      <c r="I283" s="3"/>
      <c r="K283" s="3"/>
      <c r="L283" s="3"/>
      <c r="M283" s="3"/>
      <c r="N283" s="3"/>
      <c r="O283" s="3"/>
      <c r="P283" s="3"/>
      <c r="AR283" s="70"/>
      <c r="AS283" s="70"/>
      <c r="AT283" s="70"/>
    </row>
    <row r="284" spans="1:46" ht="22.2" customHeight="1" x14ac:dyDescent="0.3">
      <c r="A284" s="2" t="s">
        <v>1094</v>
      </c>
      <c r="B284" s="3">
        <v>18.5</v>
      </c>
      <c r="C284" s="3"/>
      <c r="D284" s="3"/>
      <c r="E284" s="3"/>
      <c r="F284" s="99">
        <f t="shared" si="16"/>
        <v>0</v>
      </c>
      <c r="G284" s="57">
        <f t="shared" si="17"/>
        <v>18.5</v>
      </c>
      <c r="H284" s="3"/>
      <c r="I284" s="3"/>
      <c r="K284" s="3"/>
      <c r="L284" s="3"/>
      <c r="M284" s="3"/>
      <c r="N284" s="3"/>
      <c r="O284" s="3"/>
      <c r="P284" s="3"/>
      <c r="AR284" s="70"/>
      <c r="AS284" s="70"/>
      <c r="AT284" s="70"/>
    </row>
    <row r="285" spans="1:46" ht="22.2" customHeight="1" x14ac:dyDescent="0.3">
      <c r="A285" s="2" t="s">
        <v>1095</v>
      </c>
      <c r="B285" s="3">
        <v>35.521999999999998</v>
      </c>
      <c r="C285" s="3">
        <v>176.524</v>
      </c>
      <c r="D285" s="3"/>
      <c r="E285" s="3"/>
      <c r="F285" s="99">
        <f t="shared" si="16"/>
        <v>0</v>
      </c>
      <c r="G285" s="57">
        <f t="shared" si="17"/>
        <v>212.04599999999999</v>
      </c>
      <c r="H285" s="3"/>
      <c r="I285" s="3"/>
      <c r="K285" s="3"/>
      <c r="L285" s="3"/>
      <c r="M285" s="3"/>
      <c r="N285" s="3"/>
      <c r="O285" s="3"/>
      <c r="P285" s="3"/>
      <c r="AR285" s="70"/>
      <c r="AS285" s="70"/>
      <c r="AT285" s="70"/>
    </row>
    <row r="286" spans="1:46" ht="22.2" customHeight="1" x14ac:dyDescent="0.3">
      <c r="A286" s="2" t="s">
        <v>1096</v>
      </c>
      <c r="B286" s="3">
        <v>18.5</v>
      </c>
      <c r="C286" s="3"/>
      <c r="D286" s="3"/>
      <c r="E286" s="3"/>
      <c r="F286" s="99">
        <f t="shared" si="16"/>
        <v>0</v>
      </c>
      <c r="G286" s="57">
        <f t="shared" si="17"/>
        <v>18.5</v>
      </c>
      <c r="H286" s="3"/>
      <c r="I286" s="3"/>
      <c r="K286" s="3"/>
      <c r="L286" s="3"/>
      <c r="M286" s="3"/>
      <c r="N286" s="3"/>
      <c r="O286" s="3"/>
      <c r="P286" s="3"/>
      <c r="AR286" s="70"/>
      <c r="AS286" s="70"/>
      <c r="AT286" s="70"/>
    </row>
    <row r="287" spans="1:46" ht="22.2" customHeight="1" x14ac:dyDescent="0.3">
      <c r="A287" s="2" t="s">
        <v>1097</v>
      </c>
      <c r="B287" s="3">
        <v>18.38</v>
      </c>
      <c r="C287" s="3"/>
      <c r="D287" s="3"/>
      <c r="E287" s="3"/>
      <c r="F287" s="99">
        <f t="shared" si="16"/>
        <v>0</v>
      </c>
      <c r="G287" s="57">
        <f t="shared" si="17"/>
        <v>18.38</v>
      </c>
      <c r="H287" s="3"/>
      <c r="I287" s="3"/>
      <c r="K287" s="3"/>
      <c r="L287" s="3"/>
      <c r="M287" s="3"/>
      <c r="N287" s="3"/>
      <c r="O287" s="3"/>
      <c r="P287" s="3"/>
      <c r="AR287" s="70"/>
      <c r="AS287" s="70"/>
      <c r="AT287" s="70"/>
    </row>
    <row r="288" spans="1:46" ht="22.2" customHeight="1" x14ac:dyDescent="0.3">
      <c r="A288" s="2" t="s">
        <v>1098</v>
      </c>
      <c r="B288" s="3">
        <v>18.38</v>
      </c>
      <c r="C288" s="3"/>
      <c r="D288" s="3"/>
      <c r="E288" s="3"/>
      <c r="F288" s="99">
        <f t="shared" si="16"/>
        <v>0</v>
      </c>
      <c r="G288" s="57">
        <f t="shared" si="17"/>
        <v>18.38</v>
      </c>
      <c r="H288" s="3"/>
      <c r="I288" s="3"/>
      <c r="K288" s="3"/>
      <c r="L288" s="3"/>
      <c r="M288" s="3"/>
      <c r="N288" s="3"/>
      <c r="O288" s="3"/>
      <c r="P288" s="3"/>
      <c r="AR288" s="70"/>
      <c r="AS288" s="70"/>
      <c r="AT288" s="70"/>
    </row>
    <row r="289" spans="1:46" ht="22.2" customHeight="1" x14ac:dyDescent="0.3">
      <c r="A289" s="2" t="s">
        <v>1099</v>
      </c>
      <c r="B289" s="3">
        <v>18.5</v>
      </c>
      <c r="C289" s="3"/>
      <c r="D289" s="3"/>
      <c r="E289" s="3"/>
      <c r="F289" s="99">
        <f t="shared" si="16"/>
        <v>0</v>
      </c>
      <c r="G289" s="57">
        <f t="shared" si="17"/>
        <v>18.5</v>
      </c>
      <c r="H289" s="3"/>
      <c r="I289" s="3"/>
      <c r="K289" s="3"/>
      <c r="L289" s="3"/>
      <c r="M289" s="3"/>
      <c r="N289" s="3"/>
      <c r="O289" s="3"/>
      <c r="P289" s="3"/>
      <c r="AR289" s="70"/>
      <c r="AS289" s="70"/>
      <c r="AT289" s="70"/>
    </row>
    <row r="290" spans="1:46" ht="22.2" customHeight="1" x14ac:dyDescent="0.3">
      <c r="A290" s="2" t="s">
        <v>1100</v>
      </c>
      <c r="B290" s="3">
        <v>18.43</v>
      </c>
      <c r="C290" s="3"/>
      <c r="D290" s="3"/>
      <c r="E290" s="3"/>
      <c r="F290" s="99">
        <f t="shared" si="16"/>
        <v>0</v>
      </c>
      <c r="G290" s="57">
        <f t="shared" si="17"/>
        <v>18.43</v>
      </c>
      <c r="H290" s="3"/>
      <c r="I290" s="3"/>
      <c r="K290" s="3"/>
      <c r="L290" s="3"/>
      <c r="M290" s="3"/>
      <c r="N290" s="3"/>
      <c r="O290" s="3"/>
      <c r="P290" s="3"/>
      <c r="AR290" s="70"/>
      <c r="AS290" s="70"/>
      <c r="AT290" s="70"/>
    </row>
    <row r="291" spans="1:46" ht="22.2" customHeight="1" x14ac:dyDescent="0.3">
      <c r="A291" s="2" t="s">
        <v>1101</v>
      </c>
      <c r="B291" s="3">
        <v>18.5</v>
      </c>
      <c r="C291" s="3"/>
      <c r="D291" s="3"/>
      <c r="E291" s="3"/>
      <c r="F291" s="99">
        <f t="shared" si="16"/>
        <v>0</v>
      </c>
      <c r="G291" s="57">
        <f t="shared" si="17"/>
        <v>18.5</v>
      </c>
      <c r="H291" s="3"/>
      <c r="I291" s="3"/>
      <c r="K291" s="3"/>
      <c r="L291" s="3"/>
      <c r="M291" s="3"/>
      <c r="N291" s="3"/>
      <c r="O291" s="3"/>
      <c r="P291" s="3"/>
      <c r="AR291" s="70"/>
      <c r="AS291" s="70"/>
      <c r="AT291" s="70"/>
    </row>
    <row r="292" spans="1:46" ht="22.2" customHeight="1" x14ac:dyDescent="0.3">
      <c r="A292" s="2" t="s">
        <v>1102</v>
      </c>
      <c r="B292" s="3">
        <v>18.38</v>
      </c>
      <c r="C292" s="3"/>
      <c r="D292" s="3"/>
      <c r="E292" s="3"/>
      <c r="F292" s="99">
        <f t="shared" si="16"/>
        <v>0</v>
      </c>
      <c r="G292" s="57">
        <f t="shared" si="17"/>
        <v>18.38</v>
      </c>
      <c r="H292" s="3"/>
      <c r="I292" s="3"/>
      <c r="K292" s="3"/>
      <c r="L292" s="3"/>
      <c r="M292" s="3"/>
      <c r="N292" s="3"/>
      <c r="O292" s="3"/>
      <c r="P292" s="3"/>
      <c r="AR292" s="70"/>
      <c r="AS292" s="70"/>
      <c r="AT292" s="70"/>
    </row>
    <row r="293" spans="1:46" ht="22.2" customHeight="1" x14ac:dyDescent="0.3">
      <c r="A293" s="2" t="s">
        <v>1103</v>
      </c>
      <c r="B293" s="3">
        <v>18.5</v>
      </c>
      <c r="C293" s="3"/>
      <c r="D293" s="3"/>
      <c r="E293" s="3"/>
      <c r="F293" s="99">
        <f t="shared" si="16"/>
        <v>0</v>
      </c>
      <c r="G293" s="57">
        <f t="shared" si="17"/>
        <v>18.5</v>
      </c>
      <c r="H293" s="3"/>
      <c r="I293" s="3"/>
      <c r="K293" s="3"/>
      <c r="L293" s="3"/>
      <c r="M293" s="3"/>
      <c r="N293" s="3"/>
      <c r="O293" s="3"/>
      <c r="P293" s="3"/>
      <c r="AR293" s="70"/>
      <c r="AS293" s="70"/>
      <c r="AT293" s="70"/>
    </row>
    <row r="294" spans="1:46" ht="22.2" customHeight="1" x14ac:dyDescent="0.3">
      <c r="A294" s="2" t="s">
        <v>1104</v>
      </c>
      <c r="B294" s="3">
        <v>4422.5</v>
      </c>
      <c r="C294" s="3"/>
      <c r="D294" s="3"/>
      <c r="E294" s="3"/>
      <c r="F294" s="99">
        <f t="shared" si="16"/>
        <v>0</v>
      </c>
      <c r="G294" s="57">
        <f t="shared" si="17"/>
        <v>4422.5</v>
      </c>
      <c r="H294" s="3"/>
      <c r="I294" s="3"/>
      <c r="K294" s="3"/>
      <c r="L294" s="3"/>
      <c r="M294" s="3"/>
      <c r="N294" s="3"/>
      <c r="O294" s="3"/>
      <c r="P294" s="3"/>
      <c r="AR294" s="70"/>
      <c r="AS294" s="70"/>
      <c r="AT294" s="70"/>
    </row>
    <row r="295" spans="1:46" ht="22.2" customHeight="1" x14ac:dyDescent="0.3">
      <c r="A295" s="2" t="s">
        <v>1105</v>
      </c>
      <c r="B295" s="3">
        <v>18.5</v>
      </c>
      <c r="C295" s="3"/>
      <c r="D295" s="3"/>
      <c r="E295" s="3"/>
      <c r="F295" s="99">
        <f t="shared" si="16"/>
        <v>0</v>
      </c>
      <c r="G295" s="57">
        <f t="shared" si="17"/>
        <v>18.5</v>
      </c>
      <c r="H295" s="3"/>
      <c r="I295" s="3"/>
      <c r="K295" s="3"/>
      <c r="L295" s="3"/>
      <c r="M295" s="3"/>
      <c r="N295" s="3"/>
      <c r="O295" s="3"/>
      <c r="P295" s="3"/>
      <c r="AR295" s="70"/>
      <c r="AS295" s="70"/>
      <c r="AT295" s="70"/>
    </row>
    <row r="296" spans="1:46" ht="22.2" customHeight="1" x14ac:dyDescent="0.3">
      <c r="A296" s="2" t="s">
        <v>1106</v>
      </c>
      <c r="B296" s="3">
        <v>3810.7499999999995</v>
      </c>
      <c r="C296" s="3"/>
      <c r="D296" s="3"/>
      <c r="E296" s="3"/>
      <c r="F296" s="99">
        <f t="shared" si="16"/>
        <v>0</v>
      </c>
      <c r="G296" s="57">
        <f t="shared" si="17"/>
        <v>3810.7499999999995</v>
      </c>
      <c r="H296" s="3"/>
      <c r="I296" s="3"/>
      <c r="K296" s="3"/>
      <c r="L296" s="3"/>
      <c r="M296" s="3"/>
      <c r="N296" s="3"/>
      <c r="O296" s="3"/>
      <c r="P296" s="3"/>
      <c r="AR296" s="70"/>
      <c r="AS296" s="70"/>
      <c r="AT296" s="70"/>
    </row>
    <row r="297" spans="1:46" ht="22.2" customHeight="1" x14ac:dyDescent="0.3">
      <c r="A297" s="2" t="s">
        <v>1107</v>
      </c>
      <c r="B297" s="3">
        <v>18.43</v>
      </c>
      <c r="C297" s="3"/>
      <c r="D297" s="3"/>
      <c r="E297" s="3"/>
      <c r="F297" s="99">
        <f t="shared" si="16"/>
        <v>0</v>
      </c>
      <c r="G297" s="57">
        <f t="shared" si="17"/>
        <v>18.43</v>
      </c>
      <c r="H297" s="3"/>
      <c r="I297" s="3"/>
      <c r="K297" s="3"/>
      <c r="L297" s="3"/>
      <c r="M297" s="3"/>
      <c r="N297" s="3"/>
      <c r="O297" s="3"/>
      <c r="P297" s="3"/>
      <c r="AR297" s="70"/>
      <c r="AS297" s="70"/>
      <c r="AT297" s="70"/>
    </row>
    <row r="298" spans="1:46" ht="22.2" customHeight="1" x14ac:dyDescent="0.3">
      <c r="A298" s="2" t="s">
        <v>1108</v>
      </c>
      <c r="B298" s="3">
        <v>563.99</v>
      </c>
      <c r="C298" s="3"/>
      <c r="D298" s="3"/>
      <c r="E298" s="3"/>
      <c r="F298" s="99">
        <f t="shared" si="16"/>
        <v>0</v>
      </c>
      <c r="G298" s="57">
        <f t="shared" si="17"/>
        <v>563.99</v>
      </c>
      <c r="H298" s="3"/>
      <c r="I298" s="3"/>
      <c r="K298" s="3"/>
      <c r="L298" s="3"/>
      <c r="M298" s="3"/>
      <c r="N298" s="3"/>
      <c r="O298" s="3"/>
      <c r="P298" s="3"/>
      <c r="AR298" s="70"/>
      <c r="AS298" s="70"/>
      <c r="AT298" s="70"/>
    </row>
    <row r="299" spans="1:46" ht="22.2" customHeight="1" x14ac:dyDescent="0.3">
      <c r="A299" s="2" t="s">
        <v>1109</v>
      </c>
      <c r="B299" s="3">
        <v>480.96</v>
      </c>
      <c r="C299" s="3"/>
      <c r="D299" s="3"/>
      <c r="E299" s="3"/>
      <c r="F299" s="99">
        <f t="shared" si="16"/>
        <v>0</v>
      </c>
      <c r="G299" s="57">
        <f t="shared" si="17"/>
        <v>480.96</v>
      </c>
      <c r="H299" s="3"/>
      <c r="I299" s="3"/>
      <c r="K299" s="3"/>
      <c r="L299" s="3"/>
      <c r="M299" s="3"/>
      <c r="N299" s="3"/>
      <c r="O299" s="3"/>
      <c r="P299" s="3"/>
      <c r="AR299" s="70"/>
      <c r="AS299" s="70"/>
      <c r="AT299" s="70"/>
    </row>
    <row r="300" spans="1:46" ht="22.2" customHeight="1" x14ac:dyDescent="0.3">
      <c r="A300" s="2" t="s">
        <v>1110</v>
      </c>
      <c r="B300" s="3">
        <v>616.02</v>
      </c>
      <c r="C300" s="3"/>
      <c r="D300" s="3"/>
      <c r="E300" s="3"/>
      <c r="F300" s="99">
        <f t="shared" si="16"/>
        <v>0</v>
      </c>
      <c r="G300" s="57">
        <f t="shared" si="17"/>
        <v>616.02</v>
      </c>
      <c r="H300" s="3"/>
      <c r="I300" s="3"/>
      <c r="K300" s="3"/>
      <c r="L300" s="3"/>
      <c r="M300" s="3"/>
      <c r="N300" s="3"/>
      <c r="O300" s="3"/>
      <c r="P300" s="3"/>
      <c r="AR300" s="70"/>
      <c r="AS300" s="70"/>
      <c r="AT300" s="70"/>
    </row>
    <row r="301" spans="1:46" ht="22.2" customHeight="1" x14ac:dyDescent="0.3">
      <c r="A301" s="2" t="s">
        <v>1111</v>
      </c>
      <c r="B301" s="3">
        <v>18.38</v>
      </c>
      <c r="C301" s="3"/>
      <c r="D301" s="3"/>
      <c r="E301" s="3"/>
      <c r="F301" s="99">
        <f t="shared" si="16"/>
        <v>0</v>
      </c>
      <c r="G301" s="57">
        <f t="shared" si="17"/>
        <v>18.38</v>
      </c>
      <c r="H301" s="3"/>
      <c r="I301" s="3"/>
      <c r="K301" s="3"/>
      <c r="L301" s="3"/>
      <c r="M301" s="3"/>
      <c r="N301" s="3"/>
      <c r="O301" s="3"/>
      <c r="P301" s="3"/>
      <c r="AR301" s="70"/>
      <c r="AS301" s="70"/>
      <c r="AT301" s="70"/>
    </row>
    <row r="302" spans="1:46" ht="22.2" customHeight="1" x14ac:dyDescent="0.3">
      <c r="A302" s="2" t="s">
        <v>1112</v>
      </c>
      <c r="B302" s="3">
        <v>18.54</v>
      </c>
      <c r="C302" s="3"/>
      <c r="D302" s="3"/>
      <c r="E302" s="3"/>
      <c r="F302" s="99">
        <f t="shared" si="16"/>
        <v>0</v>
      </c>
      <c r="G302" s="57">
        <f t="shared" si="17"/>
        <v>18.54</v>
      </c>
      <c r="H302" s="3"/>
      <c r="I302" s="3"/>
      <c r="K302" s="3"/>
      <c r="L302" s="3"/>
      <c r="M302" s="3"/>
      <c r="N302" s="3"/>
      <c r="O302" s="3"/>
      <c r="P302" s="3"/>
      <c r="AR302" s="70"/>
      <c r="AS302" s="70"/>
      <c r="AT302" s="70"/>
    </row>
    <row r="303" spans="1:46" ht="22.2" customHeight="1" x14ac:dyDescent="0.3">
      <c r="A303" s="2" t="s">
        <v>1113</v>
      </c>
      <c r="B303" s="3">
        <v>18.38</v>
      </c>
      <c r="C303" s="3"/>
      <c r="D303" s="3"/>
      <c r="E303" s="3"/>
      <c r="F303" s="99">
        <f t="shared" si="16"/>
        <v>0</v>
      </c>
      <c r="G303" s="57">
        <f t="shared" si="17"/>
        <v>18.38</v>
      </c>
      <c r="H303" s="3"/>
      <c r="I303" s="3"/>
      <c r="K303" s="3"/>
      <c r="L303" s="3"/>
      <c r="M303" s="3"/>
      <c r="N303" s="3"/>
      <c r="O303" s="3"/>
      <c r="P303" s="3"/>
      <c r="AR303" s="70"/>
      <c r="AS303" s="70"/>
      <c r="AT303" s="70"/>
    </row>
    <row r="304" spans="1:46" ht="22.2" customHeight="1" x14ac:dyDescent="0.3">
      <c r="A304" s="2" t="s">
        <v>1114</v>
      </c>
      <c r="B304" s="3">
        <v>18.54</v>
      </c>
      <c r="C304" s="3"/>
      <c r="D304" s="3"/>
      <c r="E304" s="3"/>
      <c r="F304" s="99">
        <f t="shared" si="16"/>
        <v>0</v>
      </c>
      <c r="G304" s="57">
        <f t="shared" si="17"/>
        <v>18.54</v>
      </c>
      <c r="H304" s="3"/>
      <c r="I304" s="3"/>
      <c r="K304" s="3"/>
      <c r="L304" s="3"/>
      <c r="M304" s="3"/>
      <c r="N304" s="3"/>
      <c r="O304" s="3"/>
      <c r="P304" s="3"/>
      <c r="AR304" s="70"/>
      <c r="AS304" s="70"/>
      <c r="AT304" s="70"/>
    </row>
    <row r="305" spans="1:46" ht="22.2" customHeight="1" x14ac:dyDescent="0.3">
      <c r="A305" s="2" t="s">
        <v>1115</v>
      </c>
      <c r="B305" s="3">
        <v>107.58000000000001</v>
      </c>
      <c r="C305" s="3"/>
      <c r="D305" s="3"/>
      <c r="E305" s="3"/>
      <c r="F305" s="99">
        <f t="shared" si="16"/>
        <v>0</v>
      </c>
      <c r="G305" s="57">
        <f t="shared" si="17"/>
        <v>107.58000000000001</v>
      </c>
      <c r="H305" s="3"/>
      <c r="I305" s="3"/>
      <c r="K305" s="3"/>
      <c r="L305" s="3"/>
      <c r="M305" s="3"/>
      <c r="N305" s="3"/>
      <c r="O305" s="3"/>
      <c r="P305" s="3"/>
      <c r="AR305" s="70"/>
      <c r="AS305" s="70"/>
      <c r="AT305" s="70"/>
    </row>
    <row r="306" spans="1:46" ht="22.2" customHeight="1" x14ac:dyDescent="0.3">
      <c r="A306" s="2" t="s">
        <v>1116</v>
      </c>
      <c r="B306" s="3">
        <v>18.5</v>
      </c>
      <c r="C306" s="3"/>
      <c r="D306" s="3"/>
      <c r="E306" s="3"/>
      <c r="F306" s="99">
        <f t="shared" si="16"/>
        <v>0</v>
      </c>
      <c r="G306" s="57">
        <f t="shared" si="17"/>
        <v>18.5</v>
      </c>
      <c r="H306" s="3"/>
      <c r="I306" s="3"/>
      <c r="K306" s="3"/>
      <c r="L306" s="3"/>
      <c r="M306" s="3"/>
      <c r="N306" s="3"/>
      <c r="O306" s="3"/>
      <c r="P306" s="3"/>
      <c r="AR306" s="70"/>
      <c r="AS306" s="70"/>
      <c r="AT306" s="70"/>
    </row>
    <row r="307" spans="1:46" ht="22.2" customHeight="1" x14ac:dyDescent="0.3">
      <c r="A307" s="2" t="s">
        <v>1117</v>
      </c>
      <c r="B307" s="3">
        <v>18.54000000000002</v>
      </c>
      <c r="C307" s="3"/>
      <c r="D307" s="3"/>
      <c r="E307" s="3"/>
      <c r="F307" s="99">
        <f t="shared" si="16"/>
        <v>0</v>
      </c>
      <c r="G307" s="57">
        <f t="shared" si="17"/>
        <v>18.54000000000002</v>
      </c>
      <c r="H307" s="3"/>
      <c r="I307" s="3"/>
      <c r="K307" s="3"/>
      <c r="L307" s="3"/>
      <c r="M307" s="3"/>
      <c r="N307" s="3"/>
      <c r="O307" s="3"/>
      <c r="P307" s="3"/>
      <c r="AR307" s="70"/>
      <c r="AS307" s="70"/>
      <c r="AT307" s="70"/>
    </row>
    <row r="308" spans="1:46" ht="22.2" customHeight="1" x14ac:dyDescent="0.3">
      <c r="A308" s="2" t="s">
        <v>1118</v>
      </c>
      <c r="B308" s="3">
        <v>27.42</v>
      </c>
      <c r="C308" s="3"/>
      <c r="D308" s="3"/>
      <c r="E308" s="3"/>
      <c r="F308" s="99">
        <f t="shared" si="16"/>
        <v>0</v>
      </c>
      <c r="G308" s="57">
        <f t="shared" si="17"/>
        <v>27.42</v>
      </c>
      <c r="H308" s="3"/>
      <c r="I308" s="3"/>
      <c r="K308" s="3"/>
      <c r="L308" s="3"/>
      <c r="M308" s="3"/>
      <c r="N308" s="3"/>
      <c r="O308" s="3"/>
      <c r="P308" s="3"/>
      <c r="AR308" s="70"/>
      <c r="AS308" s="70"/>
      <c r="AT308" s="70"/>
    </row>
    <row r="309" spans="1:46" ht="22.2" customHeight="1" x14ac:dyDescent="0.3">
      <c r="A309" s="2" t="s">
        <v>1119</v>
      </c>
      <c r="B309" s="3">
        <v>96.169999999999987</v>
      </c>
      <c r="C309" s="3"/>
      <c r="D309" s="3"/>
      <c r="E309" s="3"/>
      <c r="F309" s="99">
        <f t="shared" si="16"/>
        <v>0</v>
      </c>
      <c r="G309" s="57">
        <f>B309+C309+D309+E309</f>
        <v>96.169999999999987</v>
      </c>
      <c r="H309" s="3"/>
      <c r="I309" s="3"/>
      <c r="K309" s="3"/>
      <c r="L309" s="3"/>
      <c r="M309" s="3"/>
      <c r="N309" s="3"/>
      <c r="O309" s="3"/>
      <c r="P309" s="3"/>
      <c r="AR309" s="70"/>
      <c r="AS309" s="70"/>
      <c r="AT309" s="70"/>
    </row>
    <row r="310" spans="1:46" ht="22.2" customHeight="1" x14ac:dyDescent="0.3">
      <c r="A310" s="2" t="s">
        <v>1120</v>
      </c>
      <c r="B310" s="3">
        <v>18.5</v>
      </c>
      <c r="C310" s="3"/>
      <c r="D310" s="3"/>
      <c r="E310" s="3"/>
      <c r="F310" s="99">
        <f t="shared" si="16"/>
        <v>0</v>
      </c>
      <c r="G310" s="57">
        <f>B310+C310+D310+E310</f>
        <v>18.5</v>
      </c>
      <c r="H310" s="3"/>
      <c r="I310" s="3"/>
      <c r="K310" s="3"/>
      <c r="L310" s="3"/>
      <c r="M310" s="3"/>
      <c r="N310" s="3"/>
      <c r="O310" s="3"/>
      <c r="P310" s="3"/>
      <c r="AR310" s="70"/>
      <c r="AS310" s="70"/>
      <c r="AT310" s="70"/>
    </row>
    <row r="311" spans="1:46" ht="22.2" customHeight="1" x14ac:dyDescent="0.3">
      <c r="A311" s="2" t="s">
        <v>1121</v>
      </c>
      <c r="B311" s="3">
        <v>18.54</v>
      </c>
      <c r="C311" s="3"/>
      <c r="D311" s="3"/>
      <c r="E311" s="3"/>
      <c r="F311" s="99">
        <f t="shared" ref="F311" si="18">D311+E311</f>
        <v>0</v>
      </c>
      <c r="G311" s="57">
        <f>B311+C311+D311+E311</f>
        <v>18.54</v>
      </c>
      <c r="H311" s="3"/>
      <c r="I311" s="3"/>
      <c r="K311" s="3"/>
      <c r="L311" s="3"/>
      <c r="M311" s="3"/>
      <c r="N311" s="3"/>
      <c r="O311" s="3"/>
      <c r="P311" s="3"/>
      <c r="AR311" s="70"/>
      <c r="AS311" s="70"/>
      <c r="AT311" s="70"/>
    </row>
    <row r="312" spans="1:46" ht="22.2" customHeight="1" x14ac:dyDescent="0.3">
      <c r="A312" s="2" t="s">
        <v>1122</v>
      </c>
      <c r="B312" s="3">
        <v>18.38</v>
      </c>
      <c r="C312" s="3"/>
      <c r="D312" s="3"/>
      <c r="E312" s="3"/>
      <c r="F312" s="99">
        <f t="shared" si="16"/>
        <v>0</v>
      </c>
      <c r="G312" s="57">
        <f>B312+C312+D312+E312</f>
        <v>18.38</v>
      </c>
      <c r="H312" s="3"/>
      <c r="I312" s="3"/>
      <c r="K312" s="3"/>
      <c r="L312" s="3"/>
      <c r="M312" s="3"/>
      <c r="N312" s="3"/>
      <c r="O312" s="3"/>
      <c r="P312" s="3"/>
      <c r="AR312" s="70"/>
      <c r="AS312" s="70"/>
      <c r="AT312" s="70"/>
    </row>
    <row r="313" spans="1:46" ht="22.2" customHeight="1" x14ac:dyDescent="0.3">
      <c r="A313" s="37" t="s">
        <v>7</v>
      </c>
      <c r="B313" s="37">
        <f t="shared" ref="B313:G313" si="19">SUM(B264:B312)</f>
        <v>234878.08000000002</v>
      </c>
      <c r="C313" s="37">
        <f t="shared" si="19"/>
        <v>176.524</v>
      </c>
      <c r="D313" s="37">
        <f t="shared" si="19"/>
        <v>0</v>
      </c>
      <c r="E313" s="37">
        <f t="shared" si="19"/>
        <v>-20</v>
      </c>
      <c r="F313" s="37">
        <f t="shared" si="19"/>
        <v>-20</v>
      </c>
      <c r="G313" s="37">
        <f t="shared" si="19"/>
        <v>235034.60400000002</v>
      </c>
      <c r="H313" s="3"/>
      <c r="I313" s="3"/>
      <c r="K313" s="3"/>
      <c r="L313" s="3"/>
      <c r="M313" s="3"/>
      <c r="N313" s="3"/>
      <c r="O313" s="3"/>
      <c r="P313" s="3"/>
      <c r="AR313" s="70"/>
      <c r="AS313" s="70"/>
      <c r="AT313" s="70"/>
    </row>
    <row r="314" spans="1:46" ht="22.2" customHeight="1" x14ac:dyDescent="0.3">
      <c r="I314" s="3"/>
      <c r="K314" s="3"/>
      <c r="L314" s="3"/>
      <c r="M314" s="3"/>
      <c r="N314" s="3"/>
      <c r="O314" s="3"/>
      <c r="P314" s="3"/>
      <c r="AR314" s="70"/>
      <c r="AS314" s="70"/>
      <c r="AT314" s="70"/>
    </row>
    <row r="315" spans="1:46" ht="22.2" customHeight="1" thickBot="1" x14ac:dyDescent="0.35">
      <c r="I315" s="3"/>
      <c r="K315" s="3"/>
      <c r="L315" s="3"/>
      <c r="M315" s="3"/>
      <c r="P315" s="3"/>
      <c r="AR315" s="70"/>
      <c r="AS315" s="70"/>
      <c r="AT315" s="70"/>
    </row>
    <row r="316" spans="1:46" ht="22.2" customHeight="1" x14ac:dyDescent="0.3">
      <c r="A316" s="59"/>
      <c r="B316" s="60" t="s">
        <v>236</v>
      </c>
      <c r="C316" s="60" t="s">
        <v>237</v>
      </c>
      <c r="D316" s="60" t="s">
        <v>3</v>
      </c>
      <c r="E316" s="60" t="s">
        <v>4</v>
      </c>
      <c r="F316" s="60" t="s">
        <v>239</v>
      </c>
      <c r="G316" s="61" t="s">
        <v>0</v>
      </c>
      <c r="K316" s="3"/>
      <c r="L316" s="3"/>
      <c r="M316" s="3"/>
      <c r="AR316" s="70"/>
      <c r="AS316" s="70"/>
      <c r="AT316" s="70"/>
    </row>
    <row r="317" spans="1:46" ht="22.2" customHeight="1" thickBot="1" x14ac:dyDescent="0.35">
      <c r="A317" s="62" t="s">
        <v>1332</v>
      </c>
      <c r="B317" s="63">
        <f>AB224+B260+B313</f>
        <v>4546595.004999999</v>
      </c>
      <c r="C317" s="63">
        <f>AD224+C260+C313</f>
        <v>6740948.3949999968</v>
      </c>
      <c r="D317" s="63">
        <f>AF224+D260+D313</f>
        <v>-11678475.684000002</v>
      </c>
      <c r="E317" s="63">
        <f>AG224+E260+E313</f>
        <v>-1592744.0800000005</v>
      </c>
      <c r="F317" s="63">
        <f>AH224+F260+F313</f>
        <v>-13271219.763999995</v>
      </c>
      <c r="G317" s="64">
        <f>G313+G260+AQ224</f>
        <v>-1983676.3639999991</v>
      </c>
      <c r="H317" s="21"/>
      <c r="I317" s="3"/>
      <c r="K317" s="3"/>
      <c r="L317" s="3"/>
      <c r="M317" s="3"/>
      <c r="AR317" s="70"/>
      <c r="AS317" s="70"/>
      <c r="AT317" s="70"/>
    </row>
    <row r="318" spans="1:46" ht="22.2" customHeight="1" x14ac:dyDescent="0.3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AR318" s="70"/>
      <c r="AS318" s="70"/>
      <c r="AT318" s="70"/>
    </row>
    <row r="319" spans="1:46" ht="22.2" customHeight="1" x14ac:dyDescent="0.3">
      <c r="A319" s="34" t="s">
        <v>12</v>
      </c>
      <c r="B319" s="37" t="s">
        <v>11</v>
      </c>
      <c r="C319" s="37"/>
      <c r="D319" s="37"/>
      <c r="E319" s="37"/>
      <c r="F319" s="37"/>
      <c r="G319" s="34" t="s">
        <v>16</v>
      </c>
      <c r="H319" s="34"/>
      <c r="I319" s="37"/>
      <c r="J319" s="37"/>
      <c r="K319" s="34" t="s">
        <v>286</v>
      </c>
      <c r="L319" s="34"/>
      <c r="M319" s="37"/>
      <c r="AR319" s="70"/>
      <c r="AS319" s="70"/>
      <c r="AT319" s="70"/>
    </row>
    <row r="320" spans="1:46" ht="22.2" customHeight="1" x14ac:dyDescent="0.3">
      <c r="A320" t="s">
        <v>1230</v>
      </c>
      <c r="B320" s="3">
        <v>3345.5493000000001</v>
      </c>
      <c r="C320" s="3"/>
      <c r="D320" s="3"/>
      <c r="E320" s="3"/>
      <c r="G320" t="s">
        <v>1123</v>
      </c>
      <c r="I320" s="3">
        <v>-290191.36680000002</v>
      </c>
      <c r="K320" t="s">
        <v>1178</v>
      </c>
      <c r="L320" s="3"/>
      <c r="M320" s="3">
        <v>106481.7466</v>
      </c>
      <c r="AR320" s="70"/>
      <c r="AS320" s="70"/>
      <c r="AT320" s="70"/>
    </row>
    <row r="321" spans="1:46" ht="22.2" customHeight="1" x14ac:dyDescent="0.3">
      <c r="A321" t="s">
        <v>1231</v>
      </c>
      <c r="B321" s="3">
        <v>203.30940000000001</v>
      </c>
      <c r="C321" s="3"/>
      <c r="D321" s="3"/>
      <c r="E321" s="3"/>
      <c r="G321" t="s">
        <v>1124</v>
      </c>
      <c r="I321" s="3">
        <v>-369905.18389999989</v>
      </c>
      <c r="K321" t="s">
        <v>1179</v>
      </c>
      <c r="L321" s="3"/>
      <c r="M321" s="3">
        <v>67649.318500000008</v>
      </c>
      <c r="AR321" s="70"/>
      <c r="AS321" s="70"/>
      <c r="AT321" s="70"/>
    </row>
    <row r="322" spans="1:46" ht="22.2" customHeight="1" x14ac:dyDescent="0.3">
      <c r="A322" t="s">
        <v>1232</v>
      </c>
      <c r="B322" s="3">
        <v>101294.62850000001</v>
      </c>
      <c r="C322" s="3"/>
      <c r="D322" s="3"/>
      <c r="E322" s="3"/>
      <c r="G322" t="s">
        <v>1125</v>
      </c>
      <c r="I322" s="3">
        <v>-352599.06579999998</v>
      </c>
      <c r="K322" t="s">
        <v>1180</v>
      </c>
      <c r="L322" s="3"/>
      <c r="M322" s="3">
        <v>98412.346300000005</v>
      </c>
      <c r="Q322" s="25"/>
      <c r="AR322" s="70"/>
      <c r="AS322" s="70"/>
      <c r="AT322" s="70"/>
    </row>
    <row r="323" spans="1:46" ht="22.2" customHeight="1" x14ac:dyDescent="0.3">
      <c r="A323" t="s">
        <v>1233</v>
      </c>
      <c r="B323" s="3">
        <v>23785.456200000001</v>
      </c>
      <c r="C323" s="3"/>
      <c r="D323" s="3"/>
      <c r="E323" s="3"/>
      <c r="G323" t="s">
        <v>1126</v>
      </c>
      <c r="I323" s="3">
        <v>-70.689900000000009</v>
      </c>
      <c r="K323" t="s">
        <v>1181</v>
      </c>
      <c r="L323" s="3"/>
      <c r="M323" s="3">
        <v>23.7</v>
      </c>
      <c r="AR323" s="70"/>
      <c r="AS323" s="70"/>
      <c r="AT323" s="70"/>
    </row>
    <row r="324" spans="1:46" ht="22.2" customHeight="1" x14ac:dyDescent="0.3">
      <c r="A324" t="s">
        <v>1234</v>
      </c>
      <c r="B324" s="3">
        <v>389.37659999999988</v>
      </c>
      <c r="C324" s="3"/>
      <c r="D324" s="3"/>
      <c r="E324" s="3"/>
      <c r="G324" t="s">
        <v>1127</v>
      </c>
      <c r="I324" s="3">
        <v>-520480.4167</v>
      </c>
      <c r="K324" t="s">
        <v>1182</v>
      </c>
      <c r="L324" s="3"/>
      <c r="M324" s="3">
        <v>87238.117199999993</v>
      </c>
      <c r="AR324" s="70"/>
      <c r="AS324" s="70"/>
      <c r="AT324" s="70"/>
    </row>
    <row r="325" spans="1:46" ht="22.2" customHeight="1" x14ac:dyDescent="0.3">
      <c r="A325" t="s">
        <v>1235</v>
      </c>
      <c r="B325" s="3">
        <v>82845.334799999997</v>
      </c>
      <c r="C325" s="3"/>
      <c r="D325" s="3"/>
      <c r="E325" s="3"/>
      <c r="G325" t="s">
        <v>1128</v>
      </c>
      <c r="I325" s="3">
        <v>-339457.61690000002</v>
      </c>
      <c r="K325" t="s">
        <v>1183</v>
      </c>
      <c r="L325" s="3"/>
      <c r="M325" s="3">
        <v>27.55</v>
      </c>
      <c r="AR325" s="70"/>
      <c r="AS325" s="70"/>
      <c r="AT325" s="70"/>
    </row>
    <row r="326" spans="1:46" ht="22.2" customHeight="1" x14ac:dyDescent="0.3">
      <c r="A326" t="s">
        <v>1236</v>
      </c>
      <c r="B326" s="3">
        <v>162.05799999999999</v>
      </c>
      <c r="C326" s="3"/>
      <c r="D326" s="3"/>
      <c r="E326" s="3"/>
      <c r="G326" t="s">
        <v>1129</v>
      </c>
      <c r="I326" s="3">
        <v>-948849.96580000001</v>
      </c>
      <c r="K326" t="s">
        <v>1184</v>
      </c>
      <c r="L326" s="3"/>
      <c r="M326" s="3">
        <v>144943.61120000001</v>
      </c>
      <c r="AR326" s="70"/>
      <c r="AS326" s="70"/>
      <c r="AT326" s="70"/>
    </row>
    <row r="327" spans="1:46" ht="22.2" customHeight="1" x14ac:dyDescent="0.3">
      <c r="A327" t="s">
        <v>1237</v>
      </c>
      <c r="B327" s="3">
        <v>236.4699</v>
      </c>
      <c r="C327" s="3"/>
      <c r="D327" s="3"/>
      <c r="E327" s="3"/>
      <c r="G327" t="s">
        <v>1130</v>
      </c>
      <c r="I327" s="3">
        <v>-226.05490000000009</v>
      </c>
      <c r="K327" t="s">
        <v>1185</v>
      </c>
      <c r="L327" s="3"/>
      <c r="M327" s="3">
        <v>457514.05899999978</v>
      </c>
      <c r="AR327" s="70"/>
      <c r="AS327" s="70"/>
      <c r="AT327" s="70"/>
    </row>
    <row r="328" spans="1:46" ht="22.2" customHeight="1" x14ac:dyDescent="0.3">
      <c r="A328" t="s">
        <v>1238</v>
      </c>
      <c r="B328" s="3">
        <v>81.781800000000004</v>
      </c>
      <c r="C328" s="3"/>
      <c r="D328" s="3"/>
      <c r="E328" s="3"/>
      <c r="G328" t="s">
        <v>1131</v>
      </c>
      <c r="I328" s="3">
        <v>-34532.953500000003</v>
      </c>
      <c r="K328" t="s">
        <v>1186</v>
      </c>
      <c r="L328" s="3"/>
      <c r="M328" s="3">
        <v>3641.9582</v>
      </c>
      <c r="AR328" s="70"/>
      <c r="AS328" s="70"/>
      <c r="AT328" s="70"/>
    </row>
    <row r="329" spans="1:46" ht="22.2" customHeight="1" x14ac:dyDescent="0.3">
      <c r="A329" t="s">
        <v>1239</v>
      </c>
      <c r="B329" s="3">
        <v>503.87</v>
      </c>
      <c r="C329" s="3"/>
      <c r="D329" s="3"/>
      <c r="E329" s="3"/>
      <c r="G329" t="s">
        <v>1132</v>
      </c>
      <c r="I329" s="3">
        <v>-186084.28940000001</v>
      </c>
      <c r="K329" t="s">
        <v>1187</v>
      </c>
      <c r="L329" s="3"/>
      <c r="M329" s="3">
        <v>9533.4629000000023</v>
      </c>
      <c r="AR329" s="70"/>
      <c r="AS329" s="70"/>
      <c r="AT329" s="70"/>
    </row>
    <row r="330" spans="1:46" ht="22.2" customHeight="1" x14ac:dyDescent="0.3">
      <c r="A330" t="s">
        <v>1240</v>
      </c>
      <c r="B330" s="3">
        <v>453490.50720000011</v>
      </c>
      <c r="C330" s="3"/>
      <c r="D330" s="3"/>
      <c r="E330" s="3"/>
      <c r="G330" t="s">
        <v>1133</v>
      </c>
      <c r="I330" s="3">
        <v>-33183.263400000003</v>
      </c>
      <c r="K330" t="s">
        <v>1188</v>
      </c>
      <c r="L330" s="3"/>
      <c r="M330" s="3">
        <v>11697.2672</v>
      </c>
      <c r="AR330" s="70"/>
      <c r="AS330" s="70"/>
      <c r="AT330" s="70"/>
    </row>
    <row r="331" spans="1:46" ht="22.2" customHeight="1" x14ac:dyDescent="0.3">
      <c r="A331" t="s">
        <v>1241</v>
      </c>
      <c r="B331" s="3">
        <v>115363.28</v>
      </c>
      <c r="C331" s="3"/>
      <c r="D331" s="3"/>
      <c r="E331" s="3"/>
      <c r="G331" t="s">
        <v>1134</v>
      </c>
      <c r="I331" s="3">
        <v>-104079.5647</v>
      </c>
      <c r="K331" t="s">
        <v>1189</v>
      </c>
      <c r="L331" s="3"/>
      <c r="M331" s="3">
        <v>14783.4774</v>
      </c>
      <c r="AR331" s="70"/>
      <c r="AS331" s="70"/>
      <c r="AT331" s="70"/>
    </row>
    <row r="332" spans="1:46" ht="22.2" customHeight="1" x14ac:dyDescent="0.3">
      <c r="A332" t="s">
        <v>1242</v>
      </c>
      <c r="B332" s="3">
        <v>573714.72519999999</v>
      </c>
      <c r="C332" s="3"/>
      <c r="D332" s="3"/>
      <c r="E332" s="3"/>
      <c r="G332" t="s">
        <v>1135</v>
      </c>
      <c r="I332" s="3">
        <v>-247859.07380000001</v>
      </c>
      <c r="K332" t="s">
        <v>1190</v>
      </c>
      <c r="L332" s="3"/>
      <c r="M332" s="3">
        <v>39831.585300000013</v>
      </c>
      <c r="AR332" s="70"/>
      <c r="AS332" s="70"/>
      <c r="AT332" s="70"/>
    </row>
    <row r="333" spans="1:46" ht="22.2" customHeight="1" x14ac:dyDescent="0.3">
      <c r="A333" t="s">
        <v>1243</v>
      </c>
      <c r="B333" s="3">
        <v>6800</v>
      </c>
      <c r="C333" s="3"/>
      <c r="D333" s="3"/>
      <c r="E333" s="3"/>
      <c r="G333" t="s">
        <v>1136</v>
      </c>
      <c r="I333" s="3">
        <v>-20.689800000000002</v>
      </c>
      <c r="K333" t="s">
        <v>1191</v>
      </c>
      <c r="L333" s="3"/>
      <c r="M333" s="3">
        <v>64372.756199999982</v>
      </c>
      <c r="AR333" s="70"/>
      <c r="AS333" s="70"/>
      <c r="AT333" s="70"/>
    </row>
    <row r="334" spans="1:46" ht="22.2" customHeight="1" x14ac:dyDescent="0.3">
      <c r="A334" t="s">
        <v>1244</v>
      </c>
      <c r="B334" s="3">
        <v>80692.499999999985</v>
      </c>
      <c r="C334" s="3"/>
      <c r="D334" s="3"/>
      <c r="E334" s="3"/>
      <c r="G334" t="s">
        <v>1137</v>
      </c>
      <c r="I334" s="3">
        <v>-9259.9431000000004</v>
      </c>
      <c r="K334" t="s">
        <v>1192</v>
      </c>
      <c r="L334" s="3"/>
      <c r="M334" s="3">
        <v>296.51530000000002</v>
      </c>
      <c r="AR334" s="70"/>
      <c r="AS334" s="70"/>
      <c r="AT334" s="70"/>
    </row>
    <row r="335" spans="1:46" ht="22.2" customHeight="1" x14ac:dyDescent="0.3">
      <c r="A335" t="s">
        <v>1245</v>
      </c>
      <c r="B335" s="3">
        <v>1380</v>
      </c>
      <c r="C335" s="3"/>
      <c r="D335" s="3"/>
      <c r="E335" s="3"/>
      <c r="G335" t="s">
        <v>1138</v>
      </c>
      <c r="I335" s="3">
        <v>-295298.19500000012</v>
      </c>
      <c r="K335" t="s">
        <v>1193</v>
      </c>
      <c r="L335" s="3"/>
      <c r="M335" s="3">
        <v>398.55</v>
      </c>
      <c r="AR335" s="70"/>
      <c r="AS335" s="70"/>
      <c r="AT335" s="70"/>
    </row>
    <row r="336" spans="1:46" ht="22.2" customHeight="1" x14ac:dyDescent="0.3">
      <c r="A336" t="s">
        <v>1246</v>
      </c>
      <c r="B336" s="3">
        <v>466.61</v>
      </c>
      <c r="C336" s="3"/>
      <c r="D336" s="3"/>
      <c r="E336" s="3"/>
      <c r="G336" t="s">
        <v>1139</v>
      </c>
      <c r="I336" s="3">
        <v>-260.34539999999998</v>
      </c>
      <c r="K336" t="s">
        <v>1194</v>
      </c>
      <c r="L336" s="3"/>
      <c r="M336" s="3">
        <v>249.9838</v>
      </c>
      <c r="AR336" s="70"/>
      <c r="AS336" s="70"/>
      <c r="AT336" s="70"/>
    </row>
    <row r="337" spans="1:46" ht="22.2" customHeight="1" x14ac:dyDescent="0.3">
      <c r="A337" t="s">
        <v>1247</v>
      </c>
      <c r="B337" s="3">
        <v>7981.33</v>
      </c>
      <c r="C337" s="3"/>
      <c r="D337" s="3"/>
      <c r="E337" s="3"/>
      <c r="G337" t="s">
        <v>1140</v>
      </c>
      <c r="I337" s="3">
        <v>-7314572.7205000008</v>
      </c>
      <c r="K337" t="s">
        <v>1195</v>
      </c>
      <c r="L337" s="3"/>
      <c r="M337" s="3">
        <v>143364.19200000001</v>
      </c>
      <c r="AR337" s="70"/>
      <c r="AS337" s="70"/>
      <c r="AT337" s="70"/>
    </row>
    <row r="338" spans="1:46" ht="22.2" customHeight="1" x14ac:dyDescent="0.3">
      <c r="A338" t="s">
        <v>1248</v>
      </c>
      <c r="B338" s="3">
        <v>16118.2</v>
      </c>
      <c r="C338" s="3"/>
      <c r="D338" s="3"/>
      <c r="E338" s="3"/>
      <c r="G338" t="s">
        <v>1141</v>
      </c>
      <c r="I338" s="3">
        <v>-153709.36900000001</v>
      </c>
      <c r="K338" t="s">
        <v>1196</v>
      </c>
      <c r="L338" s="3"/>
      <c r="M338" s="3">
        <v>1537.54</v>
      </c>
      <c r="AR338" s="70"/>
      <c r="AS338" s="70"/>
      <c r="AT338" s="70"/>
    </row>
    <row r="339" spans="1:46" ht="22.2" customHeight="1" x14ac:dyDescent="0.3">
      <c r="A339" t="s">
        <v>1249</v>
      </c>
      <c r="B339" s="3">
        <v>3378.99</v>
      </c>
      <c r="C339" s="3"/>
      <c r="D339" s="3"/>
      <c r="E339" s="3"/>
      <c r="G339" t="s">
        <v>1142</v>
      </c>
      <c r="I339" s="3">
        <v>-19013.112499999999</v>
      </c>
      <c r="K339" t="s">
        <v>1197</v>
      </c>
      <c r="L339" s="3"/>
      <c r="M339" s="3">
        <v>263.37</v>
      </c>
      <c r="AR339" s="70"/>
      <c r="AS339" s="70"/>
      <c r="AT339" s="70"/>
    </row>
    <row r="340" spans="1:46" ht="22.2" customHeight="1" x14ac:dyDescent="0.3">
      <c r="A340" t="s">
        <v>1250</v>
      </c>
      <c r="B340" s="3">
        <v>9158</v>
      </c>
      <c r="C340" s="3"/>
      <c r="D340" s="3"/>
      <c r="E340" s="3"/>
      <c r="G340" t="s">
        <v>1143</v>
      </c>
      <c r="I340" s="3">
        <v>-106423.5736</v>
      </c>
      <c r="K340" t="s">
        <v>1198</v>
      </c>
      <c r="L340" s="3"/>
      <c r="M340" s="3">
        <v>5392382.5949000008</v>
      </c>
      <c r="AR340" s="70"/>
      <c r="AS340" s="70"/>
      <c r="AT340" s="70"/>
    </row>
    <row r="341" spans="1:46" ht="22.2" customHeight="1" x14ac:dyDescent="0.3">
      <c r="A341" t="s">
        <v>1251</v>
      </c>
      <c r="B341" s="3">
        <v>42732.789999999994</v>
      </c>
      <c r="C341" s="3"/>
      <c r="D341" s="3"/>
      <c r="E341" s="3"/>
      <c r="G341" t="s">
        <v>1144</v>
      </c>
      <c r="I341" s="3">
        <v>-156.8972</v>
      </c>
      <c r="K341" t="s">
        <v>1199</v>
      </c>
      <c r="L341" s="3"/>
      <c r="M341" s="3">
        <v>47525.584199999998</v>
      </c>
      <c r="AR341" s="70"/>
      <c r="AS341" s="70"/>
      <c r="AT341" s="70"/>
    </row>
    <row r="342" spans="1:46" ht="22.2" customHeight="1" x14ac:dyDescent="0.3">
      <c r="A342" t="s">
        <v>1252</v>
      </c>
      <c r="B342" s="3">
        <v>34567.094599999997</v>
      </c>
      <c r="C342" s="3"/>
      <c r="D342" s="3"/>
      <c r="E342" s="3"/>
      <c r="G342" t="s">
        <v>1145</v>
      </c>
      <c r="I342" s="3">
        <v>-8</v>
      </c>
      <c r="K342" t="s">
        <v>1200</v>
      </c>
      <c r="L342" s="3"/>
      <c r="M342" s="3">
        <v>12379.711499999999</v>
      </c>
      <c r="AR342" s="70"/>
      <c r="AS342" s="70"/>
      <c r="AT342" s="70"/>
    </row>
    <row r="343" spans="1:46" ht="22.2" customHeight="1" x14ac:dyDescent="0.3">
      <c r="A343" t="s">
        <v>1253</v>
      </c>
      <c r="B343" s="3">
        <v>10933.28</v>
      </c>
      <c r="C343" s="3"/>
      <c r="D343" s="3"/>
      <c r="E343" s="3"/>
      <c r="G343" t="s">
        <v>1146</v>
      </c>
      <c r="I343" s="3">
        <v>-32.862099999999998</v>
      </c>
      <c r="K343" t="s">
        <v>1201</v>
      </c>
      <c r="L343" s="3"/>
      <c r="M343" s="3">
        <v>30171.778399999999</v>
      </c>
      <c r="AR343" s="70"/>
      <c r="AS343" s="70"/>
      <c r="AT343" s="70"/>
    </row>
    <row r="344" spans="1:46" ht="22.2" customHeight="1" x14ac:dyDescent="0.3">
      <c r="A344" t="s">
        <v>1254</v>
      </c>
      <c r="B344" s="3">
        <v>236775.55</v>
      </c>
      <c r="C344" s="3"/>
      <c r="D344" s="3"/>
      <c r="E344" s="3"/>
      <c r="G344" t="s">
        <v>1147</v>
      </c>
      <c r="I344" s="3">
        <v>-65.381799999999998</v>
      </c>
      <c r="K344" t="s">
        <v>1202</v>
      </c>
      <c r="L344" s="3"/>
      <c r="M344" s="3">
        <v>111.58</v>
      </c>
      <c r="AR344" s="70"/>
      <c r="AS344" s="70"/>
      <c r="AT344" s="70"/>
    </row>
    <row r="345" spans="1:46" ht="22.2" customHeight="1" x14ac:dyDescent="0.3">
      <c r="A345" t="s">
        <v>1255</v>
      </c>
      <c r="B345" s="3">
        <v>0</v>
      </c>
      <c r="C345" s="3"/>
      <c r="D345" s="3"/>
      <c r="E345" s="3"/>
      <c r="G345" t="s">
        <v>1148</v>
      </c>
      <c r="I345" s="3">
        <v>-99.492099999999979</v>
      </c>
      <c r="K345" t="s">
        <v>1203</v>
      </c>
      <c r="L345" s="3"/>
      <c r="M345" s="3">
        <v>5</v>
      </c>
      <c r="AR345" s="70"/>
      <c r="AS345" s="70"/>
      <c r="AT345" s="70"/>
    </row>
    <row r="346" spans="1:46" ht="22.2" customHeight="1" x14ac:dyDescent="0.3">
      <c r="A346" t="s">
        <v>1256</v>
      </c>
      <c r="B346" s="3">
        <v>11080</v>
      </c>
      <c r="C346" s="3"/>
      <c r="D346" s="3"/>
      <c r="E346" s="3"/>
      <c r="G346" t="s">
        <v>1149</v>
      </c>
      <c r="I346" s="3">
        <v>-51.549500000000009</v>
      </c>
      <c r="K346" t="s">
        <v>1204</v>
      </c>
      <c r="L346" s="3"/>
      <c r="M346" s="3">
        <v>19.14</v>
      </c>
      <c r="AR346" s="70"/>
      <c r="AS346" s="70"/>
      <c r="AT346" s="70"/>
    </row>
    <row r="347" spans="1:46" ht="22.2" customHeight="1" x14ac:dyDescent="0.3">
      <c r="A347" t="s">
        <v>1257</v>
      </c>
      <c r="B347" s="3">
        <v>2420</v>
      </c>
      <c r="C347" s="3"/>
      <c r="D347" s="3"/>
      <c r="E347" s="3"/>
      <c r="G347" t="s">
        <v>1150</v>
      </c>
      <c r="I347" s="3">
        <v>-6.9721000000000002</v>
      </c>
      <c r="K347" t="s">
        <v>1205</v>
      </c>
      <c r="L347" s="3"/>
      <c r="M347" s="3">
        <v>22.51</v>
      </c>
      <c r="AR347" s="70"/>
      <c r="AS347" s="70"/>
      <c r="AT347" s="70"/>
    </row>
    <row r="348" spans="1:46" ht="22.2" customHeight="1" x14ac:dyDescent="0.3">
      <c r="A348" t="s">
        <v>1258</v>
      </c>
      <c r="B348" s="3">
        <v>35</v>
      </c>
      <c r="C348" s="3"/>
      <c r="D348" s="3"/>
      <c r="E348" s="3"/>
      <c r="G348" t="s">
        <v>1151</v>
      </c>
      <c r="I348" s="3">
        <v>-22.635999999999999</v>
      </c>
      <c r="K348" t="s">
        <v>1206</v>
      </c>
      <c r="L348" s="3"/>
      <c r="M348" s="3">
        <v>39.319000000000003</v>
      </c>
      <c r="AR348" s="70"/>
      <c r="AS348" s="70"/>
      <c r="AT348" s="70"/>
    </row>
    <row r="349" spans="1:46" ht="22.2" customHeight="1" x14ac:dyDescent="0.3">
      <c r="A349" t="s">
        <v>1259</v>
      </c>
      <c r="B349" s="3">
        <v>83.88</v>
      </c>
      <c r="C349" s="3"/>
      <c r="D349" s="3"/>
      <c r="E349" s="3"/>
      <c r="G349" t="s">
        <v>1152</v>
      </c>
      <c r="I349" s="3">
        <v>-4.0732999999999997</v>
      </c>
      <c r="K349" t="s">
        <v>1207</v>
      </c>
      <c r="L349" s="3"/>
      <c r="M349" s="3">
        <v>21.25</v>
      </c>
      <c r="AR349" s="70"/>
      <c r="AS349" s="70"/>
      <c r="AT349" s="70"/>
    </row>
    <row r="350" spans="1:46" ht="22.2" customHeight="1" x14ac:dyDescent="0.3">
      <c r="A350" t="s">
        <v>1260</v>
      </c>
      <c r="B350" s="3">
        <v>40388.800000000003</v>
      </c>
      <c r="C350" s="3"/>
      <c r="D350" s="3"/>
      <c r="E350" s="3"/>
      <c r="G350" t="s">
        <v>1153</v>
      </c>
      <c r="I350" s="3">
        <v>-243.88399999999999</v>
      </c>
      <c r="K350" t="s">
        <v>1208</v>
      </c>
      <c r="L350" s="3"/>
      <c r="M350" s="3">
        <v>3.3</v>
      </c>
      <c r="AR350" s="70"/>
      <c r="AS350" s="70"/>
      <c r="AT350" s="70"/>
    </row>
    <row r="351" spans="1:46" ht="22.2" customHeight="1" x14ac:dyDescent="0.3">
      <c r="A351" t="s">
        <v>1261</v>
      </c>
      <c r="B351" s="3">
        <v>633.6</v>
      </c>
      <c r="C351" s="3"/>
      <c r="D351" s="3"/>
      <c r="E351" s="3"/>
      <c r="G351" t="s">
        <v>1154</v>
      </c>
      <c r="I351" s="3">
        <v>-73.354100000000003</v>
      </c>
      <c r="K351" t="s">
        <v>1209</v>
      </c>
      <c r="L351" s="3"/>
      <c r="M351" s="3">
        <v>10.15</v>
      </c>
      <c r="AR351" s="70"/>
      <c r="AS351" s="70"/>
      <c r="AT351" s="70"/>
    </row>
    <row r="352" spans="1:46" ht="22.2" customHeight="1" x14ac:dyDescent="0.3">
      <c r="A352" t="s">
        <v>1262</v>
      </c>
      <c r="B352" s="3">
        <v>959</v>
      </c>
      <c r="C352" s="3"/>
      <c r="D352" s="3"/>
      <c r="E352" s="3"/>
      <c r="G352" t="s">
        <v>1155</v>
      </c>
      <c r="I352" s="3">
        <v>-20.366499999999998</v>
      </c>
      <c r="K352" t="s">
        <v>1210</v>
      </c>
      <c r="L352" s="3"/>
      <c r="M352" s="3">
        <v>1</v>
      </c>
      <c r="AR352" s="70"/>
      <c r="AS352" s="70"/>
      <c r="AT352" s="70"/>
    </row>
    <row r="353" spans="1:46" ht="22.2" customHeight="1" x14ac:dyDescent="0.3">
      <c r="A353" t="s">
        <v>1263</v>
      </c>
      <c r="B353" s="3">
        <v>25</v>
      </c>
      <c r="C353" s="3"/>
      <c r="D353" s="3"/>
      <c r="E353" s="3"/>
      <c r="G353" t="s">
        <v>1156</v>
      </c>
      <c r="I353" s="3">
        <v>-2717.0207</v>
      </c>
      <c r="K353" t="s">
        <v>1211</v>
      </c>
      <c r="L353" s="3"/>
      <c r="M353" s="3">
        <v>81.889400000000009</v>
      </c>
      <c r="AR353" s="70"/>
      <c r="AS353" s="70"/>
      <c r="AT353" s="70"/>
    </row>
    <row r="354" spans="1:46" ht="22.2" customHeight="1" x14ac:dyDescent="0.3">
      <c r="A354" t="s">
        <v>1264</v>
      </c>
      <c r="B354" s="3">
        <v>425</v>
      </c>
      <c r="C354" s="3"/>
      <c r="D354" s="3"/>
      <c r="E354" s="3"/>
      <c r="G354" t="s">
        <v>1157</v>
      </c>
      <c r="I354" s="3">
        <v>-592.26260000000002</v>
      </c>
      <c r="K354" t="s">
        <v>1212</v>
      </c>
      <c r="L354" s="3"/>
      <c r="M354" s="3">
        <v>24.56</v>
      </c>
      <c r="N354" s="20"/>
      <c r="AR354" s="70"/>
      <c r="AS354" s="70"/>
      <c r="AT354" s="70"/>
    </row>
    <row r="355" spans="1:46" ht="22.2" customHeight="1" x14ac:dyDescent="0.3">
      <c r="A355" t="s">
        <v>1265</v>
      </c>
      <c r="B355" s="3">
        <v>7686.6</v>
      </c>
      <c r="C355" s="3"/>
      <c r="D355" s="3"/>
      <c r="E355" s="3"/>
      <c r="G355" t="s">
        <v>1158</v>
      </c>
      <c r="I355" s="3">
        <v>-1579.326</v>
      </c>
      <c r="K355" t="s">
        <v>1213</v>
      </c>
      <c r="L355" s="3"/>
      <c r="M355" s="3">
        <v>9.1</v>
      </c>
      <c r="N355" s="20"/>
      <c r="AR355" s="70"/>
      <c r="AS355" s="70"/>
      <c r="AT355" s="70"/>
    </row>
    <row r="356" spans="1:46" ht="22.2" customHeight="1" x14ac:dyDescent="0.3">
      <c r="A356" t="s">
        <v>1266</v>
      </c>
      <c r="B356" s="3">
        <v>6446.51</v>
      </c>
      <c r="C356" s="3"/>
      <c r="D356" s="3"/>
      <c r="E356" s="3"/>
      <c r="G356" t="s">
        <v>1159</v>
      </c>
      <c r="I356" s="3">
        <v>-959.66439999999989</v>
      </c>
      <c r="J356" s="11"/>
      <c r="K356" t="s">
        <v>1214</v>
      </c>
      <c r="L356" s="3"/>
      <c r="M356" s="3">
        <v>832.78000000000009</v>
      </c>
      <c r="N356" s="20"/>
      <c r="AR356" s="70"/>
      <c r="AS356" s="70"/>
      <c r="AT356" s="70"/>
    </row>
    <row r="357" spans="1:46" ht="22.2" customHeight="1" x14ac:dyDescent="0.3">
      <c r="A357" t="s">
        <v>1267</v>
      </c>
      <c r="B357" s="3">
        <v>10</v>
      </c>
      <c r="C357" s="3"/>
      <c r="D357" s="3"/>
      <c r="E357" s="3"/>
      <c r="G357" t="s">
        <v>1160</v>
      </c>
      <c r="I357" s="3">
        <v>-810.44380000000001</v>
      </c>
      <c r="K357" t="s">
        <v>1215</v>
      </c>
      <c r="L357" s="3"/>
      <c r="M357" s="3">
        <v>143.79</v>
      </c>
      <c r="N357" s="20"/>
      <c r="AR357" s="70"/>
      <c r="AS357" s="70"/>
      <c r="AT357" s="70"/>
    </row>
    <row r="358" spans="1:46" ht="22.2" customHeight="1" x14ac:dyDescent="0.3">
      <c r="A358" t="s">
        <v>1268</v>
      </c>
      <c r="B358" s="3">
        <v>3609.9133999999999</v>
      </c>
      <c r="C358" s="3"/>
      <c r="D358" s="3"/>
      <c r="E358" s="3"/>
      <c r="G358" t="s">
        <v>1161</v>
      </c>
      <c r="I358" s="3">
        <v>-4.3757999999999999</v>
      </c>
      <c r="J358" s="11"/>
      <c r="K358" t="s">
        <v>1216</v>
      </c>
      <c r="L358" s="3"/>
      <c r="M358" s="3">
        <v>465.39</v>
      </c>
      <c r="N358" s="20"/>
      <c r="AR358" s="70"/>
      <c r="AS358" s="70"/>
      <c r="AT358" s="70"/>
    </row>
    <row r="359" spans="1:46" ht="22.2" customHeight="1" x14ac:dyDescent="0.3">
      <c r="A359" t="s">
        <v>1269</v>
      </c>
      <c r="B359" s="3">
        <v>8066.8654999999999</v>
      </c>
      <c r="C359" s="3"/>
      <c r="D359" s="3"/>
      <c r="E359" s="3"/>
      <c r="G359" t="s">
        <v>1162</v>
      </c>
      <c r="I359" s="3">
        <v>-126.2122</v>
      </c>
      <c r="K359" t="s">
        <v>1217</v>
      </c>
      <c r="L359" s="3"/>
      <c r="M359" s="3">
        <v>333.8</v>
      </c>
      <c r="N359" s="20"/>
      <c r="AR359" s="70"/>
      <c r="AS359" s="70"/>
      <c r="AT359" s="70"/>
    </row>
    <row r="360" spans="1:46" ht="22.2" customHeight="1" x14ac:dyDescent="0.3">
      <c r="A360" t="s">
        <v>1270</v>
      </c>
      <c r="B360" s="3">
        <v>18099.689399999999</v>
      </c>
      <c r="C360" s="3"/>
      <c r="D360" s="3"/>
      <c r="E360" s="3"/>
      <c r="G360" t="s">
        <v>1163</v>
      </c>
      <c r="I360" s="3">
        <v>-3458.2078000000001</v>
      </c>
      <c r="K360" t="s">
        <v>1218</v>
      </c>
      <c r="L360" s="3"/>
      <c r="M360" s="3">
        <v>383.04059999999993</v>
      </c>
      <c r="N360" s="20"/>
      <c r="AR360" s="70"/>
      <c r="AS360" s="70"/>
      <c r="AT360" s="70"/>
    </row>
    <row r="361" spans="1:46" ht="22.2" customHeight="1" x14ac:dyDescent="0.3">
      <c r="A361" t="s">
        <v>1271</v>
      </c>
      <c r="B361" s="3">
        <v>9968.4243000000024</v>
      </c>
      <c r="C361" s="3"/>
      <c r="D361" s="3"/>
      <c r="E361" s="3"/>
      <c r="G361" t="s">
        <v>1164</v>
      </c>
      <c r="I361" s="3">
        <v>-14.547499999999999</v>
      </c>
      <c r="K361" t="s">
        <v>1219</v>
      </c>
      <c r="L361" s="3"/>
      <c r="M361" s="3">
        <v>1.5</v>
      </c>
      <c r="N361" s="20"/>
      <c r="AR361" s="70"/>
      <c r="AS361" s="70"/>
      <c r="AT361" s="70"/>
    </row>
    <row r="362" spans="1:46" ht="22.2" customHeight="1" x14ac:dyDescent="0.3">
      <c r="A362" t="s">
        <v>1272</v>
      </c>
      <c r="B362" s="3">
        <v>7.34</v>
      </c>
      <c r="C362" s="3"/>
      <c r="D362" s="3"/>
      <c r="E362" s="3"/>
      <c r="G362" t="s">
        <v>1165</v>
      </c>
      <c r="I362" s="3">
        <v>-114.7248</v>
      </c>
      <c r="J362" s="11"/>
      <c r="K362" t="s">
        <v>1220</v>
      </c>
      <c r="L362" s="3"/>
      <c r="M362" s="3">
        <v>55.54</v>
      </c>
      <c r="N362" s="20"/>
      <c r="AR362" s="70"/>
      <c r="AS362" s="70"/>
      <c r="AT362" s="70"/>
    </row>
    <row r="363" spans="1:46" ht="22.2" customHeight="1" x14ac:dyDescent="0.3">
      <c r="A363" t="s">
        <v>1273</v>
      </c>
      <c r="B363" s="3">
        <v>2187.38</v>
      </c>
      <c r="C363" s="3"/>
      <c r="D363" s="3"/>
      <c r="E363" s="3"/>
      <c r="G363" t="s">
        <v>1166</v>
      </c>
      <c r="I363" s="3">
        <v>-2175.7383</v>
      </c>
      <c r="K363" t="s">
        <v>1221</v>
      </c>
      <c r="L363" s="3"/>
      <c r="M363" s="3">
        <v>1438.8263999999999</v>
      </c>
      <c r="N363" s="20"/>
      <c r="AR363" s="70"/>
      <c r="AS363" s="70"/>
      <c r="AT363" s="70"/>
    </row>
    <row r="364" spans="1:46" ht="22.2" customHeight="1" x14ac:dyDescent="0.3">
      <c r="A364" t="s">
        <v>1274</v>
      </c>
      <c r="B364" s="3">
        <v>54650.31</v>
      </c>
      <c r="C364" s="3"/>
      <c r="D364" s="3"/>
      <c r="E364" s="3"/>
      <c r="G364" t="s">
        <v>1167</v>
      </c>
      <c r="I364" s="3">
        <v>-367.12310000000002</v>
      </c>
      <c r="K364" t="s">
        <v>1222</v>
      </c>
      <c r="L364" s="3"/>
      <c r="M364" s="3">
        <v>6.5</v>
      </c>
      <c r="N364" s="20"/>
      <c r="AR364" s="70"/>
      <c r="AS364" s="70"/>
      <c r="AT364" s="70"/>
    </row>
    <row r="365" spans="1:46" ht="22.2" customHeight="1" x14ac:dyDescent="0.3">
      <c r="A365" t="s">
        <v>1275</v>
      </c>
      <c r="B365" s="3">
        <v>6822.26</v>
      </c>
      <c r="C365" s="3"/>
      <c r="D365" s="3"/>
      <c r="E365" s="3"/>
      <c r="G365" t="s">
        <v>1168</v>
      </c>
      <c r="I365" s="3">
        <v>-3.2585999999999999</v>
      </c>
      <c r="K365" t="s">
        <v>1223</v>
      </c>
      <c r="L365" s="3"/>
      <c r="M365" s="3">
        <v>39.381600000000013</v>
      </c>
      <c r="N365" s="20"/>
      <c r="AR365" s="70"/>
      <c r="AS365" s="70"/>
      <c r="AT365" s="70"/>
    </row>
    <row r="366" spans="1:46" ht="22.2" customHeight="1" x14ac:dyDescent="0.3">
      <c r="A366" t="s">
        <v>1276</v>
      </c>
      <c r="B366" s="3">
        <v>13687.91</v>
      </c>
      <c r="C366" s="3"/>
      <c r="D366" s="3"/>
      <c r="E366" s="3"/>
      <c r="G366" t="s">
        <v>1169</v>
      </c>
      <c r="I366" s="3">
        <v>-45.7256</v>
      </c>
      <c r="K366" t="s">
        <v>1224</v>
      </c>
      <c r="L366" s="3"/>
      <c r="M366" s="3">
        <v>880.58999999999992</v>
      </c>
      <c r="N366" s="20"/>
      <c r="AR366" s="70"/>
      <c r="AS366" s="70"/>
      <c r="AT366" s="70"/>
    </row>
    <row r="367" spans="1:46" ht="22.2" customHeight="1" x14ac:dyDescent="0.3">
      <c r="A367" t="s">
        <v>1277</v>
      </c>
      <c r="B367" s="3">
        <v>675</v>
      </c>
      <c r="C367" s="3"/>
      <c r="D367" s="3"/>
      <c r="E367" s="3"/>
      <c r="G367" t="s">
        <v>1170</v>
      </c>
      <c r="I367" s="3">
        <v>-57.947899999999997</v>
      </c>
      <c r="K367" t="s">
        <v>1225</v>
      </c>
      <c r="L367" s="3"/>
      <c r="M367" s="3">
        <v>131.88999999999999</v>
      </c>
      <c r="N367" s="20"/>
      <c r="AR367" s="70"/>
      <c r="AS367" s="70"/>
      <c r="AT367" s="70"/>
    </row>
    <row r="368" spans="1:46" ht="22.2" customHeight="1" x14ac:dyDescent="0.3">
      <c r="A368" t="s">
        <v>1278</v>
      </c>
      <c r="B368" s="3">
        <v>9692.3700000000008</v>
      </c>
      <c r="C368" s="3"/>
      <c r="D368" s="3"/>
      <c r="E368" s="3"/>
      <c r="G368" t="s">
        <v>1171</v>
      </c>
      <c r="I368" s="3">
        <v>-3088.8667999999998</v>
      </c>
      <c r="K368" t="s">
        <v>1226</v>
      </c>
      <c r="L368" s="3"/>
      <c r="M368" s="3">
        <v>11.92</v>
      </c>
      <c r="N368" s="20"/>
      <c r="AR368" s="70"/>
      <c r="AS368" s="70"/>
      <c r="AT368" s="70"/>
    </row>
    <row r="369" spans="1:46" ht="22.2" customHeight="1" x14ac:dyDescent="0.3">
      <c r="A369" t="s">
        <v>1279</v>
      </c>
      <c r="B369" s="3">
        <v>27415.119999999999</v>
      </c>
      <c r="C369" s="3"/>
      <c r="D369" s="3"/>
      <c r="E369" s="3"/>
      <c r="G369" t="s">
        <v>1172</v>
      </c>
      <c r="I369" s="3">
        <v>-610.78800000000012</v>
      </c>
      <c r="K369" t="s">
        <v>1227</v>
      </c>
      <c r="L369" s="3"/>
      <c r="M369" s="3">
        <v>17.600000000000001</v>
      </c>
      <c r="N369" s="20"/>
      <c r="AR369" s="70"/>
      <c r="AS369" s="70"/>
      <c r="AT369" s="70"/>
    </row>
    <row r="370" spans="1:46" ht="22.2" customHeight="1" x14ac:dyDescent="0.3">
      <c r="A370" t="s">
        <v>1280</v>
      </c>
      <c r="B370" s="3">
        <v>409.77</v>
      </c>
      <c r="C370" s="3"/>
      <c r="D370" s="3"/>
      <c r="E370" s="3"/>
      <c r="G370" t="s">
        <v>1173</v>
      </c>
      <c r="I370" s="3">
        <v>705.42759999999998</v>
      </c>
      <c r="K370" t="s">
        <v>1228</v>
      </c>
      <c r="L370" s="3"/>
      <c r="M370" s="3">
        <v>25.875399999999999</v>
      </c>
      <c r="N370" s="20"/>
      <c r="AR370" s="70"/>
      <c r="AS370" s="70"/>
      <c r="AT370" s="70"/>
    </row>
    <row r="371" spans="1:46" ht="22.2" customHeight="1" x14ac:dyDescent="0.3">
      <c r="A371" t="s">
        <v>1281</v>
      </c>
      <c r="B371" s="3">
        <v>104.77</v>
      </c>
      <c r="C371" s="3"/>
      <c r="D371" s="3"/>
      <c r="E371" s="3"/>
      <c r="G371" t="s">
        <v>1174</v>
      </c>
      <c r="I371" s="3">
        <v>-1477.7239999999999</v>
      </c>
      <c r="K371" t="s">
        <v>1229</v>
      </c>
      <c r="L371" s="3"/>
      <c r="M371" s="3">
        <v>1110.2407000000001</v>
      </c>
      <c r="N371" s="20"/>
      <c r="AR371" s="70"/>
      <c r="AS371" s="70"/>
      <c r="AT371" s="70"/>
    </row>
    <row r="372" spans="1:46" ht="22.2" customHeight="1" x14ac:dyDescent="0.3">
      <c r="A372" t="s">
        <v>1282</v>
      </c>
      <c r="B372" s="3">
        <v>15893.48</v>
      </c>
      <c r="C372" s="3"/>
      <c r="D372" s="3"/>
      <c r="E372" s="3"/>
      <c r="G372" t="s">
        <v>1175</v>
      </c>
      <c r="I372" s="3">
        <v>-308809.54080000002</v>
      </c>
      <c r="K372" s="34" t="s">
        <v>306</v>
      </c>
      <c r="L372" s="34"/>
      <c r="M372" s="65">
        <f>SUM(M320:M371)</f>
        <v>6740948.2391999997</v>
      </c>
      <c r="N372" s="20"/>
      <c r="AR372" s="70"/>
      <c r="AS372" s="70"/>
      <c r="AT372" s="70"/>
    </row>
    <row r="373" spans="1:46" ht="22.2" customHeight="1" x14ac:dyDescent="0.3">
      <c r="A373" t="s">
        <v>1283</v>
      </c>
      <c r="B373" s="3">
        <v>199.29</v>
      </c>
      <c r="C373" s="3"/>
      <c r="D373" s="3"/>
      <c r="E373" s="3"/>
      <c r="G373" t="s">
        <v>1176</v>
      </c>
      <c r="I373" s="3">
        <v>-390.51620000000003</v>
      </c>
      <c r="K373" s="3"/>
      <c r="N373" s="20"/>
      <c r="AR373" s="70"/>
      <c r="AS373" s="70"/>
      <c r="AT373" s="70"/>
    </row>
    <row r="374" spans="1:46" ht="22.2" customHeight="1" x14ac:dyDescent="0.3">
      <c r="A374" t="s">
        <v>1284</v>
      </c>
      <c r="B374" s="3">
        <v>8500.93</v>
      </c>
      <c r="C374" s="3"/>
      <c r="D374" s="3"/>
      <c r="E374" s="3"/>
      <c r="G374" t="s">
        <v>1177</v>
      </c>
      <c r="I374" s="3">
        <v>-24914.0137</v>
      </c>
      <c r="K374" s="3"/>
      <c r="N374" s="20"/>
      <c r="AR374" s="70"/>
      <c r="AS374" s="70"/>
      <c r="AT374" s="70"/>
    </row>
    <row r="375" spans="1:46" ht="22.2" customHeight="1" x14ac:dyDescent="0.3">
      <c r="A375" t="s">
        <v>1285</v>
      </c>
      <c r="B375" s="3">
        <v>31396.48</v>
      </c>
      <c r="C375" s="3"/>
      <c r="D375" s="3"/>
      <c r="E375" s="3"/>
      <c r="G375" s="34" t="s">
        <v>305</v>
      </c>
      <c r="H375" s="34"/>
      <c r="I375" s="65">
        <f>SUM(I320:I374)</f>
        <v>-11678475.5241</v>
      </c>
      <c r="K375" s="3"/>
      <c r="N375" s="20"/>
      <c r="AR375" s="70"/>
      <c r="AS375" s="70"/>
      <c r="AT375" s="70"/>
    </row>
    <row r="376" spans="1:46" ht="22.2" customHeight="1" x14ac:dyDescent="0.3">
      <c r="A376" t="s">
        <v>1286</v>
      </c>
      <c r="B376" s="3">
        <v>6792.6999999999989</v>
      </c>
      <c r="C376" s="3"/>
      <c r="D376" s="3"/>
      <c r="E376" s="3"/>
      <c r="K376" s="3"/>
      <c r="N376" s="20"/>
      <c r="AR376" s="70"/>
      <c r="AS376" s="70"/>
      <c r="AT376" s="70"/>
    </row>
    <row r="377" spans="1:46" ht="22.2" customHeight="1" x14ac:dyDescent="0.3">
      <c r="A377" t="s">
        <v>1287</v>
      </c>
      <c r="B377" s="3">
        <v>7502.69</v>
      </c>
      <c r="C377" s="3"/>
      <c r="D377" s="3"/>
      <c r="E377" s="3"/>
      <c r="K377" s="3"/>
      <c r="N377" s="20"/>
      <c r="AR377" s="70"/>
      <c r="AS377" s="70"/>
      <c r="AT377" s="70"/>
    </row>
    <row r="378" spans="1:46" ht="22.2" customHeight="1" x14ac:dyDescent="0.3">
      <c r="A378" t="s">
        <v>1288</v>
      </c>
      <c r="B378" s="3">
        <v>19260.28</v>
      </c>
      <c r="C378" s="3"/>
      <c r="D378" s="3"/>
      <c r="E378" s="3"/>
      <c r="G378" s="34" t="s">
        <v>9</v>
      </c>
      <c r="H378" s="34"/>
      <c r="I378" s="37"/>
      <c r="K378" s="3"/>
      <c r="N378" s="20"/>
      <c r="AR378" s="70"/>
      <c r="AS378" s="70"/>
      <c r="AT378" s="70"/>
    </row>
    <row r="379" spans="1:46" ht="22.2" customHeight="1" x14ac:dyDescent="0.3">
      <c r="A379" t="s">
        <v>1289</v>
      </c>
      <c r="B379" s="3">
        <v>585.2758</v>
      </c>
      <c r="C379" s="3"/>
      <c r="D379" s="3"/>
      <c r="E379" s="3"/>
      <c r="G379" t="s">
        <v>238</v>
      </c>
      <c r="I379" s="3">
        <v>-6615.4990000000007</v>
      </c>
      <c r="K379" s="3"/>
      <c r="N379" s="20"/>
      <c r="AR379" s="70"/>
      <c r="AS379" s="70"/>
      <c r="AT379" s="70"/>
    </row>
    <row r="380" spans="1:46" ht="22.2" customHeight="1" x14ac:dyDescent="0.3">
      <c r="A380" t="s">
        <v>1290</v>
      </c>
      <c r="B380" s="3">
        <v>4039.23</v>
      </c>
      <c r="C380" s="3"/>
      <c r="D380" s="3"/>
      <c r="E380" s="3"/>
      <c r="G380" t="s">
        <v>8</v>
      </c>
      <c r="I380" s="3">
        <v>-1578433.4188999999</v>
      </c>
      <c r="K380" s="3"/>
      <c r="N380" s="20"/>
      <c r="AR380" s="70"/>
      <c r="AS380" s="70"/>
      <c r="AT380" s="70"/>
    </row>
    <row r="381" spans="1:46" ht="22.2" customHeight="1" x14ac:dyDescent="0.3">
      <c r="A381" t="s">
        <v>1291</v>
      </c>
      <c r="B381" s="3">
        <v>1015.35</v>
      </c>
      <c r="C381" s="3"/>
      <c r="D381" s="3"/>
      <c r="E381" s="3"/>
      <c r="G381" t="s">
        <v>9</v>
      </c>
      <c r="I381" s="3">
        <v>-7695.1477000000004</v>
      </c>
      <c r="K381" s="3"/>
      <c r="N381" s="20"/>
      <c r="AR381" s="70"/>
      <c r="AS381" s="70"/>
      <c r="AT381" s="70"/>
    </row>
    <row r="382" spans="1:46" ht="22.2" customHeight="1" x14ac:dyDescent="0.3">
      <c r="A382" t="s">
        <v>1292</v>
      </c>
      <c r="B382" s="3">
        <v>3823.99</v>
      </c>
      <c r="C382" s="3"/>
      <c r="D382" s="3"/>
      <c r="E382" s="3"/>
      <c r="G382" s="34" t="s">
        <v>967</v>
      </c>
      <c r="H382" s="34"/>
      <c r="I382" s="37">
        <f>SUM(I379:I381)</f>
        <v>-1592744.0656000001</v>
      </c>
      <c r="K382" s="3"/>
      <c r="N382" s="20"/>
      <c r="AR382" s="70"/>
      <c r="AS382" s="70"/>
      <c r="AT382" s="70"/>
    </row>
    <row r="383" spans="1:46" ht="22.2" customHeight="1" x14ac:dyDescent="0.3">
      <c r="A383" t="s">
        <v>1293</v>
      </c>
      <c r="B383" s="3">
        <v>98479.56720000002</v>
      </c>
      <c r="C383" s="3"/>
      <c r="D383" s="3"/>
      <c r="E383" s="3"/>
      <c r="K383" s="3"/>
      <c r="N383" s="20"/>
      <c r="AR383" s="70"/>
      <c r="AS383" s="70"/>
      <c r="AT383" s="70"/>
    </row>
    <row r="384" spans="1:46" ht="22.2" customHeight="1" x14ac:dyDescent="0.3">
      <c r="A384" t="s">
        <v>1294</v>
      </c>
      <c r="B384" s="3">
        <v>2548.87</v>
      </c>
      <c r="C384" s="3"/>
      <c r="D384" s="3"/>
      <c r="E384" s="3"/>
      <c r="K384" s="3"/>
      <c r="N384" s="20"/>
      <c r="AR384" s="70"/>
      <c r="AS384" s="70"/>
      <c r="AT384" s="70"/>
    </row>
    <row r="385" spans="1:46" ht="22.2" customHeight="1" x14ac:dyDescent="0.3">
      <c r="A385" t="s">
        <v>1295</v>
      </c>
      <c r="B385" s="3">
        <v>4647.7396999999992</v>
      </c>
      <c r="C385" s="3"/>
      <c r="D385" s="3"/>
      <c r="E385" s="3"/>
      <c r="K385" s="3"/>
      <c r="N385" s="20"/>
      <c r="AR385" s="70"/>
      <c r="AS385" s="70"/>
      <c r="AT385" s="70"/>
    </row>
    <row r="386" spans="1:46" ht="22.2" customHeight="1" x14ac:dyDescent="0.3">
      <c r="A386" t="s">
        <v>1296</v>
      </c>
      <c r="B386" s="3">
        <v>63772.644999999997</v>
      </c>
      <c r="C386" s="3"/>
      <c r="D386" s="3"/>
      <c r="E386" s="3"/>
      <c r="K386" s="3"/>
      <c r="N386" s="20"/>
      <c r="AR386" s="70"/>
      <c r="AS386" s="70"/>
      <c r="AT386" s="70"/>
    </row>
    <row r="387" spans="1:46" ht="22.2" customHeight="1" x14ac:dyDescent="0.3">
      <c r="A387" t="s">
        <v>1297</v>
      </c>
      <c r="B387" s="3">
        <v>432.21</v>
      </c>
      <c r="C387" s="3"/>
      <c r="D387" s="3"/>
      <c r="E387" s="3"/>
      <c r="K387" s="3"/>
      <c r="N387" s="20"/>
      <c r="AR387" s="70"/>
      <c r="AS387" s="70"/>
      <c r="AT387" s="70"/>
    </row>
    <row r="388" spans="1:46" ht="22.2" customHeight="1" x14ac:dyDescent="0.3">
      <c r="A388" t="s">
        <v>1298</v>
      </c>
      <c r="B388" s="3">
        <v>0</v>
      </c>
      <c r="C388" s="3"/>
      <c r="D388" s="3"/>
      <c r="E388" s="3"/>
      <c r="K388" s="3"/>
      <c r="N388" s="20"/>
      <c r="AR388" s="70"/>
      <c r="AS388" s="70"/>
      <c r="AT388" s="70"/>
    </row>
    <row r="389" spans="1:46" ht="22.2" customHeight="1" x14ac:dyDescent="0.3">
      <c r="A389" t="s">
        <v>1299</v>
      </c>
      <c r="B389" s="3">
        <v>4722.2222000000002</v>
      </c>
      <c r="C389" s="3"/>
      <c r="D389" s="3"/>
      <c r="E389" s="3"/>
      <c r="K389" s="3"/>
      <c r="N389" s="20"/>
      <c r="AR389" s="70"/>
      <c r="AS389" s="70"/>
      <c r="AT389" s="70"/>
    </row>
    <row r="390" spans="1:46" ht="22.2" customHeight="1" x14ac:dyDescent="0.3">
      <c r="A390" t="s">
        <v>1300</v>
      </c>
      <c r="B390" s="3">
        <v>-2825.7550999999999</v>
      </c>
      <c r="C390" s="3"/>
      <c r="D390" s="3"/>
      <c r="E390" s="3"/>
      <c r="K390" s="3"/>
      <c r="N390" s="20"/>
      <c r="AR390" s="70"/>
      <c r="AS390" s="70"/>
      <c r="AT390" s="70"/>
    </row>
    <row r="391" spans="1:46" ht="22.2" customHeight="1" x14ac:dyDescent="0.3">
      <c r="A391" t="s">
        <v>1301</v>
      </c>
      <c r="B391" s="3">
        <v>4202.3829999999998</v>
      </c>
      <c r="C391" s="3"/>
      <c r="D391" s="3"/>
      <c r="E391" s="3"/>
      <c r="K391" s="3"/>
      <c r="N391" s="20"/>
      <c r="AR391" s="70"/>
      <c r="AS391" s="70"/>
      <c r="AT391" s="70"/>
    </row>
    <row r="392" spans="1:46" ht="22.2" customHeight="1" x14ac:dyDescent="0.3">
      <c r="A392" t="s">
        <v>1302</v>
      </c>
      <c r="B392" s="3">
        <v>-3100</v>
      </c>
      <c r="C392" s="3"/>
      <c r="D392" s="3"/>
      <c r="E392" s="3"/>
      <c r="K392" s="3"/>
      <c r="N392" s="20"/>
      <c r="AR392" s="70"/>
      <c r="AS392" s="70"/>
      <c r="AT392" s="70"/>
    </row>
    <row r="393" spans="1:46" ht="22.2" customHeight="1" x14ac:dyDescent="0.3">
      <c r="A393" t="s">
        <v>1303</v>
      </c>
      <c r="B393" s="3">
        <v>-70.0300000000002</v>
      </c>
      <c r="C393" s="3"/>
      <c r="D393" s="3"/>
      <c r="E393" s="3"/>
      <c r="K393" s="3"/>
      <c r="N393" s="20"/>
      <c r="AR393" s="70"/>
      <c r="AS393" s="70"/>
      <c r="AT393" s="70"/>
    </row>
    <row r="394" spans="1:46" ht="22.2" customHeight="1" x14ac:dyDescent="0.3">
      <c r="A394" t="s">
        <v>1304</v>
      </c>
      <c r="B394" s="3">
        <v>56748.536500000002</v>
      </c>
      <c r="C394" s="3"/>
      <c r="D394" s="3"/>
      <c r="E394" s="3"/>
      <c r="K394" s="3"/>
      <c r="N394" s="20"/>
      <c r="AR394" s="70"/>
      <c r="AS394" s="70"/>
      <c r="AT394" s="70"/>
    </row>
    <row r="395" spans="1:46" ht="22.2" customHeight="1" x14ac:dyDescent="0.3">
      <c r="A395" t="s">
        <v>1305</v>
      </c>
      <c r="B395" s="3">
        <v>48690.600000000013</v>
      </c>
      <c r="C395" s="3"/>
      <c r="D395" s="3"/>
      <c r="E395" s="3"/>
      <c r="K395" s="3"/>
      <c r="N395" s="20"/>
      <c r="AR395" s="70"/>
      <c r="AS395" s="70"/>
      <c r="AT395" s="70"/>
    </row>
    <row r="396" spans="1:46" ht="22.2" customHeight="1" x14ac:dyDescent="0.3">
      <c r="A396" t="s">
        <v>1306</v>
      </c>
      <c r="B396" s="3">
        <v>500571.19</v>
      </c>
      <c r="C396" s="3"/>
      <c r="D396" s="3"/>
      <c r="E396" s="3"/>
      <c r="K396" s="3"/>
      <c r="N396" s="20"/>
      <c r="AR396" s="70"/>
      <c r="AS396" s="70"/>
      <c r="AT396" s="70"/>
    </row>
    <row r="397" spans="1:46" ht="22.2" customHeight="1" x14ac:dyDescent="0.3">
      <c r="A397" t="s">
        <v>1307</v>
      </c>
      <c r="B397" s="3">
        <v>10133.280500000001</v>
      </c>
      <c r="C397" s="3"/>
      <c r="D397" s="3"/>
      <c r="E397" s="3"/>
      <c r="K397" s="3"/>
      <c r="N397" s="20"/>
      <c r="AR397" s="70"/>
      <c r="AS397" s="70"/>
      <c r="AT397" s="70"/>
    </row>
    <row r="398" spans="1:46" ht="22.2" customHeight="1" x14ac:dyDescent="0.3">
      <c r="A398" t="s">
        <v>1308</v>
      </c>
      <c r="B398" s="3">
        <v>4606.9049999999997</v>
      </c>
      <c r="C398" s="3"/>
      <c r="D398" s="3"/>
      <c r="E398" s="3"/>
      <c r="K398" s="3"/>
      <c r="N398" s="20"/>
      <c r="AR398" s="70"/>
      <c r="AS398" s="70"/>
      <c r="AT398" s="70"/>
    </row>
    <row r="399" spans="1:46" ht="22.2" customHeight="1" x14ac:dyDescent="0.3">
      <c r="A399" t="s">
        <v>1309</v>
      </c>
      <c r="B399" s="3">
        <v>6.25E-2</v>
      </c>
      <c r="C399" s="3"/>
      <c r="D399" s="3"/>
      <c r="E399" s="3"/>
      <c r="K399" s="3"/>
      <c r="N399" s="20"/>
      <c r="AR399" s="70"/>
      <c r="AS399" s="70"/>
      <c r="AT399" s="70"/>
    </row>
    <row r="400" spans="1:46" ht="22.2" customHeight="1" x14ac:dyDescent="0.3">
      <c r="A400" t="s">
        <v>1310</v>
      </c>
      <c r="B400" s="3">
        <v>57637.969999999987</v>
      </c>
      <c r="C400" s="3"/>
      <c r="D400" s="3"/>
      <c r="E400" s="3"/>
      <c r="K400" s="3"/>
      <c r="N400" s="20"/>
      <c r="AR400" s="70"/>
      <c r="AS400" s="70"/>
      <c r="AT400" s="70"/>
    </row>
    <row r="401" spans="1:46" ht="22.2" customHeight="1" x14ac:dyDescent="0.3">
      <c r="A401" t="s">
        <v>1311</v>
      </c>
      <c r="B401" s="3">
        <v>27169.359199999999</v>
      </c>
      <c r="C401" s="3"/>
      <c r="D401" s="3"/>
      <c r="E401" s="3"/>
      <c r="K401" s="3"/>
      <c r="N401" s="20"/>
      <c r="AR401" s="70"/>
      <c r="AS401" s="70"/>
      <c r="AT401" s="70"/>
    </row>
    <row r="402" spans="1:46" ht="22.2" customHeight="1" x14ac:dyDescent="0.3">
      <c r="A402" t="s">
        <v>1312</v>
      </c>
      <c r="B402" s="3">
        <v>54250.39239999999</v>
      </c>
      <c r="C402" s="3"/>
      <c r="D402" s="3"/>
      <c r="E402" s="3"/>
      <c r="K402" s="3"/>
      <c r="N402" s="20"/>
      <c r="AR402" s="70"/>
      <c r="AS402" s="70"/>
      <c r="AT402" s="70"/>
    </row>
    <row r="403" spans="1:46" ht="22.2" customHeight="1" x14ac:dyDescent="0.3">
      <c r="A403" t="s">
        <v>1313</v>
      </c>
      <c r="B403" s="3">
        <v>485.62</v>
      </c>
      <c r="C403" s="3"/>
      <c r="D403" s="3"/>
      <c r="E403" s="3"/>
      <c r="K403" s="3"/>
      <c r="N403" s="20"/>
      <c r="AR403" s="70"/>
      <c r="AS403" s="70"/>
      <c r="AT403" s="70"/>
    </row>
    <row r="404" spans="1:46" ht="22.2" customHeight="1" x14ac:dyDescent="0.3">
      <c r="A404" t="s">
        <v>1314</v>
      </c>
      <c r="B404" s="3">
        <v>16151.2536</v>
      </c>
      <c r="C404" s="3"/>
      <c r="D404" s="3"/>
      <c r="E404" s="3"/>
      <c r="K404" s="3"/>
      <c r="N404" s="20"/>
      <c r="AR404" s="70"/>
      <c r="AS404" s="70"/>
      <c r="AT404" s="70"/>
    </row>
    <row r="405" spans="1:46" ht="22.2" customHeight="1" x14ac:dyDescent="0.3">
      <c r="A405" t="s">
        <v>1315</v>
      </c>
      <c r="B405" s="3">
        <v>55382.617200000008</v>
      </c>
      <c r="C405" s="3"/>
      <c r="D405" s="3"/>
      <c r="E405" s="3"/>
      <c r="K405" s="3"/>
      <c r="N405" s="20"/>
      <c r="AR405" s="70"/>
      <c r="AS405" s="70"/>
      <c r="AT405" s="70"/>
    </row>
    <row r="406" spans="1:46" ht="22.2" customHeight="1" x14ac:dyDescent="0.3">
      <c r="A406" s="55" t="s">
        <v>10</v>
      </c>
      <c r="B406" s="29">
        <v>1359584.9927999999</v>
      </c>
      <c r="C406" s="3"/>
      <c r="D406" s="3"/>
      <c r="E406" s="3"/>
      <c r="K406" s="3"/>
      <c r="N406" s="20"/>
      <c r="AR406" s="70"/>
      <c r="AS406" s="70"/>
      <c r="AT406" s="70"/>
    </row>
    <row r="407" spans="1:46" ht="22.2" customHeight="1" x14ac:dyDescent="0.3">
      <c r="A407" t="s">
        <v>1316</v>
      </c>
      <c r="B407" s="3">
        <v>8092.77</v>
      </c>
      <c r="C407" s="3"/>
      <c r="D407" s="3"/>
      <c r="E407" s="3"/>
      <c r="K407" s="3"/>
      <c r="N407" s="20"/>
      <c r="AR407" s="70"/>
      <c r="AS407" s="70"/>
      <c r="AT407" s="70"/>
    </row>
    <row r="408" spans="1:46" ht="22.2" customHeight="1" x14ac:dyDescent="0.3">
      <c r="A408" t="s">
        <v>1317</v>
      </c>
      <c r="B408" s="3">
        <v>34.729999999999997</v>
      </c>
      <c r="C408" s="3"/>
      <c r="D408" s="3"/>
      <c r="E408" s="3"/>
      <c r="K408" s="3"/>
      <c r="N408" s="20"/>
      <c r="AR408" s="70"/>
      <c r="AS408" s="70"/>
      <c r="AT408" s="70"/>
    </row>
    <row r="409" spans="1:46" ht="22.2" customHeight="1" x14ac:dyDescent="0.3">
      <c r="A409" t="s">
        <v>1318</v>
      </c>
      <c r="B409" s="3">
        <v>84.53</v>
      </c>
      <c r="C409" s="3"/>
      <c r="D409" s="3"/>
      <c r="E409" s="3"/>
      <c r="K409" s="3"/>
      <c r="N409" s="20"/>
      <c r="AR409" s="70"/>
      <c r="AS409" s="70"/>
      <c r="AT409" s="70"/>
    </row>
    <row r="410" spans="1:46" ht="22.2" customHeight="1" x14ac:dyDescent="0.3">
      <c r="A410" t="s">
        <v>1319</v>
      </c>
      <c r="B410" s="3">
        <v>520.70000000000005</v>
      </c>
      <c r="C410" s="3"/>
      <c r="D410" s="3"/>
      <c r="E410" s="3"/>
      <c r="K410" s="3"/>
      <c r="N410" s="20"/>
      <c r="AR410" s="70"/>
      <c r="AS410" s="70"/>
      <c r="AT410" s="70"/>
    </row>
    <row r="411" spans="1:46" ht="22.2" customHeight="1" x14ac:dyDescent="0.3">
      <c r="A411" t="s">
        <v>1320</v>
      </c>
      <c r="B411" s="3">
        <v>3706.64</v>
      </c>
      <c r="C411" s="3"/>
      <c r="D411" s="3"/>
      <c r="E411" s="3"/>
      <c r="K411" s="3"/>
      <c r="N411" s="20"/>
      <c r="AR411" s="70"/>
      <c r="AS411" s="70"/>
      <c r="AT411" s="70"/>
    </row>
    <row r="412" spans="1:46" ht="22.2" customHeight="1" x14ac:dyDescent="0.3">
      <c r="A412" t="s">
        <v>1321</v>
      </c>
      <c r="B412" s="3">
        <v>7769.3539999999994</v>
      </c>
      <c r="C412" s="3"/>
      <c r="D412" s="3"/>
      <c r="E412" s="3"/>
      <c r="K412" s="3"/>
      <c r="N412" s="20"/>
      <c r="AR412" s="70"/>
      <c r="AS412" s="70"/>
      <c r="AT412" s="70"/>
    </row>
    <row r="413" spans="1:46" ht="22.2" customHeight="1" x14ac:dyDescent="0.3">
      <c r="A413" t="s">
        <v>1322</v>
      </c>
      <c r="B413" s="3">
        <v>26679.3092</v>
      </c>
      <c r="C413" s="3"/>
      <c r="D413" s="3"/>
      <c r="E413" s="3"/>
      <c r="K413" s="3"/>
      <c r="N413" s="20"/>
      <c r="AR413" s="70"/>
      <c r="AS413" s="70"/>
      <c r="AT413" s="70"/>
    </row>
    <row r="414" spans="1:46" ht="22.2" customHeight="1" x14ac:dyDescent="0.3">
      <c r="A414" t="s">
        <v>1323</v>
      </c>
      <c r="B414" s="3">
        <v>82.84</v>
      </c>
      <c r="C414" s="3"/>
      <c r="D414" s="3"/>
      <c r="E414" s="3"/>
      <c r="K414" s="3"/>
      <c r="N414" s="20"/>
      <c r="AR414" s="70"/>
      <c r="AS414" s="70"/>
      <c r="AT414" s="70"/>
    </row>
    <row r="415" spans="1:46" ht="22.2" customHeight="1" x14ac:dyDescent="0.3">
      <c r="A415" t="s">
        <v>1324</v>
      </c>
      <c r="B415" s="3">
        <v>4400.4516999999996</v>
      </c>
      <c r="C415" s="3"/>
      <c r="D415" s="3"/>
      <c r="E415" s="3"/>
      <c r="K415" s="3"/>
      <c r="N415" s="20"/>
      <c r="AR415" s="70"/>
      <c r="AS415" s="70"/>
      <c r="AT415" s="70"/>
    </row>
    <row r="416" spans="1:46" ht="22.2" customHeight="1" x14ac:dyDescent="0.3">
      <c r="A416" s="34" t="s">
        <v>305</v>
      </c>
      <c r="B416" s="36">
        <f>SUM(B320:B415)</f>
        <v>4546594.8565000007</v>
      </c>
      <c r="K416" s="3"/>
      <c r="N416" s="20"/>
      <c r="AR416" s="70"/>
      <c r="AS416" s="70"/>
      <c r="AT416" s="70"/>
    </row>
    <row r="417" spans="11:46" ht="22.2" customHeight="1" x14ac:dyDescent="0.3">
      <c r="K417" s="3"/>
      <c r="N417" s="20"/>
      <c r="AR417" s="70"/>
      <c r="AS417" s="70"/>
      <c r="AT417" s="70"/>
    </row>
    <row r="418" spans="11:46" ht="22.2" customHeight="1" x14ac:dyDescent="0.3">
      <c r="K418" s="3"/>
      <c r="N418" s="20"/>
      <c r="AR418" s="70"/>
      <c r="AS418" s="70"/>
      <c r="AT418" s="70"/>
    </row>
    <row r="419" spans="11:46" ht="22.2" customHeight="1" x14ac:dyDescent="0.3">
      <c r="K419" s="3"/>
      <c r="N419" s="20"/>
      <c r="AR419" s="70"/>
      <c r="AS419" s="70"/>
      <c r="AT419" s="70"/>
    </row>
    <row r="420" spans="11:46" ht="22.2" customHeight="1" x14ac:dyDescent="0.3">
      <c r="K420" s="3"/>
      <c r="N420" s="20"/>
      <c r="AR420" s="70"/>
      <c r="AS420" s="70"/>
      <c r="AT420" s="70"/>
    </row>
    <row r="421" spans="11:46" ht="22.2" customHeight="1" x14ac:dyDescent="0.3">
      <c r="K421" s="3"/>
      <c r="N421" s="20"/>
      <c r="AR421" s="70"/>
      <c r="AS421" s="70"/>
      <c r="AT421" s="70"/>
    </row>
    <row r="422" spans="11:46" ht="22.2" customHeight="1" x14ac:dyDescent="0.3">
      <c r="K422" s="3"/>
      <c r="N422" s="20"/>
      <c r="AR422" s="70"/>
      <c r="AS422" s="70"/>
      <c r="AT422" s="70"/>
    </row>
    <row r="423" spans="11:46" ht="22.2" customHeight="1" x14ac:dyDescent="0.3">
      <c r="K423" s="3"/>
      <c r="N423" s="20"/>
      <c r="AR423" s="70"/>
      <c r="AS423" s="70"/>
      <c r="AT423" s="70"/>
    </row>
    <row r="424" spans="11:46" ht="22.2" customHeight="1" x14ac:dyDescent="0.3">
      <c r="K424" s="3"/>
      <c r="AR424" s="70"/>
      <c r="AS424" s="70"/>
      <c r="AT424" s="70"/>
    </row>
    <row r="425" spans="11:46" ht="22.2" customHeight="1" x14ac:dyDescent="0.3">
      <c r="K425" s="3"/>
      <c r="AR425" s="70"/>
      <c r="AS425" s="70"/>
      <c r="AT425" s="70"/>
    </row>
    <row r="426" spans="11:46" ht="22.2" customHeight="1" x14ac:dyDescent="0.3">
      <c r="K426" s="3"/>
      <c r="AR426" s="70"/>
      <c r="AS426" s="70"/>
      <c r="AT426" s="70"/>
    </row>
    <row r="427" spans="11:46" ht="22.2" customHeight="1" x14ac:dyDescent="0.3">
      <c r="K427" s="3"/>
      <c r="AR427" s="70"/>
      <c r="AS427" s="70"/>
      <c r="AT427" s="70"/>
    </row>
    <row r="428" spans="11:46" ht="22.2" customHeight="1" x14ac:dyDescent="0.3">
      <c r="K428" s="3"/>
    </row>
    <row r="429" spans="11:46" ht="22.2" customHeight="1" x14ac:dyDescent="0.3">
      <c r="K429" s="3"/>
    </row>
    <row r="430" spans="11:46" ht="22.2" customHeight="1" x14ac:dyDescent="0.3">
      <c r="K430" s="3"/>
    </row>
    <row r="431" spans="11:46" ht="22.2" customHeight="1" x14ac:dyDescent="0.3">
      <c r="K431" s="3"/>
    </row>
    <row r="432" spans="11:46" ht="22.2" customHeight="1" x14ac:dyDescent="0.3">
      <c r="K432" s="3"/>
    </row>
    <row r="433" spans="11:11" ht="22.2" customHeight="1" x14ac:dyDescent="0.3">
      <c r="K433" s="26"/>
    </row>
  </sheetData>
  <autoFilter ref="A1:AS225" xr:uid="{13E08992-6827-4FB6-BA42-6F4528CA237B}"/>
  <sortState xmlns:xlrd2="http://schemas.microsoft.com/office/spreadsheetml/2017/richdata2" ref="A2:AR224">
    <sortCondition ref="A1:A224"/>
  </sortState>
  <mergeCells count="14">
    <mergeCell ref="AU20:AW20"/>
    <mergeCell ref="BA2:BC2"/>
    <mergeCell ref="BE12:BG13"/>
    <mergeCell ref="BE14:BG15"/>
    <mergeCell ref="BE16:BG16"/>
    <mergeCell ref="BE17:BG19"/>
    <mergeCell ref="AU2:AW2"/>
    <mergeCell ref="AU8:AW8"/>
    <mergeCell ref="AU14:AW14"/>
    <mergeCell ref="BE2:BG3"/>
    <mergeCell ref="BE4:BG5"/>
    <mergeCell ref="BE6:BG7"/>
    <mergeCell ref="BE8:BG9"/>
    <mergeCell ref="BE10:BG11"/>
  </mergeCells>
  <conditionalFormatting sqref="B2:B223">
    <cfRule type="cellIs" dxfId="38" priority="51" operator="greaterThan">
      <formula>26.69</formula>
    </cfRule>
  </conditionalFormatting>
  <conditionalFormatting sqref="D2:D223">
    <cfRule type="cellIs" dxfId="37" priority="23" operator="greaterThan">
      <formula>2000</formula>
    </cfRule>
    <cfRule type="cellIs" dxfId="36" priority="24" operator="between">
      <formula>1001</formula>
      <formula>2000</formula>
    </cfRule>
    <cfRule type="cellIs" dxfId="35" priority="25" operator="between">
      <formula>0</formula>
      <formula>1000</formula>
    </cfRule>
  </conditionalFormatting>
  <conditionalFormatting sqref="F2:F223">
    <cfRule type="cellIs" dxfId="34" priority="49" operator="greaterThan">
      <formula>27.51</formula>
    </cfRule>
  </conditionalFormatting>
  <conditionalFormatting sqref="H2:H223">
    <cfRule type="cellIs" dxfId="33" priority="48" operator="greaterThan">
      <formula>2.63</formula>
    </cfRule>
  </conditionalFormatting>
  <conditionalFormatting sqref="J2:J223">
    <cfRule type="cellIs" dxfId="32" priority="26" operator="greaterThan">
      <formula>6000</formula>
    </cfRule>
    <cfRule type="cellIs" dxfId="31" priority="27" operator="between">
      <formula>3001</formula>
      <formula>6000</formula>
    </cfRule>
    <cfRule type="cellIs" dxfId="30" priority="28" operator="between">
      <formula>0</formula>
      <formula>3000</formula>
    </cfRule>
  </conditionalFormatting>
  <conditionalFormatting sqref="L2:L223">
    <cfRule type="cellIs" dxfId="29" priority="46" operator="greaterThan">
      <formula>4.53</formula>
    </cfRule>
  </conditionalFormatting>
  <conditionalFormatting sqref="N2:N223">
    <cfRule type="cellIs" dxfId="28" priority="45" operator="greaterThan">
      <formula>14.33</formula>
    </cfRule>
  </conditionalFormatting>
  <conditionalFormatting sqref="P2:P223">
    <cfRule type="cellIs" dxfId="27" priority="44" operator="greaterThan">
      <formula>163.71</formula>
    </cfRule>
  </conditionalFormatting>
  <conditionalFormatting sqref="R2:R223">
    <cfRule type="cellIs" dxfId="26" priority="43" operator="greaterThan">
      <formula>1029.97</formula>
    </cfRule>
  </conditionalFormatting>
  <conditionalFormatting sqref="T2:T223">
    <cfRule type="cellIs" dxfId="25" priority="42" operator="greaterThan">
      <formula>1.79</formula>
    </cfRule>
  </conditionalFormatting>
  <conditionalFormatting sqref="V2:V223">
    <cfRule type="cellIs" dxfId="24" priority="5" operator="greaterThan">
      <formula>1.91</formula>
    </cfRule>
  </conditionalFormatting>
  <conditionalFormatting sqref="X2:X223">
    <cfRule type="cellIs" dxfId="23" priority="41" operator="greaterThan">
      <formula>199.7</formula>
    </cfRule>
  </conditionalFormatting>
  <conditionalFormatting sqref="Z2:Z223">
    <cfRule type="cellIs" dxfId="22" priority="40" operator="greaterThan">
      <formula>6418.15</formula>
    </cfRule>
  </conditionalFormatting>
  <conditionalFormatting sqref="AB2:AB223">
    <cfRule type="cellIs" dxfId="21" priority="4" operator="lessThan">
      <formula>0</formula>
    </cfRule>
    <cfRule type="cellIs" dxfId="20" priority="17" operator="greaterThan">
      <formula>7000</formula>
    </cfRule>
    <cfRule type="cellIs" dxfId="19" priority="18" operator="between">
      <formula>4001</formula>
      <formula>7000</formula>
    </cfRule>
    <cfRule type="cellIs" dxfId="18" priority="19" operator="between">
      <formula>0</formula>
      <formula>4000</formula>
    </cfRule>
  </conditionalFormatting>
  <conditionalFormatting sqref="AD2:AD223">
    <cfRule type="cellIs" dxfId="17" priority="38" operator="greaterThan">
      <formula>29640.57</formula>
    </cfRule>
  </conditionalFormatting>
  <conditionalFormatting sqref="AO2:AO223">
    <cfRule type="cellIs" dxfId="16" priority="37" operator="greaterThan">
      <formula>14078.75</formula>
    </cfRule>
  </conditionalFormatting>
  <conditionalFormatting sqref="AQ2:AR223">
    <cfRule type="cellIs" dxfId="15" priority="1" operator="lessThan">
      <formula>-10000</formula>
    </cfRule>
    <cfRule type="cellIs" dxfId="14" priority="2" operator="greaterThan">
      <formula>0</formula>
    </cfRule>
    <cfRule type="cellIs" dxfId="13" priority="3" operator="between">
      <formula>0</formula>
      <formula>-10000</formula>
    </cfRule>
  </conditionalFormatting>
  <conditionalFormatting sqref="BE2">
    <cfRule type="duplicateValues" dxfId="12" priority="117"/>
  </conditionalFormatting>
  <conditionalFormatting sqref="BE1:BP1 AR1 AW1 BA1:BC1">
    <cfRule type="colorScale" priority="54">
      <colorScale>
        <cfvo type="num" val="0"/>
        <cfvo type="num" val="0"/>
        <color theme="9" tint="0.79998168889431442"/>
        <color rgb="FFFF000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6981-A87C-45A9-B822-9E445987F595}">
  <dimension ref="A4:HR16"/>
  <sheetViews>
    <sheetView topLeftCell="B1" workbookViewId="0">
      <selection activeCell="F18" sqref="F18"/>
    </sheetView>
  </sheetViews>
  <sheetFormatPr baseColWidth="10" defaultRowHeight="14.4" x14ac:dyDescent="0.3"/>
  <cols>
    <col min="1" max="1" width="32.109375" customWidth="1"/>
    <col min="2" max="2" width="19.21875" customWidth="1"/>
    <col min="3" max="3" width="30.21875" bestFit="1" customWidth="1"/>
    <col min="4" max="7" width="37.33203125" bestFit="1" customWidth="1"/>
    <col min="8" max="8" width="33.21875" bestFit="1" customWidth="1"/>
    <col min="9" max="11" width="33" bestFit="1" customWidth="1"/>
    <col min="12" max="12" width="39.21875" bestFit="1" customWidth="1"/>
    <col min="13" max="13" width="35.21875" bestFit="1" customWidth="1"/>
    <col min="14" max="14" width="29.88671875" bestFit="1" customWidth="1"/>
    <col min="15" max="118" width="40.44140625" bestFit="1" customWidth="1"/>
    <col min="119" max="119" width="24.33203125" bestFit="1" customWidth="1"/>
    <col min="120" max="129" width="40.21875" bestFit="1" customWidth="1"/>
    <col min="130" max="130" width="47" bestFit="1" customWidth="1"/>
    <col min="131" max="140" width="35.77734375" bestFit="1" customWidth="1"/>
    <col min="141" max="141" width="28.88671875" bestFit="1" customWidth="1"/>
    <col min="142" max="142" width="30.5546875" bestFit="1" customWidth="1"/>
    <col min="143" max="143" width="30.44140625" bestFit="1" customWidth="1"/>
    <col min="144" max="144" width="27.21875" bestFit="1" customWidth="1"/>
    <col min="145" max="145" width="28.77734375" bestFit="1" customWidth="1"/>
    <col min="146" max="146" width="33.21875" bestFit="1" customWidth="1"/>
    <col min="147" max="147" width="28.33203125" bestFit="1" customWidth="1"/>
    <col min="148" max="148" width="28.5546875" bestFit="1" customWidth="1"/>
    <col min="149" max="173" width="31.88671875" bestFit="1" customWidth="1"/>
    <col min="174" max="174" width="30.77734375" bestFit="1" customWidth="1"/>
    <col min="175" max="200" width="31.5546875" bestFit="1" customWidth="1"/>
    <col min="201" max="201" width="26.77734375" bestFit="1" customWidth="1"/>
    <col min="202" max="208" width="33.21875" bestFit="1" customWidth="1"/>
    <col min="209" max="209" width="21.6640625" bestFit="1" customWidth="1"/>
    <col min="210" max="222" width="32.88671875" bestFit="1" customWidth="1"/>
    <col min="223" max="223" width="11.44140625" hidden="1" customWidth="1"/>
    <col min="224" max="225" width="32.88671875" bestFit="1" customWidth="1"/>
    <col min="226" max="226" width="11.44140625" bestFit="1" customWidth="1"/>
    <col min="227" max="227" width="10.6640625" bestFit="1" customWidth="1"/>
    <col min="228" max="228" width="13.5546875" bestFit="1" customWidth="1"/>
    <col min="229" max="229" width="10.6640625" bestFit="1" customWidth="1"/>
    <col min="230" max="230" width="13.5546875" bestFit="1" customWidth="1"/>
    <col min="231" max="231" width="10.6640625" bestFit="1" customWidth="1"/>
    <col min="232" max="232" width="13.5546875" bestFit="1" customWidth="1"/>
    <col min="233" max="233" width="10.6640625" bestFit="1" customWidth="1"/>
    <col min="234" max="234" width="13.5546875" bestFit="1" customWidth="1"/>
    <col min="235" max="235" width="10.6640625" bestFit="1" customWidth="1"/>
    <col min="236" max="236" width="13.5546875" bestFit="1" customWidth="1"/>
    <col min="237" max="237" width="10.6640625" bestFit="1" customWidth="1"/>
    <col min="238" max="238" width="13.5546875" bestFit="1" customWidth="1"/>
    <col min="239" max="239" width="10.6640625" bestFit="1" customWidth="1"/>
    <col min="240" max="240" width="13.5546875" bestFit="1" customWidth="1"/>
    <col min="241" max="241" width="10.6640625" bestFit="1" customWidth="1"/>
    <col min="242" max="242" width="13.5546875" bestFit="1" customWidth="1"/>
    <col min="243" max="243" width="10.6640625" bestFit="1" customWidth="1"/>
    <col min="244" max="244" width="13.5546875" bestFit="1" customWidth="1"/>
    <col min="245" max="245" width="11.6640625" bestFit="1" customWidth="1"/>
    <col min="246" max="246" width="14.5546875" bestFit="1" customWidth="1"/>
    <col min="247" max="247" width="11.6640625" bestFit="1" customWidth="1"/>
    <col min="248" max="248" width="14.5546875" bestFit="1" customWidth="1"/>
    <col min="249" max="249" width="11.6640625" bestFit="1" customWidth="1"/>
    <col min="250" max="250" width="14.5546875" bestFit="1" customWidth="1"/>
    <col min="251" max="251" width="11.6640625" bestFit="1" customWidth="1"/>
    <col min="252" max="252" width="14.5546875" bestFit="1" customWidth="1"/>
    <col min="253" max="253" width="11.6640625" bestFit="1" customWidth="1"/>
    <col min="254" max="254" width="14.5546875" bestFit="1" customWidth="1"/>
    <col min="255" max="255" width="11.6640625" bestFit="1" customWidth="1"/>
    <col min="256" max="256" width="14.5546875" bestFit="1" customWidth="1"/>
    <col min="257" max="257" width="11.6640625" bestFit="1" customWidth="1"/>
    <col min="258" max="258" width="14.5546875" bestFit="1" customWidth="1"/>
    <col min="259" max="259" width="11.6640625" bestFit="1" customWidth="1"/>
    <col min="260" max="260" width="14.5546875" bestFit="1" customWidth="1"/>
    <col min="261" max="261" width="11.6640625" bestFit="1" customWidth="1"/>
    <col min="262" max="262" width="14.5546875" bestFit="1" customWidth="1"/>
    <col min="263" max="263" width="11.6640625" bestFit="1" customWidth="1"/>
    <col min="264" max="264" width="14.5546875" bestFit="1" customWidth="1"/>
    <col min="265" max="265" width="11.6640625" bestFit="1" customWidth="1"/>
    <col min="266" max="266" width="14.5546875" bestFit="1" customWidth="1"/>
    <col min="267" max="267" width="11.6640625" bestFit="1" customWidth="1"/>
    <col min="268" max="268" width="14.5546875" bestFit="1" customWidth="1"/>
    <col min="269" max="269" width="11.6640625" bestFit="1" customWidth="1"/>
    <col min="270" max="270" width="14.5546875" bestFit="1" customWidth="1"/>
    <col min="271" max="271" width="11.6640625" bestFit="1" customWidth="1"/>
    <col min="272" max="272" width="14.5546875" bestFit="1" customWidth="1"/>
    <col min="273" max="273" width="11.6640625" bestFit="1" customWidth="1"/>
    <col min="274" max="274" width="14.5546875" bestFit="1" customWidth="1"/>
    <col min="275" max="275" width="11.6640625" bestFit="1" customWidth="1"/>
    <col min="276" max="276" width="14.5546875" bestFit="1" customWidth="1"/>
    <col min="277" max="277" width="11.6640625" bestFit="1" customWidth="1"/>
    <col min="278" max="278" width="14.5546875" bestFit="1" customWidth="1"/>
    <col min="279" max="279" width="11.6640625" bestFit="1" customWidth="1"/>
    <col min="280" max="280" width="14.5546875" bestFit="1" customWidth="1"/>
    <col min="281" max="281" width="11.6640625" bestFit="1" customWidth="1"/>
    <col min="282" max="282" width="14.5546875" bestFit="1" customWidth="1"/>
    <col min="283" max="283" width="11.6640625" bestFit="1" customWidth="1"/>
    <col min="284" max="284" width="14.5546875" bestFit="1" customWidth="1"/>
    <col min="285" max="285" width="11.6640625" bestFit="1" customWidth="1"/>
    <col min="286" max="286" width="14.5546875" bestFit="1" customWidth="1"/>
    <col min="287" max="287" width="11.6640625" bestFit="1" customWidth="1"/>
    <col min="288" max="288" width="14.5546875" bestFit="1" customWidth="1"/>
    <col min="289" max="289" width="11.6640625" bestFit="1" customWidth="1"/>
    <col min="290" max="290" width="14.5546875" bestFit="1" customWidth="1"/>
    <col min="291" max="291" width="11.6640625" bestFit="1" customWidth="1"/>
    <col min="292" max="292" width="14.5546875" bestFit="1" customWidth="1"/>
    <col min="293" max="293" width="11.6640625" bestFit="1" customWidth="1"/>
    <col min="294" max="294" width="14.5546875" bestFit="1" customWidth="1"/>
    <col min="295" max="295" width="11.6640625" bestFit="1" customWidth="1"/>
    <col min="296" max="296" width="14.5546875" bestFit="1" customWidth="1"/>
    <col min="297" max="297" width="11.6640625" bestFit="1" customWidth="1"/>
    <col min="298" max="298" width="14.5546875" bestFit="1" customWidth="1"/>
    <col min="299" max="299" width="11.6640625" bestFit="1" customWidth="1"/>
    <col min="300" max="300" width="14.5546875" bestFit="1" customWidth="1"/>
    <col min="301" max="301" width="11.6640625" bestFit="1" customWidth="1"/>
    <col min="302" max="302" width="14.5546875" bestFit="1" customWidth="1"/>
    <col min="303" max="303" width="11.6640625" bestFit="1" customWidth="1"/>
    <col min="304" max="304" width="14.5546875" bestFit="1" customWidth="1"/>
    <col min="305" max="305" width="11.6640625" bestFit="1" customWidth="1"/>
    <col min="306" max="306" width="14.5546875" bestFit="1" customWidth="1"/>
    <col min="307" max="307" width="11.6640625" bestFit="1" customWidth="1"/>
    <col min="308" max="308" width="14.5546875" bestFit="1" customWidth="1"/>
    <col min="309" max="309" width="11.6640625" bestFit="1" customWidth="1"/>
    <col min="310" max="310" width="14.5546875" bestFit="1" customWidth="1"/>
    <col min="311" max="311" width="11.6640625" bestFit="1" customWidth="1"/>
    <col min="312" max="312" width="14.5546875" bestFit="1" customWidth="1"/>
    <col min="313" max="313" width="11.6640625" bestFit="1" customWidth="1"/>
    <col min="314" max="314" width="14.5546875" bestFit="1" customWidth="1"/>
    <col min="315" max="315" width="11.6640625" bestFit="1" customWidth="1"/>
    <col min="316" max="316" width="14.5546875" bestFit="1" customWidth="1"/>
    <col min="317" max="317" width="11.6640625" bestFit="1" customWidth="1"/>
    <col min="318" max="318" width="14.5546875" bestFit="1" customWidth="1"/>
    <col min="319" max="319" width="11.6640625" bestFit="1" customWidth="1"/>
    <col min="320" max="320" width="14.5546875" bestFit="1" customWidth="1"/>
    <col min="321" max="321" width="11.6640625" bestFit="1" customWidth="1"/>
    <col min="322" max="322" width="14.5546875" bestFit="1" customWidth="1"/>
    <col min="323" max="323" width="11.6640625" bestFit="1" customWidth="1"/>
    <col min="324" max="324" width="14.5546875" bestFit="1" customWidth="1"/>
    <col min="325" max="325" width="11.6640625" bestFit="1" customWidth="1"/>
    <col min="326" max="326" width="14.5546875" bestFit="1" customWidth="1"/>
    <col min="327" max="327" width="11.6640625" bestFit="1" customWidth="1"/>
    <col min="328" max="328" width="14.5546875" bestFit="1" customWidth="1"/>
    <col min="329" max="329" width="11.6640625" bestFit="1" customWidth="1"/>
    <col min="330" max="330" width="14.5546875" bestFit="1" customWidth="1"/>
    <col min="331" max="331" width="11.6640625" bestFit="1" customWidth="1"/>
    <col min="332" max="332" width="14.5546875" bestFit="1" customWidth="1"/>
    <col min="333" max="333" width="11.6640625" bestFit="1" customWidth="1"/>
    <col min="334" max="334" width="14.5546875" bestFit="1" customWidth="1"/>
    <col min="335" max="335" width="11.6640625" bestFit="1" customWidth="1"/>
    <col min="336" max="336" width="14.5546875" bestFit="1" customWidth="1"/>
    <col min="337" max="337" width="11.6640625" bestFit="1" customWidth="1"/>
    <col min="338" max="338" width="14.5546875" bestFit="1" customWidth="1"/>
    <col min="339" max="339" width="11.6640625" bestFit="1" customWidth="1"/>
    <col min="340" max="340" width="14.5546875" bestFit="1" customWidth="1"/>
    <col min="341" max="341" width="11.6640625" bestFit="1" customWidth="1"/>
    <col min="342" max="342" width="14.5546875" bestFit="1" customWidth="1"/>
    <col min="343" max="343" width="11.6640625" bestFit="1" customWidth="1"/>
    <col min="344" max="344" width="14.5546875" bestFit="1" customWidth="1"/>
    <col min="345" max="345" width="11.6640625" bestFit="1" customWidth="1"/>
    <col min="346" max="346" width="14.5546875" bestFit="1" customWidth="1"/>
    <col min="347" max="347" width="11.6640625" bestFit="1" customWidth="1"/>
    <col min="348" max="348" width="14.5546875" bestFit="1" customWidth="1"/>
    <col min="349" max="349" width="11.6640625" bestFit="1" customWidth="1"/>
    <col min="350" max="350" width="14.5546875" bestFit="1" customWidth="1"/>
    <col min="351" max="351" width="11.6640625" bestFit="1" customWidth="1"/>
    <col min="352" max="352" width="14.5546875" bestFit="1" customWidth="1"/>
    <col min="353" max="353" width="11.6640625" bestFit="1" customWidth="1"/>
    <col min="354" max="354" width="14.5546875" bestFit="1" customWidth="1"/>
    <col min="355" max="355" width="11.6640625" bestFit="1" customWidth="1"/>
    <col min="356" max="356" width="14.5546875" bestFit="1" customWidth="1"/>
    <col min="357" max="357" width="11.6640625" bestFit="1" customWidth="1"/>
    <col min="358" max="358" width="14.5546875" bestFit="1" customWidth="1"/>
    <col min="359" max="359" width="11.6640625" bestFit="1" customWidth="1"/>
    <col min="360" max="360" width="14.5546875" bestFit="1" customWidth="1"/>
    <col min="361" max="361" width="11.6640625" bestFit="1" customWidth="1"/>
    <col min="362" max="362" width="14.5546875" bestFit="1" customWidth="1"/>
    <col min="363" max="363" width="11.6640625" bestFit="1" customWidth="1"/>
    <col min="364" max="364" width="14.5546875" bestFit="1" customWidth="1"/>
    <col min="365" max="365" width="11.6640625" bestFit="1" customWidth="1"/>
    <col min="366" max="366" width="14.5546875" bestFit="1" customWidth="1"/>
    <col min="367" max="367" width="11.6640625" bestFit="1" customWidth="1"/>
    <col min="368" max="368" width="14.5546875" bestFit="1" customWidth="1"/>
    <col min="369" max="369" width="11.6640625" bestFit="1" customWidth="1"/>
    <col min="370" max="370" width="14.5546875" bestFit="1" customWidth="1"/>
    <col min="371" max="371" width="11.6640625" bestFit="1" customWidth="1"/>
    <col min="372" max="372" width="14.5546875" bestFit="1" customWidth="1"/>
    <col min="373" max="373" width="11.6640625" bestFit="1" customWidth="1"/>
    <col min="374" max="374" width="14.5546875" bestFit="1" customWidth="1"/>
    <col min="375" max="375" width="11.6640625" bestFit="1" customWidth="1"/>
    <col min="376" max="376" width="14.5546875" bestFit="1" customWidth="1"/>
    <col min="377" max="377" width="11.6640625" bestFit="1" customWidth="1"/>
    <col min="378" max="378" width="14.5546875" bestFit="1" customWidth="1"/>
    <col min="379" max="379" width="11.6640625" bestFit="1" customWidth="1"/>
    <col min="380" max="380" width="14.5546875" bestFit="1" customWidth="1"/>
    <col min="381" max="381" width="11.6640625" bestFit="1" customWidth="1"/>
    <col min="382" max="382" width="14.5546875" bestFit="1" customWidth="1"/>
    <col min="383" max="383" width="11.6640625" bestFit="1" customWidth="1"/>
    <col min="384" max="384" width="14.5546875" bestFit="1" customWidth="1"/>
    <col min="385" max="385" width="11.6640625" bestFit="1" customWidth="1"/>
    <col min="386" max="386" width="14.5546875" bestFit="1" customWidth="1"/>
    <col min="387" max="387" width="11.6640625" bestFit="1" customWidth="1"/>
    <col min="388" max="388" width="14.5546875" bestFit="1" customWidth="1"/>
    <col min="389" max="389" width="11.6640625" bestFit="1" customWidth="1"/>
    <col min="390" max="390" width="14.5546875" bestFit="1" customWidth="1"/>
    <col min="391" max="391" width="11.6640625" bestFit="1" customWidth="1"/>
    <col min="392" max="392" width="14.5546875" bestFit="1" customWidth="1"/>
    <col min="393" max="393" width="11.6640625" bestFit="1" customWidth="1"/>
    <col min="394" max="394" width="14.5546875" bestFit="1" customWidth="1"/>
    <col min="395" max="395" width="11.6640625" bestFit="1" customWidth="1"/>
    <col min="396" max="396" width="14.5546875" bestFit="1" customWidth="1"/>
    <col min="397" max="397" width="11.6640625" bestFit="1" customWidth="1"/>
    <col min="398" max="398" width="14.5546875" bestFit="1" customWidth="1"/>
    <col min="399" max="399" width="11.6640625" bestFit="1" customWidth="1"/>
    <col min="400" max="400" width="14.5546875" bestFit="1" customWidth="1"/>
    <col min="401" max="401" width="11.6640625" bestFit="1" customWidth="1"/>
    <col min="402" max="402" width="14.5546875" bestFit="1" customWidth="1"/>
    <col min="403" max="403" width="11.6640625" bestFit="1" customWidth="1"/>
    <col min="404" max="404" width="14.5546875" bestFit="1" customWidth="1"/>
    <col min="405" max="405" width="11.6640625" bestFit="1" customWidth="1"/>
    <col min="406" max="406" width="14.5546875" bestFit="1" customWidth="1"/>
    <col min="407" max="407" width="11.6640625" bestFit="1" customWidth="1"/>
    <col min="408" max="408" width="14.5546875" bestFit="1" customWidth="1"/>
    <col min="409" max="409" width="11.6640625" bestFit="1" customWidth="1"/>
    <col min="410" max="410" width="14.5546875" bestFit="1" customWidth="1"/>
    <col min="411" max="411" width="11.6640625" bestFit="1" customWidth="1"/>
    <col min="412" max="412" width="14.5546875" bestFit="1" customWidth="1"/>
    <col min="413" max="413" width="11.6640625" bestFit="1" customWidth="1"/>
    <col min="414" max="414" width="14.5546875" bestFit="1" customWidth="1"/>
    <col min="415" max="415" width="11.6640625" bestFit="1" customWidth="1"/>
    <col min="416" max="416" width="14.5546875" bestFit="1" customWidth="1"/>
    <col min="417" max="417" width="11.6640625" bestFit="1" customWidth="1"/>
    <col min="418" max="418" width="14.5546875" bestFit="1" customWidth="1"/>
    <col min="419" max="419" width="11.6640625" bestFit="1" customWidth="1"/>
    <col min="420" max="420" width="14.5546875" bestFit="1" customWidth="1"/>
    <col min="421" max="421" width="11.6640625" bestFit="1" customWidth="1"/>
    <col min="422" max="422" width="14.5546875" bestFit="1" customWidth="1"/>
    <col min="423" max="423" width="11.6640625" bestFit="1" customWidth="1"/>
    <col min="424" max="424" width="14.5546875" bestFit="1" customWidth="1"/>
    <col min="425" max="425" width="11.6640625" bestFit="1" customWidth="1"/>
    <col min="426" max="426" width="14.5546875" bestFit="1" customWidth="1"/>
    <col min="427" max="427" width="11.6640625" bestFit="1" customWidth="1"/>
    <col min="428" max="428" width="14.5546875" bestFit="1" customWidth="1"/>
    <col min="429" max="429" width="11.6640625" bestFit="1" customWidth="1"/>
    <col min="430" max="430" width="14.5546875" bestFit="1" customWidth="1"/>
    <col min="431" max="431" width="11.6640625" bestFit="1" customWidth="1"/>
    <col min="432" max="432" width="14.5546875" bestFit="1" customWidth="1"/>
    <col min="433" max="433" width="11.6640625" bestFit="1" customWidth="1"/>
    <col min="434" max="434" width="14.5546875" bestFit="1" customWidth="1"/>
    <col min="435" max="435" width="11.6640625" bestFit="1" customWidth="1"/>
    <col min="436" max="436" width="14.5546875" bestFit="1" customWidth="1"/>
    <col min="437" max="437" width="11.5546875" bestFit="1" customWidth="1"/>
    <col min="438" max="441" width="24.33203125" bestFit="1" customWidth="1"/>
    <col min="442" max="442" width="28.6640625" bestFit="1" customWidth="1"/>
    <col min="443" max="444" width="23.5546875" bestFit="1" customWidth="1"/>
    <col min="445" max="449" width="21.6640625" bestFit="1" customWidth="1"/>
    <col min="450" max="450" width="26.33203125" bestFit="1" customWidth="1"/>
    <col min="451" max="452" width="24.5546875" bestFit="1" customWidth="1"/>
    <col min="453" max="457" width="22.6640625" bestFit="1" customWidth="1"/>
    <col min="458" max="458" width="27.33203125" bestFit="1" customWidth="1"/>
    <col min="459" max="460" width="25.109375" bestFit="1" customWidth="1"/>
    <col min="461" max="465" width="23.33203125" bestFit="1" customWidth="1"/>
    <col min="466" max="466" width="27.88671875" bestFit="1" customWidth="1"/>
    <col min="467" max="468" width="31.33203125" bestFit="1" customWidth="1"/>
    <col min="469" max="473" width="29.6640625" bestFit="1" customWidth="1"/>
    <col min="474" max="474" width="34.33203125" bestFit="1" customWidth="1"/>
    <col min="475" max="476" width="26.33203125" bestFit="1" customWidth="1"/>
    <col min="477" max="481" width="24.5546875" bestFit="1" customWidth="1"/>
    <col min="482" max="482" width="29.109375" bestFit="1" customWidth="1"/>
    <col min="483" max="484" width="22.33203125" bestFit="1" customWidth="1"/>
    <col min="485" max="489" width="20.6640625" bestFit="1" customWidth="1"/>
    <col min="490" max="490" width="25.33203125" bestFit="1" customWidth="1"/>
    <col min="491" max="492" width="22.33203125" bestFit="1" customWidth="1"/>
    <col min="493" max="497" width="20.6640625" bestFit="1" customWidth="1"/>
    <col min="498" max="498" width="25.33203125" bestFit="1" customWidth="1"/>
    <col min="499" max="500" width="25.6640625" bestFit="1" customWidth="1"/>
    <col min="501" max="505" width="24" bestFit="1" customWidth="1"/>
    <col min="506" max="506" width="28.5546875" bestFit="1" customWidth="1"/>
    <col min="507" max="508" width="28.88671875" bestFit="1" customWidth="1"/>
    <col min="509" max="513" width="27.33203125" bestFit="1" customWidth="1"/>
    <col min="514" max="514" width="31.6640625" bestFit="1" customWidth="1"/>
    <col min="515" max="516" width="28.33203125" bestFit="1" customWidth="1"/>
    <col min="517" max="521" width="26.5546875" bestFit="1" customWidth="1"/>
    <col min="522" max="522" width="31" bestFit="1" customWidth="1"/>
    <col min="523" max="524" width="42.6640625" bestFit="1" customWidth="1"/>
    <col min="525" max="529" width="41" bestFit="1" customWidth="1"/>
    <col min="530" max="530" width="45.5546875" bestFit="1" customWidth="1"/>
    <col min="531" max="532" width="22" bestFit="1" customWidth="1"/>
    <col min="533" max="537" width="20.33203125" bestFit="1" customWidth="1"/>
    <col min="538" max="538" width="24.6640625" bestFit="1" customWidth="1"/>
    <col min="539" max="540" width="22.33203125" bestFit="1" customWidth="1"/>
    <col min="541" max="545" width="20.6640625" bestFit="1" customWidth="1"/>
    <col min="546" max="546" width="25.33203125" bestFit="1" customWidth="1"/>
    <col min="547" max="548" width="30.109375" bestFit="1" customWidth="1"/>
    <col min="549" max="553" width="28.33203125" bestFit="1" customWidth="1"/>
    <col min="554" max="554" width="32.88671875" bestFit="1" customWidth="1"/>
    <col min="555" max="556" width="27.33203125" bestFit="1" customWidth="1"/>
    <col min="557" max="561" width="25.5546875" bestFit="1" customWidth="1"/>
    <col min="562" max="562" width="30.109375" bestFit="1" customWidth="1"/>
    <col min="563" max="564" width="23.44140625" bestFit="1" customWidth="1"/>
    <col min="565" max="569" width="21.6640625" bestFit="1" customWidth="1"/>
    <col min="570" max="570" width="26.33203125" bestFit="1" customWidth="1"/>
    <col min="571" max="572" width="22.6640625" bestFit="1" customWidth="1"/>
    <col min="573" max="577" width="21" bestFit="1" customWidth="1"/>
    <col min="578" max="578" width="25.44140625" bestFit="1" customWidth="1"/>
    <col min="579" max="580" width="27.44140625" bestFit="1" customWidth="1"/>
    <col min="581" max="585" width="25.6640625" bestFit="1" customWidth="1"/>
    <col min="586" max="586" width="30.33203125" bestFit="1" customWidth="1"/>
    <col min="587" max="588" width="21.33203125" bestFit="1" customWidth="1"/>
    <col min="589" max="593" width="19.6640625" bestFit="1" customWidth="1"/>
    <col min="594" max="594" width="24.33203125" bestFit="1" customWidth="1"/>
    <col min="595" max="596" width="23.33203125" bestFit="1" customWidth="1"/>
    <col min="597" max="601" width="21.44140625" bestFit="1" customWidth="1"/>
    <col min="602" max="602" width="25.88671875" bestFit="1" customWidth="1"/>
    <col min="603" max="604" width="27.6640625" bestFit="1" customWidth="1"/>
    <col min="605" max="609" width="26.109375" bestFit="1" customWidth="1"/>
    <col min="610" max="610" width="30.5546875" bestFit="1" customWidth="1"/>
    <col min="611" max="612" width="30.6640625" bestFit="1" customWidth="1"/>
    <col min="613" max="617" width="28.88671875" bestFit="1" customWidth="1"/>
    <col min="618" max="618" width="33.44140625" bestFit="1" customWidth="1"/>
    <col min="619" max="620" width="29.88671875" bestFit="1" customWidth="1"/>
    <col min="621" max="625" width="28.33203125" bestFit="1" customWidth="1"/>
    <col min="626" max="626" width="32.6640625" bestFit="1" customWidth="1"/>
    <col min="627" max="628" width="40" bestFit="1" customWidth="1"/>
    <col min="629" max="633" width="38.33203125" bestFit="1" customWidth="1"/>
    <col min="634" max="634" width="42.6640625" bestFit="1" customWidth="1"/>
    <col min="635" max="636" width="35.6640625" bestFit="1" customWidth="1"/>
    <col min="637" max="641" width="34.109375" bestFit="1" customWidth="1"/>
    <col min="642" max="642" width="38.6640625" bestFit="1" customWidth="1"/>
    <col min="643" max="644" width="32.6640625" bestFit="1" customWidth="1"/>
    <col min="645" max="649" width="31" bestFit="1" customWidth="1"/>
    <col min="650" max="650" width="35.5546875" bestFit="1" customWidth="1"/>
    <col min="651" max="652" width="36.109375" bestFit="1" customWidth="1"/>
    <col min="653" max="657" width="34.33203125" bestFit="1" customWidth="1"/>
    <col min="658" max="658" width="38.88671875" bestFit="1" customWidth="1"/>
    <col min="659" max="660" width="43.88671875" bestFit="1" customWidth="1"/>
    <col min="661" max="665" width="42.33203125" bestFit="1" customWidth="1"/>
    <col min="666" max="666" width="46.6640625" bestFit="1" customWidth="1"/>
    <col min="667" max="668" width="28.44140625" bestFit="1" customWidth="1"/>
    <col min="669" max="673" width="26.6640625" bestFit="1" customWidth="1"/>
    <col min="674" max="674" width="31.33203125" bestFit="1" customWidth="1"/>
    <col min="675" max="676" width="34.5546875" bestFit="1" customWidth="1"/>
    <col min="677" max="681" width="32.6640625" bestFit="1" customWidth="1"/>
    <col min="682" max="682" width="37.33203125" bestFit="1" customWidth="1"/>
    <col min="683" max="684" width="25.6640625" bestFit="1" customWidth="1"/>
    <col min="685" max="689" width="24" bestFit="1" customWidth="1"/>
    <col min="690" max="690" width="28.5546875" bestFit="1" customWidth="1"/>
    <col min="691" max="692" width="22.5546875" bestFit="1" customWidth="1"/>
    <col min="693" max="697" width="20.6640625" bestFit="1" customWidth="1"/>
    <col min="698" max="698" width="25.33203125" bestFit="1" customWidth="1"/>
    <col min="699" max="700" width="27.5546875" bestFit="1" customWidth="1"/>
    <col min="701" max="705" width="25.6640625" bestFit="1" customWidth="1"/>
    <col min="706" max="706" width="30.33203125" bestFit="1" customWidth="1"/>
    <col min="707" max="708" width="25.6640625" bestFit="1" customWidth="1"/>
    <col min="709" max="713" width="24" bestFit="1" customWidth="1"/>
    <col min="714" max="714" width="28.5546875" bestFit="1" customWidth="1"/>
    <col min="715" max="716" width="24.33203125" bestFit="1" customWidth="1"/>
    <col min="717" max="721" width="22.44140625" bestFit="1" customWidth="1"/>
    <col min="722" max="722" width="27" bestFit="1" customWidth="1"/>
    <col min="723" max="724" width="26" bestFit="1" customWidth="1"/>
    <col min="725" max="729" width="24.33203125" bestFit="1" customWidth="1"/>
    <col min="730" max="730" width="28.6640625" bestFit="1" customWidth="1"/>
    <col min="731" max="732" width="26.6640625" bestFit="1" customWidth="1"/>
    <col min="733" max="737" width="24.88671875" bestFit="1" customWidth="1"/>
    <col min="738" max="738" width="29.44140625" bestFit="1" customWidth="1"/>
    <col min="739" max="740" width="24.33203125" bestFit="1" customWidth="1"/>
    <col min="741" max="745" width="22.5546875" bestFit="1" customWidth="1"/>
    <col min="746" max="746" width="27.109375" bestFit="1" customWidth="1"/>
    <col min="747" max="748" width="28.33203125" bestFit="1" customWidth="1"/>
    <col min="749" max="753" width="26.5546875" bestFit="1" customWidth="1"/>
    <col min="754" max="754" width="31" bestFit="1" customWidth="1"/>
    <col min="755" max="756" width="27" bestFit="1" customWidth="1"/>
    <col min="757" max="761" width="25.33203125" bestFit="1" customWidth="1"/>
    <col min="762" max="762" width="29.6640625" bestFit="1" customWidth="1"/>
    <col min="763" max="764" width="31.33203125" bestFit="1" customWidth="1"/>
    <col min="765" max="769" width="29.5546875" bestFit="1" customWidth="1"/>
    <col min="770" max="770" width="34.109375" bestFit="1" customWidth="1"/>
    <col min="771" max="772" width="27.44140625" bestFit="1" customWidth="1"/>
    <col min="773" max="777" width="25.6640625" bestFit="1" customWidth="1"/>
    <col min="778" max="778" width="30.33203125" bestFit="1" customWidth="1"/>
    <col min="779" max="780" width="25.5546875" bestFit="1" customWidth="1"/>
    <col min="781" max="785" width="23.6640625" bestFit="1" customWidth="1"/>
    <col min="786" max="786" width="28.33203125" bestFit="1" customWidth="1"/>
    <col min="787" max="788" width="24.5546875" bestFit="1" customWidth="1"/>
    <col min="789" max="793" width="22.6640625" bestFit="1" customWidth="1"/>
    <col min="794" max="794" width="27.33203125" bestFit="1" customWidth="1"/>
    <col min="795" max="796" width="28.6640625" bestFit="1" customWidth="1"/>
    <col min="797" max="801" width="27" bestFit="1" customWidth="1"/>
    <col min="802" max="802" width="31.5546875" bestFit="1" customWidth="1"/>
    <col min="803" max="804" width="27.5546875" bestFit="1" customWidth="1"/>
    <col min="805" max="809" width="25.6640625" bestFit="1" customWidth="1"/>
    <col min="810" max="810" width="30.33203125" bestFit="1" customWidth="1"/>
    <col min="811" max="812" width="28.33203125" bestFit="1" customWidth="1"/>
    <col min="813" max="817" width="26.44140625" bestFit="1" customWidth="1"/>
    <col min="818" max="818" width="30.88671875" bestFit="1" customWidth="1"/>
    <col min="819" max="820" width="25.88671875" bestFit="1" customWidth="1"/>
    <col min="821" max="825" width="24.33203125" bestFit="1" customWidth="1"/>
    <col min="826" max="826" width="28.6640625" bestFit="1" customWidth="1"/>
    <col min="827" max="828" width="32.88671875" bestFit="1" customWidth="1"/>
    <col min="829" max="833" width="31.33203125" bestFit="1" customWidth="1"/>
    <col min="834" max="834" width="35.6640625" bestFit="1" customWidth="1"/>
    <col min="835" max="836" width="42.88671875" bestFit="1" customWidth="1"/>
    <col min="837" max="841" width="41.33203125" bestFit="1" customWidth="1"/>
    <col min="842" max="842" width="45.6640625" bestFit="1" customWidth="1"/>
    <col min="843" max="844" width="32.44140625" bestFit="1" customWidth="1"/>
    <col min="845" max="849" width="30.6640625" bestFit="1" customWidth="1"/>
    <col min="850" max="850" width="35.33203125" bestFit="1" customWidth="1"/>
    <col min="851" max="852" width="35.109375" bestFit="1" customWidth="1"/>
    <col min="853" max="857" width="33.33203125" bestFit="1" customWidth="1"/>
    <col min="858" max="858" width="37.88671875" bestFit="1" customWidth="1"/>
    <col min="859" max="860" width="28.6640625" bestFit="1" customWidth="1"/>
    <col min="861" max="865" width="27.109375" bestFit="1" customWidth="1"/>
    <col min="866" max="866" width="31.6640625" bestFit="1" customWidth="1"/>
    <col min="867" max="868" width="22.88671875" bestFit="1" customWidth="1"/>
    <col min="869" max="873" width="21.33203125" bestFit="1" customWidth="1"/>
    <col min="874" max="874" width="25.6640625" bestFit="1" customWidth="1"/>
    <col min="875" max="876" width="37.44140625" bestFit="1" customWidth="1"/>
    <col min="877" max="881" width="35.6640625" bestFit="1" customWidth="1"/>
    <col min="882" max="882" width="40.33203125" bestFit="1" customWidth="1"/>
    <col min="883" max="884" width="32.33203125" bestFit="1" customWidth="1"/>
    <col min="885" max="889" width="30.5546875" bestFit="1" customWidth="1"/>
    <col min="890" max="890" width="35.109375" bestFit="1" customWidth="1"/>
    <col min="891" max="892" width="31.6640625" bestFit="1" customWidth="1"/>
    <col min="893" max="897" width="30" bestFit="1" customWidth="1"/>
    <col min="898" max="898" width="34.5546875" bestFit="1" customWidth="1"/>
    <col min="899" max="900" width="32.33203125" bestFit="1" customWidth="1"/>
    <col min="901" max="905" width="30.44140625" bestFit="1" customWidth="1"/>
    <col min="906" max="906" width="35" bestFit="1" customWidth="1"/>
    <col min="907" max="908" width="39.33203125" bestFit="1" customWidth="1"/>
    <col min="909" max="913" width="37.6640625" bestFit="1" customWidth="1"/>
    <col min="914" max="914" width="42.33203125" bestFit="1" customWidth="1"/>
    <col min="915" max="916" width="24.33203125" bestFit="1" customWidth="1"/>
    <col min="917" max="921" width="22.44140625" bestFit="1" customWidth="1"/>
    <col min="922" max="922" width="27" bestFit="1" customWidth="1"/>
    <col min="923" max="924" width="26.44140625" bestFit="1" customWidth="1"/>
    <col min="925" max="929" width="24.6640625" bestFit="1" customWidth="1"/>
    <col min="930" max="930" width="29.33203125" bestFit="1" customWidth="1"/>
    <col min="931" max="932" width="28.109375" bestFit="1" customWidth="1"/>
    <col min="933" max="937" width="26.33203125" bestFit="1" customWidth="1"/>
    <col min="938" max="940" width="30.6640625" bestFit="1" customWidth="1"/>
    <col min="941" max="945" width="29" bestFit="1" customWidth="1"/>
    <col min="946" max="946" width="33.5546875" bestFit="1" customWidth="1"/>
    <col min="947" max="948" width="40.44140625" bestFit="1" customWidth="1"/>
    <col min="949" max="953" width="38.6640625" bestFit="1" customWidth="1"/>
    <col min="954" max="954" width="43.33203125" bestFit="1" customWidth="1"/>
    <col min="955" max="956" width="48" bestFit="1" customWidth="1"/>
    <col min="957" max="961" width="46.33203125" bestFit="1" customWidth="1"/>
    <col min="962" max="962" width="50.6640625" bestFit="1" customWidth="1"/>
    <col min="963" max="964" width="40.5546875" bestFit="1" customWidth="1"/>
    <col min="965" max="969" width="38.6640625" bestFit="1" customWidth="1"/>
    <col min="970" max="970" width="43.33203125" bestFit="1" customWidth="1"/>
    <col min="971" max="972" width="40.33203125" bestFit="1" customWidth="1"/>
    <col min="973" max="977" width="38.6640625" bestFit="1" customWidth="1"/>
    <col min="978" max="978" width="43.33203125" bestFit="1" customWidth="1"/>
    <col min="979" max="980" width="37.33203125" bestFit="1" customWidth="1"/>
    <col min="981" max="985" width="35.44140625" bestFit="1" customWidth="1"/>
    <col min="986" max="986" width="40" bestFit="1" customWidth="1"/>
    <col min="987" max="988" width="54.88671875" bestFit="1" customWidth="1"/>
    <col min="989" max="993" width="53.33203125" bestFit="1" customWidth="1"/>
    <col min="994" max="994" width="57.6640625" bestFit="1" customWidth="1"/>
    <col min="995" max="996" width="44.44140625" bestFit="1" customWidth="1"/>
    <col min="997" max="1001" width="42.6640625" bestFit="1" customWidth="1"/>
    <col min="1002" max="1002" width="47.33203125" bestFit="1" customWidth="1"/>
    <col min="1003" max="1004" width="41.5546875" bestFit="1" customWidth="1"/>
    <col min="1005" max="1009" width="39.6640625" bestFit="1" customWidth="1"/>
    <col min="1010" max="1010" width="44.33203125" bestFit="1" customWidth="1"/>
    <col min="1011" max="1012" width="24.109375" bestFit="1" customWidth="1"/>
    <col min="1013" max="1017" width="22.33203125" bestFit="1" customWidth="1"/>
    <col min="1018" max="1018" width="26.88671875" bestFit="1" customWidth="1"/>
    <col min="1019" max="1020" width="25.6640625" bestFit="1" customWidth="1"/>
    <col min="1021" max="1025" width="24.109375" bestFit="1" customWidth="1"/>
    <col min="1026" max="1026" width="28.6640625" bestFit="1" customWidth="1"/>
    <col min="1027" max="1028" width="33.33203125" bestFit="1" customWidth="1"/>
    <col min="1029" max="1033" width="31.44140625" bestFit="1" customWidth="1"/>
    <col min="1034" max="1034" width="35.88671875" bestFit="1" customWidth="1"/>
    <col min="1035" max="1036" width="29.88671875" bestFit="1" customWidth="1"/>
    <col min="1037" max="1041" width="28.33203125" bestFit="1" customWidth="1"/>
    <col min="1042" max="1042" width="32.6640625" bestFit="1" customWidth="1"/>
    <col min="1043" max="1044" width="24" bestFit="1" customWidth="1"/>
    <col min="1045" max="1049" width="22.33203125" bestFit="1" customWidth="1"/>
    <col min="1050" max="1050" width="26.6640625" bestFit="1" customWidth="1"/>
    <col min="1051" max="1052" width="25.6640625" bestFit="1" customWidth="1"/>
    <col min="1053" max="1057" width="23.88671875" bestFit="1" customWidth="1"/>
    <col min="1058" max="1058" width="28.44140625" bestFit="1" customWidth="1"/>
    <col min="1059" max="1060" width="25" bestFit="1" customWidth="1"/>
    <col min="1061" max="1065" width="23.33203125" bestFit="1" customWidth="1"/>
    <col min="1066" max="1066" width="27.6640625" bestFit="1" customWidth="1"/>
    <col min="1067" max="1068" width="30.88671875" bestFit="1" customWidth="1"/>
    <col min="1069" max="1073" width="29.33203125" bestFit="1" customWidth="1"/>
    <col min="1074" max="1074" width="33.6640625" bestFit="1" customWidth="1"/>
    <col min="1075" max="1076" width="36.6640625" bestFit="1" customWidth="1"/>
    <col min="1077" max="1081" width="35" bestFit="1" customWidth="1"/>
    <col min="1082" max="1082" width="39.5546875" bestFit="1" customWidth="1"/>
    <col min="1083" max="1084" width="38.44140625" bestFit="1" customWidth="1"/>
    <col min="1085" max="1089" width="36.6640625" bestFit="1" customWidth="1"/>
    <col min="1090" max="1090" width="41.33203125" bestFit="1" customWidth="1"/>
    <col min="1091" max="1092" width="38.6640625" bestFit="1" customWidth="1"/>
    <col min="1093" max="1097" width="37" bestFit="1" customWidth="1"/>
    <col min="1098" max="1098" width="41.5546875" bestFit="1" customWidth="1"/>
    <col min="1099" max="1100" width="35.33203125" bestFit="1" customWidth="1"/>
    <col min="1101" max="1105" width="33.44140625" bestFit="1" customWidth="1"/>
    <col min="1106" max="1106" width="38" bestFit="1" customWidth="1"/>
    <col min="1107" max="1108" width="36.5546875" bestFit="1" customWidth="1"/>
    <col min="1109" max="1113" width="34.6640625" bestFit="1" customWidth="1"/>
    <col min="1114" max="1114" width="39.33203125" bestFit="1" customWidth="1"/>
    <col min="1115" max="1116" width="40.88671875" bestFit="1" customWidth="1"/>
    <col min="1117" max="1121" width="39.33203125" bestFit="1" customWidth="1"/>
    <col min="1122" max="1122" width="43.6640625" bestFit="1" customWidth="1"/>
    <col min="1123" max="1124" width="41.44140625" bestFit="1" customWidth="1"/>
    <col min="1125" max="1129" width="39.6640625" bestFit="1" customWidth="1"/>
    <col min="1130" max="1130" width="44.33203125" bestFit="1" customWidth="1"/>
    <col min="1131" max="1132" width="36.33203125" bestFit="1" customWidth="1"/>
    <col min="1133" max="1137" width="34.44140625" bestFit="1" customWidth="1"/>
    <col min="1138" max="1138" width="39" bestFit="1" customWidth="1"/>
    <col min="1139" max="1140" width="36.33203125" bestFit="1" customWidth="1"/>
    <col min="1141" max="1145" width="34.6640625" bestFit="1" customWidth="1"/>
    <col min="1146" max="1146" width="39.33203125" bestFit="1" customWidth="1"/>
    <col min="1147" max="1148" width="32.6640625" bestFit="1" customWidth="1"/>
    <col min="1149" max="1153" width="31" bestFit="1" customWidth="1"/>
    <col min="1154" max="1154" width="35.5546875" bestFit="1" customWidth="1"/>
    <col min="1155" max="1156" width="26.6640625" bestFit="1" customWidth="1"/>
    <col min="1157" max="1161" width="25.109375" bestFit="1" customWidth="1"/>
    <col min="1162" max="1162" width="29.6640625" bestFit="1" customWidth="1"/>
    <col min="1163" max="1164" width="27.88671875" bestFit="1" customWidth="1"/>
    <col min="1165" max="1169" width="26.33203125" bestFit="1" customWidth="1"/>
    <col min="1170" max="1170" width="30.6640625" bestFit="1" customWidth="1"/>
    <col min="1171" max="1172" width="36.33203125" bestFit="1" customWidth="1"/>
    <col min="1173" max="1177" width="34.6640625" bestFit="1" customWidth="1"/>
    <col min="1178" max="1178" width="39.33203125" bestFit="1" customWidth="1"/>
    <col min="1179" max="1180" width="37.6640625" bestFit="1" customWidth="1"/>
    <col min="1181" max="1185" width="36" bestFit="1" customWidth="1"/>
    <col min="1186" max="1186" width="40.5546875" bestFit="1" customWidth="1"/>
    <col min="1187" max="1188" width="26.33203125" bestFit="1" customWidth="1"/>
    <col min="1189" max="1193" width="24.6640625" bestFit="1" customWidth="1"/>
    <col min="1194" max="1194" width="29.33203125" bestFit="1" customWidth="1"/>
    <col min="1195" max="1196" width="27.33203125" bestFit="1" customWidth="1"/>
    <col min="1197" max="1201" width="25.5546875" bestFit="1" customWidth="1"/>
    <col min="1202" max="1202" width="30.109375" bestFit="1" customWidth="1"/>
    <col min="1203" max="1204" width="29.6640625" bestFit="1" customWidth="1"/>
    <col min="1205" max="1209" width="28" bestFit="1" customWidth="1"/>
    <col min="1210" max="1210" width="32.5546875" bestFit="1" customWidth="1"/>
    <col min="1211" max="1212" width="25.88671875" bestFit="1" customWidth="1"/>
    <col min="1213" max="1217" width="24.33203125" bestFit="1" customWidth="1"/>
    <col min="1218" max="1218" width="28.6640625" bestFit="1" customWidth="1"/>
    <col min="1219" max="1220" width="33.6640625" bestFit="1" customWidth="1"/>
    <col min="1221" max="1225" width="32.109375" bestFit="1" customWidth="1"/>
    <col min="1226" max="1226" width="36.6640625" bestFit="1" customWidth="1"/>
    <col min="1227" max="1228" width="31.6640625" bestFit="1" customWidth="1"/>
    <col min="1229" max="1233" width="30.109375" bestFit="1" customWidth="1"/>
    <col min="1234" max="1234" width="34.6640625" bestFit="1" customWidth="1"/>
    <col min="1235" max="1236" width="24.33203125" bestFit="1" customWidth="1"/>
    <col min="1237" max="1241" width="22.6640625" bestFit="1" customWidth="1"/>
    <col min="1242" max="1242" width="27.33203125" bestFit="1" customWidth="1"/>
    <col min="1243" max="1244" width="24.6640625" bestFit="1" customWidth="1"/>
    <col min="1245" max="1249" width="23" bestFit="1" customWidth="1"/>
    <col min="1250" max="1250" width="27.5546875" bestFit="1" customWidth="1"/>
    <col min="1251" max="1252" width="24" bestFit="1" customWidth="1"/>
    <col min="1253" max="1257" width="22.33203125" bestFit="1" customWidth="1"/>
    <col min="1258" max="1258" width="26.6640625" bestFit="1" customWidth="1"/>
    <col min="1259" max="1260" width="31" bestFit="1" customWidth="1"/>
    <col min="1261" max="1265" width="29.33203125" bestFit="1" customWidth="1"/>
    <col min="1266" max="1266" width="33.6640625" bestFit="1" customWidth="1"/>
    <col min="1267" max="1268" width="26.5546875" bestFit="1" customWidth="1"/>
    <col min="1269" max="1273" width="24.6640625" bestFit="1" customWidth="1"/>
    <col min="1274" max="1274" width="29.33203125" bestFit="1" customWidth="1"/>
    <col min="1275" max="1276" width="39.6640625" bestFit="1" customWidth="1"/>
    <col min="1277" max="1281" width="38.109375" bestFit="1" customWidth="1"/>
    <col min="1282" max="1282" width="42.6640625" bestFit="1" customWidth="1"/>
    <col min="1283" max="1284" width="36.44140625" bestFit="1" customWidth="1"/>
    <col min="1285" max="1289" width="34.6640625" bestFit="1" customWidth="1"/>
    <col min="1290" max="1290" width="39.33203125" bestFit="1" customWidth="1"/>
    <col min="1291" max="1292" width="33" bestFit="1" customWidth="1"/>
    <col min="1293" max="1297" width="31.33203125" bestFit="1" customWidth="1"/>
    <col min="1298" max="1298" width="35.6640625" bestFit="1" customWidth="1"/>
    <col min="1299" max="1300" width="39.109375" bestFit="1" customWidth="1"/>
    <col min="1301" max="1305" width="37.33203125" bestFit="1" customWidth="1"/>
    <col min="1306" max="1306" width="41.88671875" bestFit="1" customWidth="1"/>
    <col min="1307" max="1308" width="38.6640625" bestFit="1" customWidth="1"/>
    <col min="1309" max="1313" width="36.88671875" bestFit="1" customWidth="1"/>
    <col min="1314" max="1314" width="41.44140625" bestFit="1" customWidth="1"/>
    <col min="1315" max="1316" width="37.109375" bestFit="1" customWidth="1"/>
    <col min="1317" max="1321" width="35.33203125" bestFit="1" customWidth="1"/>
    <col min="1322" max="1322" width="39.88671875" bestFit="1" customWidth="1"/>
    <col min="1323" max="1324" width="33.5546875" bestFit="1" customWidth="1"/>
    <col min="1325" max="1329" width="31.6640625" bestFit="1" customWidth="1"/>
    <col min="1330" max="1330" width="36.33203125" bestFit="1" customWidth="1"/>
    <col min="1331" max="1332" width="30.6640625" bestFit="1" customWidth="1"/>
    <col min="1333" max="1337" width="29.109375" bestFit="1" customWidth="1"/>
    <col min="1338" max="1338" width="33.6640625" bestFit="1" customWidth="1"/>
    <col min="1339" max="1340" width="28.33203125" bestFit="1" customWidth="1"/>
    <col min="1341" max="1345" width="26.5546875" bestFit="1" customWidth="1"/>
    <col min="1346" max="1346" width="31" bestFit="1" customWidth="1"/>
    <col min="1347" max="1348" width="29.33203125" bestFit="1" customWidth="1"/>
    <col min="1349" max="1353" width="27.44140625" bestFit="1" customWidth="1"/>
    <col min="1354" max="1354" width="32" bestFit="1" customWidth="1"/>
    <col min="1355" max="1356" width="37.33203125" bestFit="1" customWidth="1"/>
    <col min="1357" max="1361" width="35.44140625" bestFit="1" customWidth="1"/>
    <col min="1362" max="1362" width="40" bestFit="1" customWidth="1"/>
    <col min="1363" max="1364" width="31.109375" bestFit="1" customWidth="1"/>
    <col min="1365" max="1369" width="29.33203125" bestFit="1" customWidth="1"/>
    <col min="1370" max="1370" width="33.88671875" bestFit="1" customWidth="1"/>
    <col min="1371" max="1372" width="24.5546875" bestFit="1" customWidth="1"/>
    <col min="1373" max="1377" width="22.6640625" bestFit="1" customWidth="1"/>
    <col min="1378" max="1378" width="27.33203125" bestFit="1" customWidth="1"/>
    <col min="1379" max="1380" width="37.6640625" bestFit="1" customWidth="1"/>
    <col min="1381" max="1385" width="36.109375" bestFit="1" customWidth="1"/>
    <col min="1386" max="1386" width="40.6640625" bestFit="1" customWidth="1"/>
    <col min="1387" max="1388" width="25.33203125" bestFit="1" customWidth="1"/>
    <col min="1389" max="1393" width="23.6640625" bestFit="1" customWidth="1"/>
    <col min="1394" max="1394" width="28.33203125" bestFit="1" customWidth="1"/>
    <col min="1395" max="1396" width="38.5546875" bestFit="1" customWidth="1"/>
    <col min="1397" max="1401" width="36.6640625" bestFit="1" customWidth="1"/>
    <col min="1402" max="1402" width="41.33203125" bestFit="1" customWidth="1"/>
    <col min="1403" max="1404" width="39.44140625" bestFit="1" customWidth="1"/>
    <col min="1405" max="1409" width="37.6640625" bestFit="1" customWidth="1"/>
    <col min="1410" max="1410" width="42.33203125" bestFit="1" customWidth="1"/>
    <col min="1411" max="1412" width="32.88671875" bestFit="1" customWidth="1"/>
    <col min="1413" max="1417" width="31.33203125" bestFit="1" customWidth="1"/>
    <col min="1418" max="1418" width="35.6640625" bestFit="1" customWidth="1"/>
    <col min="1419" max="1420" width="31.6640625" bestFit="1" customWidth="1"/>
    <col min="1421" max="1425" width="30" bestFit="1" customWidth="1"/>
    <col min="1426" max="1426" width="34.5546875" bestFit="1" customWidth="1"/>
    <col min="1427" max="1428" width="24.109375" bestFit="1" customWidth="1"/>
    <col min="1429" max="1433" width="22.33203125" bestFit="1" customWidth="1"/>
    <col min="1434" max="1434" width="26.88671875" bestFit="1" customWidth="1"/>
    <col min="1435" max="1436" width="25.6640625" bestFit="1" customWidth="1"/>
    <col min="1437" max="1441" width="24" bestFit="1" customWidth="1"/>
    <col min="1442" max="1442" width="28.5546875" bestFit="1" customWidth="1"/>
    <col min="1443" max="1444" width="36.6640625" bestFit="1" customWidth="1"/>
    <col min="1445" max="1449" width="34.88671875" bestFit="1" customWidth="1"/>
    <col min="1450" max="1450" width="39.44140625" bestFit="1" customWidth="1"/>
    <col min="1451" max="1452" width="27.6640625" bestFit="1" customWidth="1"/>
    <col min="1453" max="1457" width="25.88671875" bestFit="1" customWidth="1"/>
    <col min="1458" max="1458" width="30.44140625" bestFit="1" customWidth="1"/>
    <col min="1459" max="1460" width="34.109375" bestFit="1" customWidth="1"/>
    <col min="1461" max="1465" width="32.33203125" bestFit="1" customWidth="1"/>
    <col min="1466" max="1466" width="36.88671875" bestFit="1" customWidth="1"/>
    <col min="1467" max="1468" width="36.33203125" bestFit="1" customWidth="1"/>
    <col min="1469" max="1473" width="34.44140625" bestFit="1" customWidth="1"/>
    <col min="1474" max="1474" width="39" bestFit="1" customWidth="1"/>
    <col min="1475" max="1476" width="27.33203125" bestFit="1" customWidth="1"/>
    <col min="1477" max="1481" width="25.5546875" bestFit="1" customWidth="1"/>
    <col min="1482" max="1482" width="30.109375" bestFit="1" customWidth="1"/>
    <col min="1483" max="1484" width="25.33203125" bestFit="1" customWidth="1"/>
    <col min="1485" max="1489" width="23.5546875" bestFit="1" customWidth="1"/>
    <col min="1490" max="1490" width="28.109375" bestFit="1" customWidth="1"/>
    <col min="1491" max="1492" width="26.33203125" bestFit="1" customWidth="1"/>
    <col min="1493" max="1497" width="24.44140625" bestFit="1" customWidth="1"/>
    <col min="1498" max="1498" width="29" bestFit="1" customWidth="1"/>
    <col min="1499" max="1500" width="24.33203125" bestFit="1" customWidth="1"/>
    <col min="1501" max="1505" width="22.6640625" bestFit="1" customWidth="1"/>
    <col min="1506" max="1506" width="27.33203125" bestFit="1" customWidth="1"/>
    <col min="1507" max="1508" width="25.44140625" bestFit="1" customWidth="1"/>
    <col min="1509" max="1513" width="23.6640625" bestFit="1" customWidth="1"/>
    <col min="1514" max="1514" width="28.33203125" bestFit="1" customWidth="1"/>
    <col min="1515" max="1516" width="25.6640625" bestFit="1" customWidth="1"/>
    <col min="1517" max="1521" width="23.88671875" bestFit="1" customWidth="1"/>
    <col min="1522" max="1522" width="28.44140625" bestFit="1" customWidth="1"/>
    <col min="1523" max="1524" width="31.33203125" bestFit="1" customWidth="1"/>
    <col min="1525" max="1529" width="29.5546875" bestFit="1" customWidth="1"/>
    <col min="1530" max="1530" width="34.109375" bestFit="1" customWidth="1"/>
    <col min="1531" max="1532" width="32.33203125" bestFit="1" customWidth="1"/>
    <col min="1533" max="1537" width="30.6640625" bestFit="1" customWidth="1"/>
    <col min="1538" max="1538" width="35.33203125" bestFit="1" customWidth="1"/>
    <col min="1539" max="1540" width="26.33203125" bestFit="1" customWidth="1"/>
    <col min="1541" max="1545" width="24.44140625" bestFit="1" customWidth="1"/>
    <col min="1546" max="1546" width="29" bestFit="1" customWidth="1"/>
    <col min="1547" max="1548" width="27.33203125" bestFit="1" customWidth="1"/>
    <col min="1549" max="1553" width="25.44140625" bestFit="1" customWidth="1"/>
    <col min="1554" max="1554" width="30" bestFit="1" customWidth="1"/>
    <col min="1555" max="1556" width="24.44140625" bestFit="1" customWidth="1"/>
    <col min="1557" max="1561" width="22.6640625" bestFit="1" customWidth="1"/>
    <col min="1562" max="1562" width="27.33203125" bestFit="1" customWidth="1"/>
    <col min="1563" max="1564" width="23.88671875" bestFit="1" customWidth="1"/>
    <col min="1565" max="1569" width="22.33203125" bestFit="1" customWidth="1"/>
    <col min="1570" max="1570" width="26.6640625" bestFit="1" customWidth="1"/>
    <col min="1571" max="1572" width="34.6640625" bestFit="1" customWidth="1"/>
    <col min="1573" max="1577" width="32.88671875" bestFit="1" customWidth="1"/>
    <col min="1578" max="1578" width="37.44140625" bestFit="1" customWidth="1"/>
    <col min="1579" max="1580" width="25.6640625" bestFit="1" customWidth="1"/>
    <col min="1581" max="1585" width="24" bestFit="1" customWidth="1"/>
    <col min="1586" max="1586" width="28.5546875" bestFit="1" customWidth="1"/>
    <col min="1587" max="1588" width="26.88671875" bestFit="1" customWidth="1"/>
    <col min="1589" max="1593" width="25.33203125" bestFit="1" customWidth="1"/>
    <col min="1594" max="1594" width="29.6640625" bestFit="1" customWidth="1"/>
    <col min="1595" max="1596" width="41.109375" bestFit="1" customWidth="1"/>
    <col min="1597" max="1601" width="39.33203125" bestFit="1" customWidth="1"/>
    <col min="1602" max="1602" width="43.88671875" bestFit="1" customWidth="1"/>
    <col min="1603" max="1604" width="27.33203125" bestFit="1" customWidth="1"/>
    <col min="1605" max="1609" width="25.5546875" bestFit="1" customWidth="1"/>
    <col min="1610" max="1610" width="30.109375" bestFit="1" customWidth="1"/>
    <col min="1611" max="1612" width="31.6640625" bestFit="1" customWidth="1"/>
    <col min="1613" max="1617" width="30" bestFit="1" customWidth="1"/>
    <col min="1618" max="1618" width="34.5546875" bestFit="1" customWidth="1"/>
    <col min="1619" max="1620" width="22.6640625" bestFit="1" customWidth="1"/>
    <col min="1621" max="1625" width="21.109375" bestFit="1" customWidth="1"/>
    <col min="1626" max="1626" width="25.5546875" bestFit="1" customWidth="1"/>
    <col min="1627" max="1628" width="28.6640625" bestFit="1" customWidth="1"/>
    <col min="1629" max="1633" width="27" bestFit="1" customWidth="1"/>
    <col min="1634" max="1634" width="31.5546875" bestFit="1" customWidth="1"/>
    <col min="1635" max="1636" width="22.6640625" bestFit="1" customWidth="1"/>
    <col min="1637" max="1641" width="21" bestFit="1" customWidth="1"/>
    <col min="1642" max="1642" width="25.44140625" bestFit="1" customWidth="1"/>
    <col min="1643" max="1644" width="23.33203125" bestFit="1" customWidth="1"/>
    <col min="1645" max="1649" width="21.6640625" bestFit="1" customWidth="1"/>
    <col min="1650" max="1650" width="26.33203125" bestFit="1" customWidth="1"/>
    <col min="1651" max="1652" width="22.44140625" bestFit="1" customWidth="1"/>
    <col min="1653" max="1657" width="20.6640625" bestFit="1" customWidth="1"/>
    <col min="1658" max="1658" width="25.33203125" bestFit="1" customWidth="1"/>
    <col min="1659" max="1660" width="31.6640625" bestFit="1" customWidth="1"/>
    <col min="1661" max="1665" width="30.109375" bestFit="1" customWidth="1"/>
    <col min="1666" max="1666" width="34.6640625" bestFit="1" customWidth="1"/>
    <col min="1667" max="1668" width="29.44140625" bestFit="1" customWidth="1"/>
    <col min="1669" max="1673" width="27.6640625" bestFit="1" customWidth="1"/>
    <col min="1674" max="1674" width="32.33203125" bestFit="1" customWidth="1"/>
    <col min="1675" max="1676" width="26" bestFit="1" customWidth="1"/>
    <col min="1677" max="1681" width="24.33203125" bestFit="1" customWidth="1"/>
    <col min="1682" max="1682" width="28.6640625" bestFit="1" customWidth="1"/>
    <col min="1683" max="1684" width="29.88671875" bestFit="1" customWidth="1"/>
    <col min="1685" max="1689" width="28.33203125" bestFit="1" customWidth="1"/>
    <col min="1690" max="1690" width="32.6640625" bestFit="1" customWidth="1"/>
    <col min="1691" max="1692" width="34.6640625" bestFit="1" customWidth="1"/>
    <col min="1693" max="1697" width="33" bestFit="1" customWidth="1"/>
    <col min="1698" max="1698" width="37.5546875" bestFit="1" customWidth="1"/>
    <col min="1699" max="1700" width="24.109375" bestFit="1" customWidth="1"/>
    <col min="1701" max="1705" width="22.33203125" bestFit="1" customWidth="1"/>
    <col min="1706" max="1706" width="26.88671875" bestFit="1" customWidth="1"/>
    <col min="1707" max="1708" width="21.33203125" bestFit="1" customWidth="1"/>
    <col min="1709" max="1713" width="19.44140625" bestFit="1" customWidth="1"/>
    <col min="1714" max="1716" width="24" bestFit="1" customWidth="1"/>
    <col min="1717" max="1721" width="22.33203125" bestFit="1" customWidth="1"/>
    <col min="1722" max="1722" width="26.6640625" bestFit="1" customWidth="1"/>
    <col min="1723" max="1724" width="27.33203125" bestFit="1" customWidth="1"/>
    <col min="1725" max="1729" width="25.44140625" bestFit="1" customWidth="1"/>
    <col min="1730" max="1730" width="30" bestFit="1" customWidth="1"/>
    <col min="1731" max="1732" width="26.5546875" bestFit="1" customWidth="1"/>
    <col min="1733" max="1737" width="24.6640625" bestFit="1" customWidth="1"/>
    <col min="1738" max="1738" width="29.33203125" bestFit="1" customWidth="1"/>
    <col min="1739" max="1740" width="26.6640625" bestFit="1" customWidth="1"/>
    <col min="1741" max="1745" width="24.88671875" bestFit="1" customWidth="1"/>
    <col min="1746" max="1746" width="29.44140625" bestFit="1" customWidth="1"/>
    <col min="1747" max="1748" width="23.5546875" bestFit="1" customWidth="1"/>
    <col min="1749" max="1753" width="21.6640625" bestFit="1" customWidth="1"/>
    <col min="1754" max="1754" width="26.33203125" bestFit="1" customWidth="1"/>
    <col min="1755" max="1755" width="11.44140625" bestFit="1" customWidth="1"/>
  </cols>
  <sheetData>
    <row r="4" spans="1:226" x14ac:dyDescent="0.3">
      <c r="B4" s="30" t="s">
        <v>0</v>
      </c>
      <c r="C4" s="10" t="s">
        <v>5</v>
      </c>
      <c r="D4" s="10" t="s">
        <v>239</v>
      </c>
      <c r="E4" s="10" t="s">
        <v>237</v>
      </c>
      <c r="F4" s="10" t="s">
        <v>236</v>
      </c>
      <c r="G4" s="10" t="s">
        <v>304</v>
      </c>
      <c r="H4" s="10" t="s">
        <v>722</v>
      </c>
      <c r="I4" s="10" t="s">
        <v>727</v>
      </c>
      <c r="J4" s="10" t="s">
        <v>723</v>
      </c>
      <c r="K4" s="10" t="s">
        <v>32</v>
      </c>
      <c r="L4" s="10" t="s">
        <v>986</v>
      </c>
      <c r="M4" s="10" t="s">
        <v>234</v>
      </c>
      <c r="N4" s="10" t="s">
        <v>728</v>
      </c>
    </row>
    <row r="5" spans="1:226" x14ac:dyDescent="0.3">
      <c r="A5" s="66" t="s">
        <v>266</v>
      </c>
      <c r="B5" s="66"/>
      <c r="C5" t="s">
        <v>754</v>
      </c>
      <c r="D5" t="s">
        <v>755</v>
      </c>
      <c r="E5" t="s">
        <v>756</v>
      </c>
      <c r="F5" t="s">
        <v>757</v>
      </c>
      <c r="G5" t="s">
        <v>758</v>
      </c>
      <c r="H5" t="s">
        <v>1032</v>
      </c>
      <c r="I5" t="s">
        <v>759</v>
      </c>
      <c r="J5" t="s">
        <v>760</v>
      </c>
      <c r="K5" t="s">
        <v>761</v>
      </c>
      <c r="L5" t="s">
        <v>762</v>
      </c>
      <c r="M5" t="s">
        <v>763</v>
      </c>
      <c r="N5" t="s">
        <v>1033</v>
      </c>
      <c r="O5" t="s">
        <v>764</v>
      </c>
      <c r="P5" t="s">
        <v>765</v>
      </c>
      <c r="Q5" t="s">
        <v>766</v>
      </c>
      <c r="R5" t="s">
        <v>767</v>
      </c>
      <c r="S5" t="s">
        <v>768</v>
      </c>
      <c r="T5" t="s">
        <v>769</v>
      </c>
      <c r="U5" t="s">
        <v>770</v>
      </c>
      <c r="V5" t="s">
        <v>771</v>
      </c>
      <c r="W5" t="s">
        <v>1034</v>
      </c>
      <c r="X5" t="s">
        <v>772</v>
      </c>
      <c r="Y5" t="s">
        <v>773</v>
      </c>
      <c r="Z5" t="s">
        <v>774</v>
      </c>
      <c r="AA5" t="s">
        <v>775</v>
      </c>
      <c r="AB5" t="s">
        <v>776</v>
      </c>
      <c r="AC5" t="s">
        <v>777</v>
      </c>
      <c r="AD5" t="s">
        <v>778</v>
      </c>
      <c r="AE5" t="s">
        <v>779</v>
      </c>
      <c r="AF5" t="s">
        <v>780</v>
      </c>
      <c r="AG5" t="s">
        <v>781</v>
      </c>
      <c r="AH5" t="s">
        <v>782</v>
      </c>
      <c r="AI5" t="s">
        <v>783</v>
      </c>
      <c r="AJ5" t="s">
        <v>784</v>
      </c>
      <c r="AK5" t="s">
        <v>785</v>
      </c>
      <c r="AL5" t="s">
        <v>786</v>
      </c>
      <c r="AM5" t="s">
        <v>787</v>
      </c>
      <c r="AN5" t="s">
        <v>788</v>
      </c>
      <c r="AO5" t="s">
        <v>789</v>
      </c>
      <c r="AP5" t="s">
        <v>790</v>
      </c>
      <c r="AQ5" t="s">
        <v>791</v>
      </c>
      <c r="AR5" t="s">
        <v>792</v>
      </c>
      <c r="AS5" t="s">
        <v>793</v>
      </c>
      <c r="AT5" t="s">
        <v>794</v>
      </c>
      <c r="AU5" t="s">
        <v>795</v>
      </c>
      <c r="AV5" t="s">
        <v>796</v>
      </c>
      <c r="AW5" t="s">
        <v>797</v>
      </c>
      <c r="AX5" t="s">
        <v>798</v>
      </c>
      <c r="AY5" t="s">
        <v>799</v>
      </c>
      <c r="AZ5" t="s">
        <v>800</v>
      </c>
      <c r="BA5" t="s">
        <v>801</v>
      </c>
      <c r="BB5" t="s">
        <v>802</v>
      </c>
      <c r="BC5" t="s">
        <v>803</v>
      </c>
      <c r="BD5" t="s">
        <v>804</v>
      </c>
      <c r="BE5" t="s">
        <v>805</v>
      </c>
      <c r="BF5" t="s">
        <v>806</v>
      </c>
      <c r="BG5" t="s">
        <v>807</v>
      </c>
      <c r="BH5" t="s">
        <v>808</v>
      </c>
      <c r="BI5" t="s">
        <v>809</v>
      </c>
      <c r="BJ5" t="s">
        <v>810</v>
      </c>
      <c r="BK5" t="s">
        <v>811</v>
      </c>
      <c r="BL5" t="s">
        <v>812</v>
      </c>
      <c r="BM5" t="s">
        <v>813</v>
      </c>
      <c r="BN5" t="s">
        <v>814</v>
      </c>
      <c r="BO5" t="s">
        <v>815</v>
      </c>
      <c r="BP5" t="s">
        <v>816</v>
      </c>
      <c r="BQ5" t="s">
        <v>817</v>
      </c>
      <c r="BR5" t="s">
        <v>818</v>
      </c>
      <c r="BS5" t="s">
        <v>819</v>
      </c>
      <c r="BT5" t="s">
        <v>820</v>
      </c>
      <c r="BU5" t="s">
        <v>821</v>
      </c>
      <c r="BV5" t="s">
        <v>822</v>
      </c>
      <c r="BW5" t="s">
        <v>823</v>
      </c>
      <c r="BX5" t="s">
        <v>824</v>
      </c>
      <c r="BY5" t="s">
        <v>825</v>
      </c>
      <c r="BZ5" t="s">
        <v>826</v>
      </c>
      <c r="CA5" t="s">
        <v>827</v>
      </c>
      <c r="CB5" t="s">
        <v>828</v>
      </c>
      <c r="CC5" t="s">
        <v>829</v>
      </c>
      <c r="CD5" t="s">
        <v>830</v>
      </c>
      <c r="CE5" t="s">
        <v>831</v>
      </c>
      <c r="CF5" t="s">
        <v>832</v>
      </c>
      <c r="CG5" t="s">
        <v>833</v>
      </c>
      <c r="CH5" t="s">
        <v>834</v>
      </c>
      <c r="CI5" t="s">
        <v>835</v>
      </c>
      <c r="CJ5" t="s">
        <v>836</v>
      </c>
      <c r="CK5" t="s">
        <v>837</v>
      </c>
      <c r="CL5" t="s">
        <v>838</v>
      </c>
      <c r="CM5" t="s">
        <v>839</v>
      </c>
      <c r="CN5" t="s">
        <v>840</v>
      </c>
      <c r="CO5" t="s">
        <v>841</v>
      </c>
      <c r="CP5" t="s">
        <v>842</v>
      </c>
      <c r="CQ5" t="s">
        <v>843</v>
      </c>
      <c r="CR5" t="s">
        <v>844</v>
      </c>
      <c r="CS5" t="s">
        <v>845</v>
      </c>
      <c r="CT5" t="s">
        <v>846</v>
      </c>
      <c r="CU5" t="s">
        <v>847</v>
      </c>
      <c r="CV5" t="s">
        <v>848</v>
      </c>
      <c r="CW5" t="s">
        <v>849</v>
      </c>
      <c r="CX5" t="s">
        <v>850</v>
      </c>
      <c r="CY5" t="s">
        <v>851</v>
      </c>
      <c r="CZ5" t="s">
        <v>852</v>
      </c>
      <c r="DA5" t="s">
        <v>853</v>
      </c>
      <c r="DB5" t="s">
        <v>854</v>
      </c>
      <c r="DC5" t="s">
        <v>855</v>
      </c>
      <c r="DD5" t="s">
        <v>856</v>
      </c>
      <c r="DE5" t="s">
        <v>857</v>
      </c>
      <c r="DF5" t="s">
        <v>858</v>
      </c>
      <c r="DG5" t="s">
        <v>859</v>
      </c>
      <c r="DH5" t="s">
        <v>860</v>
      </c>
      <c r="DI5" t="s">
        <v>861</v>
      </c>
      <c r="DJ5" t="s">
        <v>862</v>
      </c>
      <c r="DK5" t="s">
        <v>863</v>
      </c>
      <c r="DL5" t="s">
        <v>864</v>
      </c>
      <c r="DM5" t="s">
        <v>865</v>
      </c>
      <c r="DN5" t="s">
        <v>866</v>
      </c>
      <c r="DO5" t="s">
        <v>867</v>
      </c>
      <c r="DP5" t="s">
        <v>868</v>
      </c>
      <c r="DQ5" t="s">
        <v>869</v>
      </c>
      <c r="DR5" t="s">
        <v>870</v>
      </c>
      <c r="DS5" t="s">
        <v>871</v>
      </c>
      <c r="DT5" t="s">
        <v>872</v>
      </c>
      <c r="DU5" t="s">
        <v>873</v>
      </c>
      <c r="DV5" t="s">
        <v>874</v>
      </c>
      <c r="DW5" t="s">
        <v>875</v>
      </c>
      <c r="DX5" t="s">
        <v>876</v>
      </c>
      <c r="DY5" t="s">
        <v>877</v>
      </c>
      <c r="DZ5" t="s">
        <v>878</v>
      </c>
      <c r="EA5" t="s">
        <v>879</v>
      </c>
      <c r="EB5" t="s">
        <v>880</v>
      </c>
      <c r="EC5" t="s">
        <v>881</v>
      </c>
      <c r="ED5" t="s">
        <v>882</v>
      </c>
      <c r="EE5" t="s">
        <v>883</v>
      </c>
      <c r="EF5" t="s">
        <v>884</v>
      </c>
      <c r="EG5" t="s">
        <v>885</v>
      </c>
      <c r="EH5" t="s">
        <v>886</v>
      </c>
      <c r="EI5" t="s">
        <v>887</v>
      </c>
      <c r="EJ5" t="s">
        <v>888</v>
      </c>
      <c r="EK5" t="s">
        <v>889</v>
      </c>
      <c r="EL5" t="s">
        <v>1035</v>
      </c>
      <c r="EM5" t="s">
        <v>890</v>
      </c>
      <c r="EN5" t="s">
        <v>1036</v>
      </c>
      <c r="EO5" t="s">
        <v>1037</v>
      </c>
      <c r="EP5" t="s">
        <v>1038</v>
      </c>
      <c r="EQ5" t="s">
        <v>891</v>
      </c>
      <c r="ER5" t="s">
        <v>892</v>
      </c>
      <c r="ES5" t="s">
        <v>893</v>
      </c>
      <c r="ET5" t="s">
        <v>894</v>
      </c>
      <c r="EU5" t="s">
        <v>895</v>
      </c>
      <c r="EV5" t="s">
        <v>896</v>
      </c>
      <c r="EW5" t="s">
        <v>897</v>
      </c>
      <c r="EX5" t="s">
        <v>898</v>
      </c>
      <c r="EY5" t="s">
        <v>899</v>
      </c>
      <c r="EZ5" t="s">
        <v>900</v>
      </c>
      <c r="FA5" t="s">
        <v>901</v>
      </c>
      <c r="FB5" t="s">
        <v>902</v>
      </c>
      <c r="FC5" t="s">
        <v>903</v>
      </c>
      <c r="FD5" t="s">
        <v>904</v>
      </c>
      <c r="FE5" t="s">
        <v>905</v>
      </c>
      <c r="FF5" t="s">
        <v>906</v>
      </c>
      <c r="FG5" t="s">
        <v>907</v>
      </c>
      <c r="FH5" t="s">
        <v>908</v>
      </c>
      <c r="FI5" t="s">
        <v>909</v>
      </c>
      <c r="FJ5" t="s">
        <v>910</v>
      </c>
      <c r="FK5" t="s">
        <v>911</v>
      </c>
      <c r="FL5" t="s">
        <v>912</v>
      </c>
      <c r="FM5" t="s">
        <v>913</v>
      </c>
      <c r="FN5" t="s">
        <v>914</v>
      </c>
      <c r="FO5" t="s">
        <v>915</v>
      </c>
      <c r="FP5" t="s">
        <v>916</v>
      </c>
      <c r="FQ5" t="s">
        <v>917</v>
      </c>
      <c r="FR5" t="s">
        <v>1039</v>
      </c>
      <c r="FS5" t="s">
        <v>918</v>
      </c>
      <c r="FT5" t="s">
        <v>919</v>
      </c>
      <c r="FU5" t="s">
        <v>920</v>
      </c>
      <c r="FV5" t="s">
        <v>921</v>
      </c>
      <c r="FW5" t="s">
        <v>922</v>
      </c>
      <c r="FX5" t="s">
        <v>923</v>
      </c>
      <c r="FY5" t="s">
        <v>924</v>
      </c>
      <c r="FZ5" t="s">
        <v>925</v>
      </c>
      <c r="GA5" t="s">
        <v>926</v>
      </c>
      <c r="GB5" t="s">
        <v>927</v>
      </c>
      <c r="GC5" t="s">
        <v>928</v>
      </c>
      <c r="GD5" t="s">
        <v>929</v>
      </c>
      <c r="GE5" t="s">
        <v>930</v>
      </c>
      <c r="GF5" t="s">
        <v>931</v>
      </c>
      <c r="GG5" t="s">
        <v>932</v>
      </c>
      <c r="GH5" t="s">
        <v>933</v>
      </c>
      <c r="GI5" t="s">
        <v>934</v>
      </c>
      <c r="GJ5" t="s">
        <v>935</v>
      </c>
      <c r="GK5" t="s">
        <v>936</v>
      </c>
      <c r="GL5" t="s">
        <v>937</v>
      </c>
      <c r="GM5" t="s">
        <v>938</v>
      </c>
      <c r="GN5" t="s">
        <v>939</v>
      </c>
      <c r="GO5" t="s">
        <v>940</v>
      </c>
      <c r="GP5" t="s">
        <v>941</v>
      </c>
      <c r="GQ5" t="s">
        <v>942</v>
      </c>
      <c r="GR5" t="s">
        <v>943</v>
      </c>
      <c r="GS5" t="s">
        <v>944</v>
      </c>
      <c r="GT5" t="s">
        <v>945</v>
      </c>
      <c r="GU5" t="s">
        <v>946</v>
      </c>
      <c r="GV5" t="s">
        <v>947</v>
      </c>
      <c r="GW5" t="s">
        <v>948</v>
      </c>
      <c r="GX5" t="s">
        <v>949</v>
      </c>
      <c r="GY5" t="s">
        <v>950</v>
      </c>
      <c r="GZ5" t="s">
        <v>951</v>
      </c>
      <c r="HA5" t="s">
        <v>1040</v>
      </c>
      <c r="HB5" t="s">
        <v>952</v>
      </c>
      <c r="HC5" t="s">
        <v>953</v>
      </c>
      <c r="HD5" t="s">
        <v>954</v>
      </c>
      <c r="HE5" t="s">
        <v>955</v>
      </c>
      <c r="HF5" t="s">
        <v>956</v>
      </c>
      <c r="HG5" t="s">
        <v>957</v>
      </c>
      <c r="HH5" t="s">
        <v>958</v>
      </c>
      <c r="HI5" t="s">
        <v>959</v>
      </c>
      <c r="HJ5" t="s">
        <v>960</v>
      </c>
      <c r="HK5" t="s">
        <v>961</v>
      </c>
      <c r="HL5" t="s">
        <v>1041</v>
      </c>
      <c r="HM5" t="s">
        <v>962</v>
      </c>
      <c r="HN5" t="s">
        <v>963</v>
      </c>
      <c r="HO5" t="s">
        <v>964</v>
      </c>
      <c r="HP5" t="s">
        <v>965</v>
      </c>
      <c r="HQ5" t="s">
        <v>246</v>
      </c>
      <c r="HR5" t="s">
        <v>0</v>
      </c>
    </row>
    <row r="6" spans="1:226" x14ac:dyDescent="0.3">
      <c r="A6" s="66" t="s">
        <v>3</v>
      </c>
      <c r="B6" s="67">
        <v>-13104635.166999996</v>
      </c>
      <c r="C6" s="3">
        <v>0</v>
      </c>
      <c r="D6" s="3">
        <v>-49113.270000000004</v>
      </c>
      <c r="E6" s="3">
        <v>-56941.822</v>
      </c>
      <c r="F6" s="3">
        <v>-118897.04300000002</v>
      </c>
      <c r="G6" s="3">
        <v>-84148.310000000012</v>
      </c>
      <c r="H6" s="3">
        <v>0</v>
      </c>
      <c r="I6" s="3">
        <v>-19329.090999999997</v>
      </c>
      <c r="J6" s="3">
        <v>-11500.960999999999</v>
      </c>
      <c r="K6" s="3">
        <v>-93567.61099999999</v>
      </c>
      <c r="L6" s="3">
        <v>0</v>
      </c>
      <c r="M6" s="3">
        <v>0</v>
      </c>
      <c r="N6" s="3">
        <v>0</v>
      </c>
      <c r="O6" s="3">
        <v>-40122.601999999992</v>
      </c>
      <c r="P6" s="3">
        <v>-44264.450000000004</v>
      </c>
      <c r="Q6" s="3">
        <v>-45183.114000000001</v>
      </c>
      <c r="R6" s="3">
        <v>-33002.995000000003</v>
      </c>
      <c r="S6" s="3">
        <v>-32495.697</v>
      </c>
      <c r="T6" s="3">
        <v>-79400.272000000012</v>
      </c>
      <c r="U6" s="3">
        <v>-48454.733000000007</v>
      </c>
      <c r="V6" s="3">
        <v>-48640.194000000003</v>
      </c>
      <c r="W6" s="3">
        <v>-2708.0799999999995</v>
      </c>
      <c r="X6" s="3">
        <v>-119536.24400000002</v>
      </c>
      <c r="Y6" s="3">
        <v>-38487.901999999995</v>
      </c>
      <c r="Z6" s="3">
        <v>-69038.893000000011</v>
      </c>
      <c r="AA6" s="3">
        <v>-123560.45299999999</v>
      </c>
      <c r="AB6" s="3">
        <v>-48864.91</v>
      </c>
      <c r="AC6" s="3">
        <v>-111554.00900000001</v>
      </c>
      <c r="AD6" s="3">
        <v>-34799.553999999996</v>
      </c>
      <c r="AE6" s="3">
        <v>-59284.434999999998</v>
      </c>
      <c r="AF6" s="3">
        <v>-73461.108999999997</v>
      </c>
      <c r="AG6" s="3">
        <v>-169481.66800000001</v>
      </c>
      <c r="AH6" s="3">
        <v>-85404.812999999995</v>
      </c>
      <c r="AI6" s="3">
        <v>-25744.162999999997</v>
      </c>
      <c r="AJ6" s="3">
        <v>-41022.732000000004</v>
      </c>
      <c r="AK6" s="3">
        <v>-75283.206999999995</v>
      </c>
      <c r="AL6" s="3">
        <v>-47619.011999999995</v>
      </c>
      <c r="AM6" s="3">
        <v>-45967.428</v>
      </c>
      <c r="AN6" s="3">
        <v>-66355.384999999995</v>
      </c>
      <c r="AO6" s="3">
        <v>-45126.978999999999</v>
      </c>
      <c r="AP6" s="3">
        <v>-29754.870999999999</v>
      </c>
      <c r="AQ6" s="3">
        <v>-53673.698999999993</v>
      </c>
      <c r="AR6" s="3">
        <v>-59348.367000000006</v>
      </c>
      <c r="AS6" s="3">
        <v>-5875.665</v>
      </c>
      <c r="AT6" s="3">
        <v>-1301.5159999999998</v>
      </c>
      <c r="AU6" s="3">
        <v>-49112.364000000001</v>
      </c>
      <c r="AV6" s="3">
        <v>-20878.606999999996</v>
      </c>
      <c r="AW6" s="3">
        <v>-60254.909</v>
      </c>
      <c r="AX6" s="3">
        <v>-157208.94100000002</v>
      </c>
      <c r="AY6" s="3">
        <v>-56313.508999999991</v>
      </c>
      <c r="AZ6" s="3">
        <v>-99783.665999999968</v>
      </c>
      <c r="BA6" s="3">
        <v>-54482.853999999999</v>
      </c>
      <c r="BB6" s="3">
        <v>-134364.39499999999</v>
      </c>
      <c r="BC6" s="3">
        <v>-50781.631000000001</v>
      </c>
      <c r="BD6" s="3">
        <v>-102073.37699999998</v>
      </c>
      <c r="BE6" s="3">
        <v>-69145.92300000001</v>
      </c>
      <c r="BF6" s="3">
        <v>-69539.893999999986</v>
      </c>
      <c r="BG6" s="3">
        <v>-155358.14300000001</v>
      </c>
      <c r="BH6" s="3">
        <v>-128144.071</v>
      </c>
      <c r="BI6" s="3">
        <v>-151844.61400000003</v>
      </c>
      <c r="BJ6" s="3">
        <v>-149890.22999999998</v>
      </c>
      <c r="BK6" s="3">
        <v>-35530.021999999997</v>
      </c>
      <c r="BL6" s="3">
        <v>-70211.45</v>
      </c>
      <c r="BM6" s="3">
        <v>-111957.11</v>
      </c>
      <c r="BN6" s="3">
        <v>-57594.608000000007</v>
      </c>
      <c r="BO6" s="3">
        <v>-40628.633000000002</v>
      </c>
      <c r="BP6" s="3">
        <v>-50300.204000000005</v>
      </c>
      <c r="BQ6" s="3">
        <v>-28187.351999999995</v>
      </c>
      <c r="BR6" s="3">
        <v>-96366.224000000002</v>
      </c>
      <c r="BS6" s="3">
        <v>-6.86</v>
      </c>
      <c r="BT6" s="3">
        <v>-70396.739000000001</v>
      </c>
      <c r="BU6" s="3">
        <v>-34007.715999999993</v>
      </c>
      <c r="BV6" s="3">
        <v>-114094.91899999999</v>
      </c>
      <c r="BW6" s="3">
        <v>-21226.928999999996</v>
      </c>
      <c r="BX6" s="3">
        <v>-114929.007</v>
      </c>
      <c r="BY6" s="3">
        <v>-62005.021000000001</v>
      </c>
      <c r="BZ6" s="3">
        <v>-40596.277999999998</v>
      </c>
      <c r="CA6" s="3">
        <v>-41082.104000000007</v>
      </c>
      <c r="CB6" s="3">
        <v>-161703.06099999999</v>
      </c>
      <c r="CC6" s="3">
        <v>-39879.877999999997</v>
      </c>
      <c r="CD6" s="3">
        <v>-30930.179999999997</v>
      </c>
      <c r="CE6" s="3">
        <v>-26092.844999999998</v>
      </c>
      <c r="CF6" s="3">
        <v>-45581.902999999998</v>
      </c>
      <c r="CG6" s="3">
        <v>-54528.003999999994</v>
      </c>
      <c r="CH6" s="3">
        <v>-23579.565999999999</v>
      </c>
      <c r="CI6" s="3">
        <v>-41004.46100000001</v>
      </c>
      <c r="CJ6" s="3">
        <v>-30040.281999999999</v>
      </c>
      <c r="CK6" s="3">
        <v>-19222.592000000001</v>
      </c>
      <c r="CL6" s="3">
        <v>-9551.5170000000016</v>
      </c>
      <c r="CM6" s="3">
        <v>-76661.239999999991</v>
      </c>
      <c r="CN6" s="3">
        <v>-142570.28700000001</v>
      </c>
      <c r="CO6" s="3">
        <v>-39239.614000000001</v>
      </c>
      <c r="CP6" s="3">
        <v>-30671.963000000003</v>
      </c>
      <c r="CQ6" s="3">
        <v>-91350.183999999994</v>
      </c>
      <c r="CR6" s="3">
        <v>-29652.725000000006</v>
      </c>
      <c r="CS6" s="3">
        <v>-46199.879000000008</v>
      </c>
      <c r="CT6" s="3">
        <v>-143314.70200000002</v>
      </c>
      <c r="CU6" s="3">
        <v>-105200.476</v>
      </c>
      <c r="CV6" s="3">
        <v>-61301.741000000002</v>
      </c>
      <c r="CW6" s="3">
        <v>-117384.57199999999</v>
      </c>
      <c r="CX6" s="3">
        <v>-40636.54</v>
      </c>
      <c r="CY6" s="3">
        <v>-29765.953000000001</v>
      </c>
      <c r="CZ6" s="3">
        <v>-40292.366999999991</v>
      </c>
      <c r="DA6" s="3">
        <v>-31797.513000000003</v>
      </c>
      <c r="DB6" s="3">
        <v>-57206.434000000008</v>
      </c>
      <c r="DC6" s="3">
        <v>-25098.575000000001</v>
      </c>
      <c r="DD6" s="3">
        <v>-23046.213</v>
      </c>
      <c r="DE6" s="3">
        <v>-78368.86</v>
      </c>
      <c r="DF6" s="3">
        <v>-37549.590000000004</v>
      </c>
      <c r="DG6" s="3">
        <v>-31821.146999999997</v>
      </c>
      <c r="DH6" s="3">
        <v>-59533.32</v>
      </c>
      <c r="DI6" s="3">
        <v>-42590.563999999984</v>
      </c>
      <c r="DJ6" s="3">
        <v>-78148.167999999991</v>
      </c>
      <c r="DK6" s="3">
        <v>-43578.559000000001</v>
      </c>
      <c r="DL6" s="3">
        <v>-100690.25100000003</v>
      </c>
      <c r="DM6" s="3">
        <v>-30352.009999999995</v>
      </c>
      <c r="DN6" s="3">
        <v>-41936.214</v>
      </c>
      <c r="DO6" s="3">
        <v>0</v>
      </c>
      <c r="DP6" s="3">
        <v>-65356.608000000007</v>
      </c>
      <c r="DQ6" s="3">
        <v>-67128.274000000005</v>
      </c>
      <c r="DR6" s="3">
        <v>-37521.305999999997</v>
      </c>
      <c r="DS6" s="3">
        <v>-62085.837999999989</v>
      </c>
      <c r="DT6" s="3">
        <v>-129373.49000000002</v>
      </c>
      <c r="DU6" s="3">
        <v>-3000.0099999999998</v>
      </c>
      <c r="DV6" s="3">
        <v>-10597.27</v>
      </c>
      <c r="DW6" s="3">
        <v>-3372.5350000000003</v>
      </c>
      <c r="DX6" s="3">
        <v>-4555.4500000000007</v>
      </c>
      <c r="DY6" s="3">
        <v>-2718.0689999999995</v>
      </c>
      <c r="DZ6" s="3">
        <v>0</v>
      </c>
      <c r="EA6" s="3">
        <v>-1244.3050000000003</v>
      </c>
      <c r="EB6" s="3">
        <v>-2104.8680000000004</v>
      </c>
      <c r="EC6" s="3">
        <v>-50712.775999999991</v>
      </c>
      <c r="ED6" s="3">
        <v>-35385.258000000002</v>
      </c>
      <c r="EE6" s="3">
        <v>-155192.36200000002</v>
      </c>
      <c r="EF6" s="3">
        <v>-103454.765</v>
      </c>
      <c r="EG6" s="3">
        <v>-40292.698999999993</v>
      </c>
      <c r="EH6" s="3">
        <v>-62081.191999999995</v>
      </c>
      <c r="EI6" s="3">
        <v>-25257.788</v>
      </c>
      <c r="EJ6" s="3">
        <v>-101147.85200000001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-82985.009999999995</v>
      </c>
      <c r="ET6" s="3">
        <v>-49007.881000000001</v>
      </c>
      <c r="EU6" s="3">
        <v>-92857.286000000007</v>
      </c>
      <c r="EV6" s="3">
        <v>-37109.968000000008</v>
      </c>
      <c r="EW6" s="3">
        <v>-54494.338000000003</v>
      </c>
      <c r="EX6" s="3">
        <v>-59130.525000000009</v>
      </c>
      <c r="EY6" s="3">
        <v>-66242.593000000008</v>
      </c>
      <c r="EZ6" s="3">
        <v>-112803.24799999999</v>
      </c>
      <c r="FA6" s="3">
        <v>-54619.353000000003</v>
      </c>
      <c r="FB6" s="3">
        <v>-128836.266</v>
      </c>
      <c r="FC6" s="3">
        <v>-131336.48499999999</v>
      </c>
      <c r="FD6" s="3">
        <v>-128160.52800000002</v>
      </c>
      <c r="FE6" s="3">
        <v>-31119.546000000006</v>
      </c>
      <c r="FF6" s="3">
        <v>-29192.04</v>
      </c>
      <c r="FG6" s="3">
        <v>-110422.49900000001</v>
      </c>
      <c r="FH6" s="3">
        <v>-101408.83199999999</v>
      </c>
      <c r="FI6" s="3">
        <v>-69216.711999999985</v>
      </c>
      <c r="FJ6" s="3">
        <v>-82919.549000000014</v>
      </c>
      <c r="FK6" s="3">
        <v>-38981.989000000001</v>
      </c>
      <c r="FL6" s="3">
        <v>-47557.74</v>
      </c>
      <c r="FM6" s="3">
        <v>-35248.028999999995</v>
      </c>
      <c r="FN6" s="3">
        <v>-38331.433999999994</v>
      </c>
      <c r="FO6" s="3">
        <v>-27432.326000000001</v>
      </c>
      <c r="FP6" s="3">
        <v>-116418.42200000002</v>
      </c>
      <c r="FQ6" s="3">
        <v>-82342.433999999994</v>
      </c>
      <c r="FR6" s="3">
        <v>0</v>
      </c>
      <c r="FS6" s="3">
        <v>-39284.230000000003</v>
      </c>
      <c r="FT6" s="3">
        <v>-20415.726999999999</v>
      </c>
      <c r="FU6" s="3">
        <v>-60935.637000000002</v>
      </c>
      <c r="FV6" s="3">
        <v>-84399.549999999988</v>
      </c>
      <c r="FW6" s="3">
        <v>-57885.144</v>
      </c>
      <c r="FX6" s="3">
        <v>-104563.455</v>
      </c>
      <c r="FY6" s="3">
        <v>-41225.836999999985</v>
      </c>
      <c r="FZ6" s="3">
        <v>-33010.324999999997</v>
      </c>
      <c r="GA6" s="3">
        <v>-27242.861000000001</v>
      </c>
      <c r="GB6" s="3">
        <v>-41388.572999999997</v>
      </c>
      <c r="GC6" s="3">
        <v>-39501.284</v>
      </c>
      <c r="GD6" s="3">
        <v>-54203.22600000001</v>
      </c>
      <c r="GE6" s="3">
        <v>-65878.804000000004</v>
      </c>
      <c r="GF6" s="3">
        <v>-134277.98700000002</v>
      </c>
      <c r="GG6" s="3">
        <v>-69029.558000000005</v>
      </c>
      <c r="GH6" s="3">
        <v>-33425.374000000003</v>
      </c>
      <c r="GI6" s="3">
        <v>-43760.445000000007</v>
      </c>
      <c r="GJ6" s="3">
        <v>-50439.567000000003</v>
      </c>
      <c r="GK6" s="3">
        <v>-127079.16700000002</v>
      </c>
      <c r="GL6" s="3">
        <v>-65210.983000000007</v>
      </c>
      <c r="GM6" s="3">
        <v>-222852.10400000002</v>
      </c>
      <c r="GN6" s="3">
        <v>-101838.99600000001</v>
      </c>
      <c r="GO6" s="3">
        <v>-78055.547000000006</v>
      </c>
      <c r="GP6" s="3">
        <v>-77181.331000000006</v>
      </c>
      <c r="GQ6" s="3">
        <v>-34937.811999999998</v>
      </c>
      <c r="GR6" s="3">
        <v>-29900.852999999999</v>
      </c>
      <c r="GS6" s="3">
        <v>0</v>
      </c>
      <c r="GT6" s="3">
        <v>-95041.141999999978</v>
      </c>
      <c r="GU6" s="3">
        <v>-41968.786999999997</v>
      </c>
      <c r="GV6" s="3">
        <v>-33340.743999999999</v>
      </c>
      <c r="GW6" s="3">
        <v>-77568.847000000009</v>
      </c>
      <c r="GX6" s="3">
        <v>-140141.549</v>
      </c>
      <c r="GY6" s="3">
        <v>-71465.280000000013</v>
      </c>
      <c r="GZ6" s="3">
        <v>-66709.025000000009</v>
      </c>
      <c r="HA6" s="3">
        <v>0</v>
      </c>
      <c r="HB6" s="3">
        <v>-48943.320999999996</v>
      </c>
      <c r="HC6" s="3">
        <v>-78047.974000000017</v>
      </c>
      <c r="HD6" s="3">
        <v>-54235.847999999991</v>
      </c>
      <c r="HE6" s="3">
        <v>-37145.087</v>
      </c>
      <c r="HF6" s="3">
        <v>-292432.484</v>
      </c>
      <c r="HG6" s="3">
        <v>-43567.824000000001</v>
      </c>
      <c r="HH6" s="3">
        <v>-81078.286000000007</v>
      </c>
      <c r="HI6" s="3">
        <v>-50622.907999999996</v>
      </c>
      <c r="HJ6" s="3">
        <v>-42393.779999999992</v>
      </c>
      <c r="HK6" s="3">
        <v>-97748.102999999988</v>
      </c>
      <c r="HL6" s="3">
        <v>-16.378999999999998</v>
      </c>
      <c r="HM6" s="3">
        <v>-87088.04399999998</v>
      </c>
      <c r="HN6" s="3">
        <v>-135055.361</v>
      </c>
      <c r="HO6" s="3">
        <v>-47201.748999999996</v>
      </c>
      <c r="HP6" s="3">
        <v>-78871.005000000005</v>
      </c>
      <c r="HQ6" s="3">
        <v>-13104055.164999995</v>
      </c>
    </row>
    <row r="7" spans="1:226" x14ac:dyDescent="0.3">
      <c r="A7" s="66" t="s">
        <v>309</v>
      </c>
      <c r="B7" s="67">
        <v>6580207.106999997</v>
      </c>
      <c r="D7">
        <v>22717.277999999998</v>
      </c>
      <c r="E7">
        <v>29078.434000000001</v>
      </c>
      <c r="F7">
        <v>60262.727000000006</v>
      </c>
      <c r="G7">
        <v>41163.746000000006</v>
      </c>
      <c r="I7">
        <v>6022.5019999999995</v>
      </c>
      <c r="J7">
        <v>5543.3280000000004</v>
      </c>
      <c r="K7">
        <v>49343.272000000012</v>
      </c>
      <c r="O7">
        <v>18339.909999999996</v>
      </c>
      <c r="P7">
        <v>24877.791000000005</v>
      </c>
      <c r="Q7">
        <v>22589.678</v>
      </c>
      <c r="R7">
        <v>17173.338</v>
      </c>
      <c r="S7">
        <v>16467.36</v>
      </c>
      <c r="T7">
        <v>38567.289000000012</v>
      </c>
      <c r="U7">
        <v>23941.995999999999</v>
      </c>
      <c r="V7">
        <v>24201.918999999998</v>
      </c>
      <c r="W7">
        <v>815.36100000000022</v>
      </c>
      <c r="X7">
        <v>63765.98599999999</v>
      </c>
      <c r="Y7">
        <v>19262.202999999998</v>
      </c>
      <c r="Z7">
        <v>32236.413999999997</v>
      </c>
      <c r="AA7">
        <v>69758.570999999996</v>
      </c>
      <c r="AB7">
        <v>28294.647999999997</v>
      </c>
      <c r="AC7">
        <v>65230.390999999996</v>
      </c>
      <c r="AD7">
        <v>18863.316000000003</v>
      </c>
      <c r="AE7">
        <v>33010.968999999997</v>
      </c>
      <c r="AF7">
        <v>35349.548999999992</v>
      </c>
      <c r="AG7">
        <v>84387.512999999992</v>
      </c>
      <c r="AH7">
        <v>43333.13</v>
      </c>
      <c r="AI7">
        <v>12712.480000000001</v>
      </c>
      <c r="AJ7">
        <v>18104.009000000002</v>
      </c>
      <c r="AK7">
        <v>36033.336999999992</v>
      </c>
      <c r="AL7">
        <v>20686.388000000003</v>
      </c>
      <c r="AM7">
        <v>25348.269</v>
      </c>
      <c r="AN7">
        <v>34707.770000000004</v>
      </c>
      <c r="AO7">
        <v>22041.84</v>
      </c>
      <c r="AP7">
        <v>13100.161000000002</v>
      </c>
      <c r="AQ7">
        <v>24757.957999999999</v>
      </c>
      <c r="AR7">
        <v>28645.457999999999</v>
      </c>
      <c r="AS7">
        <v>2363.826</v>
      </c>
      <c r="AT7">
        <v>266.303</v>
      </c>
      <c r="AU7">
        <v>19736.182000000004</v>
      </c>
      <c r="AV7">
        <v>10575.546</v>
      </c>
      <c r="AW7">
        <v>28951.562000000002</v>
      </c>
      <c r="AX7">
        <v>82692.782000000007</v>
      </c>
      <c r="AY7">
        <v>27746.663000000004</v>
      </c>
      <c r="AZ7">
        <v>47243.147999999994</v>
      </c>
      <c r="BA7">
        <v>30474.522000000001</v>
      </c>
      <c r="BB7">
        <v>71880.751999999979</v>
      </c>
      <c r="BC7">
        <v>25911.398999999998</v>
      </c>
      <c r="BD7">
        <v>48175.151000000005</v>
      </c>
      <c r="BE7">
        <v>35442.021000000001</v>
      </c>
      <c r="BF7">
        <v>35552.532999999996</v>
      </c>
      <c r="BG7">
        <v>72373.637000000017</v>
      </c>
      <c r="BH7">
        <v>66640.881999999998</v>
      </c>
      <c r="BI7">
        <v>92403.5</v>
      </c>
      <c r="BJ7">
        <v>84520.887999999992</v>
      </c>
      <c r="BK7">
        <v>17531.842000000001</v>
      </c>
      <c r="BL7">
        <v>32713.817000000003</v>
      </c>
      <c r="BM7">
        <v>57872.627999999997</v>
      </c>
      <c r="BN7">
        <v>27743.760999999999</v>
      </c>
      <c r="BO7">
        <v>20296.177999999996</v>
      </c>
      <c r="BP7">
        <v>24390.818999999996</v>
      </c>
      <c r="BQ7">
        <v>15333.599</v>
      </c>
      <c r="BR7">
        <v>48145.638999999996</v>
      </c>
      <c r="BS7">
        <v>13458.454</v>
      </c>
      <c r="BT7">
        <v>32697.884000000002</v>
      </c>
      <c r="BU7">
        <v>12047.007000000001</v>
      </c>
      <c r="BV7">
        <v>56386.210000000014</v>
      </c>
      <c r="BW7">
        <v>11018.409</v>
      </c>
      <c r="BX7">
        <v>56365.671999999991</v>
      </c>
      <c r="BY7">
        <v>31423.222999999998</v>
      </c>
      <c r="BZ7">
        <v>19191.458999999995</v>
      </c>
      <c r="CA7">
        <v>16865.696</v>
      </c>
      <c r="CB7">
        <v>90107.962</v>
      </c>
      <c r="CC7">
        <v>18903.991000000002</v>
      </c>
      <c r="CD7">
        <v>15509.833000000001</v>
      </c>
      <c r="CE7">
        <v>14731.397999999999</v>
      </c>
      <c r="CF7">
        <v>21656.617000000002</v>
      </c>
      <c r="CG7">
        <v>31638.087</v>
      </c>
      <c r="CH7">
        <v>11012.561</v>
      </c>
      <c r="CI7">
        <v>19652.865000000002</v>
      </c>
      <c r="CJ7">
        <v>13109.82</v>
      </c>
      <c r="CK7">
        <v>9208.0939999999991</v>
      </c>
      <c r="CL7">
        <v>4388.0879999999997</v>
      </c>
      <c r="CM7">
        <v>38585.935999999994</v>
      </c>
      <c r="CN7">
        <v>75540.245999999999</v>
      </c>
      <c r="CO7">
        <v>19191.915999999997</v>
      </c>
      <c r="CP7">
        <v>16390.728000000003</v>
      </c>
      <c r="CQ7">
        <v>47792.077999999994</v>
      </c>
      <c r="CR7">
        <v>13106.495999999999</v>
      </c>
      <c r="CS7">
        <v>24547.796999999999</v>
      </c>
      <c r="CT7">
        <v>69897.668000000005</v>
      </c>
      <c r="CU7">
        <v>52479.521000000001</v>
      </c>
      <c r="CV7">
        <v>25816.780999999999</v>
      </c>
      <c r="CW7">
        <v>63244.212999999996</v>
      </c>
      <c r="CX7">
        <v>20221.863000000001</v>
      </c>
      <c r="CY7">
        <v>13236.725</v>
      </c>
      <c r="CZ7">
        <v>15647.03</v>
      </c>
      <c r="DA7">
        <v>11652.525</v>
      </c>
      <c r="DB7">
        <v>13463.954000000002</v>
      </c>
      <c r="DC7">
        <v>11932.495999999999</v>
      </c>
      <c r="DD7">
        <v>13400.297</v>
      </c>
      <c r="DE7">
        <v>35314.786</v>
      </c>
      <c r="DF7">
        <v>15926.401</v>
      </c>
      <c r="DG7">
        <v>16405.623</v>
      </c>
      <c r="DH7">
        <v>29007.708000000002</v>
      </c>
      <c r="DI7">
        <v>21910.65</v>
      </c>
      <c r="DJ7">
        <v>37700.548000000003</v>
      </c>
      <c r="DK7">
        <v>22756.239000000001</v>
      </c>
      <c r="DL7">
        <v>49632.912000000004</v>
      </c>
      <c r="DM7">
        <v>14395.514000000001</v>
      </c>
      <c r="DN7">
        <v>20249.29</v>
      </c>
      <c r="DP7">
        <v>35849.849000000009</v>
      </c>
      <c r="DQ7">
        <v>35267.780000000006</v>
      </c>
      <c r="DR7">
        <v>20534.973000000002</v>
      </c>
      <c r="DS7">
        <v>28387.058999999997</v>
      </c>
      <c r="DT7">
        <v>59392.158000000003</v>
      </c>
      <c r="DU7">
        <v>1886.1869999999999</v>
      </c>
      <c r="DV7">
        <v>6852.3779999999997</v>
      </c>
      <c r="DW7">
        <v>2019.3230000000001</v>
      </c>
      <c r="DX7">
        <v>2459.6480000000001</v>
      </c>
      <c r="DY7">
        <v>1775.6740000000002</v>
      </c>
      <c r="EA7">
        <v>498.01300000000003</v>
      </c>
      <c r="EB7">
        <v>1227.4000000000001</v>
      </c>
      <c r="EC7">
        <v>23651.610000000004</v>
      </c>
      <c r="ED7">
        <v>18326.455000000002</v>
      </c>
      <c r="EE7">
        <v>83107.282999999981</v>
      </c>
      <c r="EF7">
        <v>52878.370999999999</v>
      </c>
      <c r="EG7">
        <v>21217.678</v>
      </c>
      <c r="EH7">
        <v>27039.458000000006</v>
      </c>
      <c r="EI7">
        <v>13146.991999999998</v>
      </c>
      <c r="EJ7">
        <v>46064.281000000003</v>
      </c>
      <c r="ES7">
        <v>47496.539000000004</v>
      </c>
      <c r="ET7">
        <v>22307.844999999998</v>
      </c>
      <c r="EU7">
        <v>43266.657999999996</v>
      </c>
      <c r="EV7">
        <v>15009.564</v>
      </c>
      <c r="EW7">
        <v>25118.36</v>
      </c>
      <c r="EX7">
        <v>26872.552999999996</v>
      </c>
      <c r="EY7">
        <v>32499.891</v>
      </c>
      <c r="EZ7">
        <v>56094.024999999994</v>
      </c>
      <c r="FA7">
        <v>29966.565999999999</v>
      </c>
      <c r="FB7">
        <v>67358.516000000003</v>
      </c>
      <c r="FC7">
        <v>65579.53</v>
      </c>
      <c r="FD7">
        <v>65753.803</v>
      </c>
      <c r="FE7">
        <v>37024.881000000001</v>
      </c>
      <c r="FF7">
        <v>13153.955</v>
      </c>
      <c r="FG7">
        <v>56959.794999999998</v>
      </c>
      <c r="FH7">
        <v>41939.822</v>
      </c>
      <c r="FI7">
        <v>27928.405999999999</v>
      </c>
      <c r="FJ7">
        <v>34403.311999999998</v>
      </c>
      <c r="FK7">
        <v>17832.716</v>
      </c>
      <c r="FL7">
        <v>24777.492999999995</v>
      </c>
      <c r="FM7">
        <v>16655.7</v>
      </c>
      <c r="FN7">
        <v>17863.361000000001</v>
      </c>
      <c r="FO7">
        <v>15004.637000000001</v>
      </c>
      <c r="FP7">
        <v>55777.715000000004</v>
      </c>
      <c r="FQ7">
        <v>42070.286</v>
      </c>
      <c r="FS7">
        <v>19762.802999999996</v>
      </c>
      <c r="FT7">
        <v>11268.906000000001</v>
      </c>
      <c r="FU7">
        <v>32173.156999999996</v>
      </c>
      <c r="FV7">
        <v>41009.258999999998</v>
      </c>
      <c r="FW7">
        <v>27366.421999999999</v>
      </c>
      <c r="FX7">
        <v>50267.971000000005</v>
      </c>
      <c r="FY7">
        <v>20726.248000000003</v>
      </c>
      <c r="FZ7">
        <v>16181.528</v>
      </c>
      <c r="GA7">
        <v>12278.176000000001</v>
      </c>
      <c r="GB7">
        <v>29358.592000000004</v>
      </c>
      <c r="GC7">
        <v>21095.880999999998</v>
      </c>
      <c r="GD7">
        <v>27731.592000000001</v>
      </c>
      <c r="GE7">
        <v>28740.658000000003</v>
      </c>
      <c r="GF7">
        <v>72739.899000000005</v>
      </c>
      <c r="GG7">
        <v>33923.412999999993</v>
      </c>
      <c r="GH7">
        <v>16191.048000000001</v>
      </c>
      <c r="GI7">
        <v>19610.861999999997</v>
      </c>
      <c r="GJ7">
        <v>24404.089000000004</v>
      </c>
      <c r="GK7">
        <v>64615.783999999992</v>
      </c>
      <c r="GL7">
        <v>32764.287999999997</v>
      </c>
      <c r="GM7">
        <v>114400.234</v>
      </c>
      <c r="GN7">
        <v>55930.32</v>
      </c>
      <c r="GO7">
        <v>38160.711999999992</v>
      </c>
      <c r="GP7">
        <v>34319.898000000001</v>
      </c>
      <c r="GQ7">
        <v>17461.64</v>
      </c>
      <c r="GR7">
        <v>14612.873000000001</v>
      </c>
      <c r="GT7">
        <v>46511.872999999992</v>
      </c>
      <c r="GU7">
        <v>23110.182000000001</v>
      </c>
      <c r="GV7">
        <v>14235.841</v>
      </c>
      <c r="GW7">
        <v>38294.762000000002</v>
      </c>
      <c r="GX7">
        <v>70236.793000000005</v>
      </c>
      <c r="GY7">
        <v>35403.601999999992</v>
      </c>
      <c r="GZ7">
        <v>31458.660000000003</v>
      </c>
      <c r="HB7">
        <v>23254.953000000001</v>
      </c>
      <c r="HC7">
        <v>36214.627</v>
      </c>
      <c r="HD7">
        <v>23043.811000000002</v>
      </c>
      <c r="HE7">
        <v>20089.487999999998</v>
      </c>
      <c r="HF7">
        <v>157609.179</v>
      </c>
      <c r="HG7">
        <v>19767.578000000005</v>
      </c>
      <c r="HH7">
        <v>42169.816000000013</v>
      </c>
      <c r="HI7">
        <v>21218.465000000004</v>
      </c>
      <c r="HJ7">
        <v>20254.492999999999</v>
      </c>
      <c r="HK7">
        <v>49794.681999999993</v>
      </c>
      <c r="HL7">
        <v>135.72</v>
      </c>
      <c r="HM7">
        <v>43425.085000000006</v>
      </c>
      <c r="HN7">
        <v>69260.038</v>
      </c>
      <c r="HO7">
        <v>21909.735000000001</v>
      </c>
      <c r="HP7">
        <v>41189.403999999995</v>
      </c>
      <c r="HQ7">
        <v>6580207.106999997</v>
      </c>
    </row>
    <row r="8" spans="1:226" x14ac:dyDescent="0.3">
      <c r="A8" s="66" t="s">
        <v>1</v>
      </c>
      <c r="B8" s="67">
        <v>1424829.9969999993</v>
      </c>
      <c r="D8">
        <v>9865.8790000000008</v>
      </c>
      <c r="E8">
        <v>4713.6880000000001</v>
      </c>
      <c r="F8">
        <v>7403.344000000001</v>
      </c>
      <c r="G8">
        <v>5414.6519999999991</v>
      </c>
      <c r="I8">
        <v>25121.690999999999</v>
      </c>
      <c r="J8">
        <v>6722.8540000000003</v>
      </c>
      <c r="K8">
        <v>7256.2009999999991</v>
      </c>
      <c r="O8">
        <v>310.18799999999999</v>
      </c>
      <c r="P8">
        <v>4065.6880000000001</v>
      </c>
      <c r="Q8">
        <v>5359.375</v>
      </c>
      <c r="R8">
        <v>8264.5929999999989</v>
      </c>
      <c r="S8">
        <v>3561.3290000000002</v>
      </c>
      <c r="T8">
        <v>7330.5019999999986</v>
      </c>
      <c r="U8">
        <v>6102.9489999999996</v>
      </c>
      <c r="V8">
        <v>6610.1810000000005</v>
      </c>
      <c r="W8">
        <v>384.00599999999997</v>
      </c>
      <c r="X8">
        <v>11196.559000000001</v>
      </c>
      <c r="Y8">
        <v>4028.579999999999</v>
      </c>
      <c r="Z8">
        <v>11531.063</v>
      </c>
      <c r="AA8">
        <v>11074.405000000001</v>
      </c>
      <c r="AB8">
        <v>4805.208999999998</v>
      </c>
      <c r="AC8">
        <v>5421.8010000000004</v>
      </c>
      <c r="AD8">
        <v>4141.9080000000004</v>
      </c>
      <c r="AE8">
        <v>4392.3190000000004</v>
      </c>
      <c r="AF8">
        <v>5875.3009999999995</v>
      </c>
      <c r="AG8">
        <v>15884.699000000004</v>
      </c>
      <c r="AH8">
        <v>7374.8129999999974</v>
      </c>
      <c r="AI8">
        <v>5204.9710000000005</v>
      </c>
      <c r="AJ8">
        <v>5416.732</v>
      </c>
      <c r="AK8">
        <v>9732.2109999999993</v>
      </c>
      <c r="AL8">
        <v>7890.009</v>
      </c>
      <c r="AM8">
        <v>3676.2780000000002</v>
      </c>
      <c r="AN8">
        <v>5319.128999999999</v>
      </c>
      <c r="AO8">
        <v>5206.2880000000005</v>
      </c>
      <c r="AP8">
        <v>4625.3049999999994</v>
      </c>
      <c r="AQ8">
        <v>9951.5659999999971</v>
      </c>
      <c r="AR8">
        <v>5266.0129999999999</v>
      </c>
      <c r="AS8">
        <v>808.31</v>
      </c>
      <c r="AT8">
        <v>0</v>
      </c>
      <c r="AU8">
        <v>5047.8580000000011</v>
      </c>
      <c r="AV8">
        <v>3995.6749999999997</v>
      </c>
      <c r="AW8">
        <v>4390.9989999999998</v>
      </c>
      <c r="AX8">
        <v>11267.248999999998</v>
      </c>
      <c r="AY8">
        <v>5043.9889999999996</v>
      </c>
      <c r="AZ8">
        <v>7609.76</v>
      </c>
      <c r="BA8">
        <v>12015.377999999999</v>
      </c>
      <c r="BB8">
        <v>15583.996000000001</v>
      </c>
      <c r="BC8">
        <v>14727.687000000004</v>
      </c>
      <c r="BD8">
        <v>8269.6540000000023</v>
      </c>
      <c r="BE8">
        <v>12783.126000000002</v>
      </c>
      <c r="BF8">
        <v>5085.3019999999997</v>
      </c>
      <c r="BG8">
        <v>21234.737000000005</v>
      </c>
      <c r="BH8">
        <v>8744.7980000000007</v>
      </c>
      <c r="BI8">
        <v>6774.8540000000003</v>
      </c>
      <c r="BJ8">
        <v>7884.3749999999991</v>
      </c>
      <c r="BK8">
        <v>4756.5690000000013</v>
      </c>
      <c r="BL8">
        <v>3972.61</v>
      </c>
      <c r="BM8">
        <v>6808.0289999999995</v>
      </c>
      <c r="BN8">
        <v>4245.857</v>
      </c>
      <c r="BO8">
        <v>6364.7</v>
      </c>
      <c r="BP8">
        <v>4406.1710000000012</v>
      </c>
      <c r="BQ8">
        <v>3506.0630000000001</v>
      </c>
      <c r="BR8">
        <v>6071.3710000000001</v>
      </c>
      <c r="BS8">
        <v>6695.99</v>
      </c>
      <c r="BT8">
        <v>12371.272999999999</v>
      </c>
      <c r="BU8">
        <v>5232.2029999999995</v>
      </c>
      <c r="BV8">
        <v>12667.762999999999</v>
      </c>
      <c r="BW8">
        <v>4103.5909999999994</v>
      </c>
      <c r="BX8">
        <v>9890.2520000000004</v>
      </c>
      <c r="BY8">
        <v>19480.881999999998</v>
      </c>
      <c r="BZ8">
        <v>4080.2929999999997</v>
      </c>
      <c r="CA8">
        <v>5310.2429999999995</v>
      </c>
      <c r="CB8">
        <v>3148.116</v>
      </c>
      <c r="CC8">
        <v>4017.0630000000006</v>
      </c>
      <c r="CD8">
        <v>4548.7029999999995</v>
      </c>
      <c r="CE8">
        <v>7739.2639999999992</v>
      </c>
      <c r="CF8">
        <v>5107.6680000000006</v>
      </c>
      <c r="CG8">
        <v>6268.2380000000003</v>
      </c>
      <c r="CH8">
        <v>1930.8910000000001</v>
      </c>
      <c r="CI8">
        <v>3115.5330000000004</v>
      </c>
      <c r="CJ8">
        <v>3480.0660000000003</v>
      </c>
      <c r="CK8">
        <v>2037.0410000000002</v>
      </c>
      <c r="CL8">
        <v>2459.3080000000004</v>
      </c>
      <c r="CM8">
        <v>5349.195999999999</v>
      </c>
      <c r="CN8">
        <v>10092.692999999999</v>
      </c>
      <c r="CO8">
        <v>3015.6419999999994</v>
      </c>
      <c r="CP8">
        <v>4547.3390000000009</v>
      </c>
      <c r="CQ8">
        <v>10226.648000000001</v>
      </c>
      <c r="CR8">
        <v>3117.6190000000001</v>
      </c>
      <c r="CS8">
        <v>5297.9610000000002</v>
      </c>
      <c r="CT8">
        <v>31234.589000000004</v>
      </c>
      <c r="CU8">
        <v>7221.8070000000007</v>
      </c>
      <c r="CV8">
        <v>7894.424</v>
      </c>
      <c r="CW8">
        <v>7243.8009999999995</v>
      </c>
      <c r="CX8">
        <v>6906.552999999999</v>
      </c>
      <c r="CY8">
        <v>4617.6709999999994</v>
      </c>
      <c r="CZ8">
        <v>7795.6289999999999</v>
      </c>
      <c r="DA8">
        <v>5487.2550000000001</v>
      </c>
      <c r="DB8">
        <v>7347.764000000001</v>
      </c>
      <c r="DC8">
        <v>4146.6619999999994</v>
      </c>
      <c r="DD8">
        <v>6283.2460000000001</v>
      </c>
      <c r="DE8">
        <v>10516.311</v>
      </c>
      <c r="DF8">
        <v>6883.232</v>
      </c>
      <c r="DG8">
        <v>3113.4809999999998</v>
      </c>
      <c r="DH8">
        <v>9662.9889999999996</v>
      </c>
      <c r="DI8">
        <v>4111.7039999999997</v>
      </c>
      <c r="DJ8">
        <v>9318.5720000000001</v>
      </c>
      <c r="DK8">
        <v>7453.6260000000002</v>
      </c>
      <c r="DL8">
        <v>12278.268000000002</v>
      </c>
      <c r="DM8">
        <v>3364.3010000000004</v>
      </c>
      <c r="DN8">
        <v>2818.4319999999998</v>
      </c>
      <c r="DP8">
        <v>14291.882000000003</v>
      </c>
      <c r="DQ8">
        <v>4788.6959999999999</v>
      </c>
      <c r="DR8">
        <v>9717.43</v>
      </c>
      <c r="DS8">
        <v>5898.692</v>
      </c>
      <c r="DT8">
        <v>10327.111000000003</v>
      </c>
      <c r="DU8">
        <v>646.37400000000002</v>
      </c>
      <c r="DV8">
        <v>1089.902</v>
      </c>
      <c r="DW8">
        <v>601.95000000000005</v>
      </c>
      <c r="DX8">
        <v>467.57399999999996</v>
      </c>
      <c r="DY8">
        <v>771.75799999999992</v>
      </c>
      <c r="EA8">
        <v>874.74599999999998</v>
      </c>
      <c r="EB8">
        <v>336.59000000000003</v>
      </c>
      <c r="EC8">
        <v>2685.3939999999993</v>
      </c>
      <c r="ED8">
        <v>4863.2499999999991</v>
      </c>
      <c r="EE8">
        <v>17585.641999999996</v>
      </c>
      <c r="EF8">
        <v>7948.1029999999992</v>
      </c>
      <c r="EG8">
        <v>6348.2379999999985</v>
      </c>
      <c r="EH8">
        <v>6088.6459999999997</v>
      </c>
      <c r="EI8">
        <v>4762.469000000001</v>
      </c>
      <c r="EJ8">
        <v>5872.6419999999998</v>
      </c>
      <c r="ES8">
        <v>8033.46</v>
      </c>
      <c r="ET8">
        <v>7653.4960000000001</v>
      </c>
      <c r="EU8">
        <v>11613.352000000001</v>
      </c>
      <c r="EV8">
        <v>3551.3829999999994</v>
      </c>
      <c r="EW8">
        <v>7815.8009999999995</v>
      </c>
      <c r="EX8">
        <v>5709.4800000000005</v>
      </c>
      <c r="EY8">
        <v>5439.0690000000004</v>
      </c>
      <c r="EZ8">
        <v>16220.757</v>
      </c>
      <c r="FA8">
        <v>10647.372000000001</v>
      </c>
      <c r="FB8">
        <v>11155.528</v>
      </c>
      <c r="FC8">
        <v>14047.84</v>
      </c>
      <c r="FD8">
        <v>10405.618000000002</v>
      </c>
      <c r="FE8">
        <v>4299.9949999999999</v>
      </c>
      <c r="FF8">
        <v>4214.1330000000007</v>
      </c>
      <c r="FG8">
        <v>7897.0460000000003</v>
      </c>
      <c r="FH8">
        <v>8260.51</v>
      </c>
      <c r="FI8">
        <v>10072.91</v>
      </c>
      <c r="FJ8">
        <v>8244.9510000000009</v>
      </c>
      <c r="FK8">
        <v>5275.4529999999995</v>
      </c>
      <c r="FL8">
        <v>4035.6390000000001</v>
      </c>
      <c r="FM8">
        <v>4939.1290000000008</v>
      </c>
      <c r="FN8">
        <v>5555.7709999999988</v>
      </c>
      <c r="FO8">
        <v>3190.9029999999998</v>
      </c>
      <c r="FP8">
        <v>13581.793</v>
      </c>
      <c r="FQ8">
        <v>5370.9679999999989</v>
      </c>
      <c r="FS8">
        <v>5152.9820000000009</v>
      </c>
      <c r="FT8">
        <v>4271.6380000000008</v>
      </c>
      <c r="FU8">
        <v>4427.3240000000005</v>
      </c>
      <c r="FV8">
        <v>7764.4539999999997</v>
      </c>
      <c r="FW8">
        <v>8847.6959999999999</v>
      </c>
      <c r="FX8">
        <v>8392.358000000002</v>
      </c>
      <c r="FY8">
        <v>5010.7839999999987</v>
      </c>
      <c r="FZ8">
        <v>4185.777</v>
      </c>
      <c r="GA8">
        <v>3993.56</v>
      </c>
      <c r="GB8">
        <v>4197.6630000000005</v>
      </c>
      <c r="GC8">
        <v>4828.1850000000004</v>
      </c>
      <c r="GD8">
        <v>4002.7149999999997</v>
      </c>
      <c r="GE8">
        <v>5636.2979999999989</v>
      </c>
      <c r="GF8">
        <v>8151.6309999999994</v>
      </c>
      <c r="GG8">
        <v>4356.9269999999988</v>
      </c>
      <c r="GH8">
        <v>5406.6040000000003</v>
      </c>
      <c r="GI8">
        <v>3469.4740000000006</v>
      </c>
      <c r="GJ8">
        <v>3303.5080000000007</v>
      </c>
      <c r="GK8">
        <v>6157.9110000000001</v>
      </c>
      <c r="GL8">
        <v>17802.287</v>
      </c>
      <c r="GM8">
        <v>11795.869000000001</v>
      </c>
      <c r="GN8">
        <v>10887.706999999999</v>
      </c>
      <c r="GO8">
        <v>4602.47</v>
      </c>
      <c r="GP8">
        <v>11045.518999999998</v>
      </c>
      <c r="GQ8">
        <v>8807.6220000000012</v>
      </c>
      <c r="GR8">
        <v>5059.4060000000009</v>
      </c>
      <c r="GT8">
        <v>8208.7149999999983</v>
      </c>
      <c r="GU8">
        <v>7659.6030000000001</v>
      </c>
      <c r="GV8">
        <v>4338.5410000000002</v>
      </c>
      <c r="GW8">
        <v>5153.6919999999991</v>
      </c>
      <c r="GX8">
        <v>9576.0819999999985</v>
      </c>
      <c r="GY8">
        <v>7578.9160000000011</v>
      </c>
      <c r="GZ8">
        <v>7496.2069999999985</v>
      </c>
      <c r="HB8">
        <v>4040.7029999999991</v>
      </c>
      <c r="HC8">
        <v>5598.6689999999999</v>
      </c>
      <c r="HD8">
        <v>6700.5420000000022</v>
      </c>
      <c r="HE8">
        <v>13404.269999999997</v>
      </c>
      <c r="HF8">
        <v>12176.026999999998</v>
      </c>
      <c r="HG8">
        <v>4864.4279999999999</v>
      </c>
      <c r="HH8">
        <v>7232.5460000000012</v>
      </c>
      <c r="HI8">
        <v>7328.2819999999992</v>
      </c>
      <c r="HJ8">
        <v>4774.7290000000021</v>
      </c>
      <c r="HK8">
        <v>9088.6939999999995</v>
      </c>
      <c r="HL8">
        <v>0</v>
      </c>
      <c r="HM8">
        <v>8470.1710000000021</v>
      </c>
      <c r="HN8">
        <v>7048.558</v>
      </c>
      <c r="HO8">
        <v>5247.5490000000009</v>
      </c>
      <c r="HP8">
        <v>5389.2180000000008</v>
      </c>
      <c r="HQ8">
        <v>1411862.4579999994</v>
      </c>
    </row>
    <row r="9" spans="1:226" x14ac:dyDescent="0.3">
      <c r="A9" s="66" t="s">
        <v>983</v>
      </c>
      <c r="B9" s="67">
        <v>4711819.3148833029</v>
      </c>
      <c r="D9">
        <v>15353.841417718537</v>
      </c>
      <c r="E9">
        <v>22324.721531967094</v>
      </c>
      <c r="F9">
        <v>42151.386961551965</v>
      </c>
      <c r="G9">
        <v>32162.210869101251</v>
      </c>
      <c r="I9">
        <v>14498.61969517264</v>
      </c>
      <c r="J9">
        <v>4371.0637297943485</v>
      </c>
      <c r="K9">
        <v>35382.820232101018</v>
      </c>
      <c r="O9">
        <v>13621.012500042369</v>
      </c>
      <c r="P9">
        <v>14473.401336272114</v>
      </c>
      <c r="Q9">
        <v>15150.119598227771</v>
      </c>
      <c r="R9">
        <v>12384.419841974875</v>
      </c>
      <c r="S9">
        <v>11290.267254033975</v>
      </c>
      <c r="T9">
        <v>29744.15329317073</v>
      </c>
      <c r="U9">
        <v>22349.89968361862</v>
      </c>
      <c r="V9">
        <v>17717.492914663406</v>
      </c>
      <c r="W9">
        <v>1079.4016364470904</v>
      </c>
      <c r="X9">
        <v>41233.125569804462</v>
      </c>
      <c r="Y9">
        <v>17686.950626719681</v>
      </c>
      <c r="Z9">
        <v>28880.640412615718</v>
      </c>
      <c r="AA9">
        <v>28062.578058525734</v>
      </c>
      <c r="AB9">
        <v>10395.796362428377</v>
      </c>
      <c r="AC9">
        <v>23517.645550363399</v>
      </c>
      <c r="AD9">
        <v>8313.2577907843643</v>
      </c>
      <c r="AE9">
        <v>14567.641770409649</v>
      </c>
      <c r="AF9">
        <v>24410.196369760215</v>
      </c>
      <c r="AG9">
        <v>66747.561351711047</v>
      </c>
      <c r="AH9">
        <v>29725.608533056537</v>
      </c>
      <c r="AI9">
        <v>8589.9372163407097</v>
      </c>
      <c r="AJ9">
        <v>15263.331705777138</v>
      </c>
      <c r="AK9">
        <v>27392.171050009889</v>
      </c>
      <c r="AL9">
        <v>16151.28850686795</v>
      </c>
      <c r="AM9">
        <v>14810.769622077429</v>
      </c>
      <c r="AN9">
        <v>27201.270850499553</v>
      </c>
      <c r="AO9">
        <v>17926.35424361267</v>
      </c>
      <c r="AP9">
        <v>16305.290181840086</v>
      </c>
      <c r="AQ9">
        <v>23225.524442821017</v>
      </c>
      <c r="AR9">
        <v>16868.37151311589</v>
      </c>
      <c r="AS9">
        <v>0</v>
      </c>
      <c r="AT9">
        <v>567.95747870787091</v>
      </c>
      <c r="AU9">
        <v>22160.282377336469</v>
      </c>
      <c r="AV9">
        <v>6894.6023365137034</v>
      </c>
      <c r="AW9">
        <v>21574.33761609959</v>
      </c>
      <c r="AX9">
        <v>52989.882364077326</v>
      </c>
      <c r="AY9">
        <v>18650.024293457922</v>
      </c>
      <c r="AZ9">
        <v>34385.264059297901</v>
      </c>
      <c r="BA9">
        <v>13155.668599998282</v>
      </c>
      <c r="BB9">
        <v>56254.536661717277</v>
      </c>
      <c r="BC9">
        <v>22182.916616399569</v>
      </c>
      <c r="BD9">
        <v>36908.13257436276</v>
      </c>
      <c r="BE9">
        <v>18294.676459931692</v>
      </c>
      <c r="BF9">
        <v>27408.169221032422</v>
      </c>
      <c r="BG9">
        <v>58393.584352344027</v>
      </c>
      <c r="BH9">
        <v>55876.535044764249</v>
      </c>
      <c r="BI9">
        <v>49508.297954725444</v>
      </c>
      <c r="BJ9">
        <v>50936.700268160486</v>
      </c>
      <c r="BK9">
        <v>14105.729870419913</v>
      </c>
      <c r="BL9">
        <v>27229.345258865796</v>
      </c>
      <c r="BM9">
        <v>36927.908740549472</v>
      </c>
      <c r="BN9">
        <v>21052.69874335442</v>
      </c>
      <c r="BO9">
        <v>17511.11900455353</v>
      </c>
      <c r="BP9">
        <v>18723.70661477805</v>
      </c>
      <c r="BQ9">
        <v>8375.3104069283218</v>
      </c>
      <c r="BR9">
        <v>32014.715883518864</v>
      </c>
      <c r="BS9">
        <v>0</v>
      </c>
      <c r="BT9">
        <v>28498.37446656575</v>
      </c>
      <c r="BU9">
        <v>16893.655098560197</v>
      </c>
      <c r="BV9">
        <v>41472.560180425309</v>
      </c>
      <c r="BW9">
        <v>8097.1870681544015</v>
      </c>
      <c r="BX9">
        <v>44863.167302437105</v>
      </c>
      <c r="BY9">
        <v>19624.176305381909</v>
      </c>
      <c r="BZ9">
        <v>16414.118001563264</v>
      </c>
      <c r="CA9">
        <v>16536.359508789588</v>
      </c>
      <c r="CB9">
        <v>50962.396207794678</v>
      </c>
      <c r="CC9">
        <v>15768.792557539666</v>
      </c>
      <c r="CD9">
        <v>8527.4538809146379</v>
      </c>
      <c r="CE9">
        <v>4813.8627043260358</v>
      </c>
      <c r="CF9">
        <v>14069.195549047554</v>
      </c>
      <c r="CG9">
        <v>10417.475919279766</v>
      </c>
      <c r="CH9">
        <v>7306.274400765481</v>
      </c>
      <c r="CI9">
        <v>12018.9823601637</v>
      </c>
      <c r="CJ9">
        <v>12486.083566694655</v>
      </c>
      <c r="CK9">
        <v>6447.628527612058</v>
      </c>
      <c r="CL9">
        <v>2953.9045030763414</v>
      </c>
      <c r="CM9">
        <v>23390.018496201632</v>
      </c>
      <c r="CN9">
        <v>42546.140029487571</v>
      </c>
      <c r="CO9">
        <v>17354.69999089769</v>
      </c>
      <c r="CP9">
        <v>10449.199398533914</v>
      </c>
      <c r="CQ9">
        <v>30386.450073077242</v>
      </c>
      <c r="CR9">
        <v>10528.26954915942</v>
      </c>
      <c r="CS9">
        <v>12485.152708875978</v>
      </c>
      <c r="CT9">
        <v>43893.712570407166</v>
      </c>
      <c r="CU9">
        <v>37555.025883271112</v>
      </c>
      <c r="CV9">
        <v>28771.732163390567</v>
      </c>
      <c r="CW9">
        <v>38771.711933981955</v>
      </c>
      <c r="CX9">
        <v>13369.081745749738</v>
      </c>
      <c r="CY9">
        <v>12003.426171328048</v>
      </c>
      <c r="CZ9">
        <v>19265.907987947143</v>
      </c>
      <c r="DA9">
        <v>18075.899978995378</v>
      </c>
      <c r="DB9">
        <v>23305.294394938428</v>
      </c>
      <c r="DC9">
        <v>6768.9301486965805</v>
      </c>
      <c r="DD9">
        <v>4461.4279903962206</v>
      </c>
      <c r="DE9">
        <v>26187.194311718467</v>
      </c>
      <c r="DF9">
        <v>13899.826280384212</v>
      </c>
      <c r="DG9">
        <v>9655.3086479265603</v>
      </c>
      <c r="DH9">
        <v>18895.736325434955</v>
      </c>
      <c r="DI9">
        <v>16535.553458441074</v>
      </c>
      <c r="DJ9">
        <v>26015.041851222068</v>
      </c>
      <c r="DK9">
        <v>13838.283783963392</v>
      </c>
      <c r="DL9">
        <v>34435.889938102977</v>
      </c>
      <c r="DM9">
        <v>9563.2612248820369</v>
      </c>
      <c r="DN9">
        <v>19106.824564857092</v>
      </c>
      <c r="DP9">
        <v>23568.99786211651</v>
      </c>
      <c r="DQ9">
        <v>25732.510715753389</v>
      </c>
      <c r="DR9">
        <v>14127.390706578468</v>
      </c>
      <c r="DS9">
        <v>23414.130036101647</v>
      </c>
      <c r="DT9">
        <v>42539.450697985063</v>
      </c>
      <c r="DU9">
        <v>1060.0734717465934</v>
      </c>
      <c r="DV9">
        <v>5008.7603723061857</v>
      </c>
      <c r="DW9">
        <v>904.87069845945439</v>
      </c>
      <c r="DX9">
        <v>1426.8886558404656</v>
      </c>
      <c r="DY9">
        <v>597.5000101560654</v>
      </c>
      <c r="EA9">
        <v>310.52478577768335</v>
      </c>
      <c r="EB9">
        <v>684.32035941053516</v>
      </c>
      <c r="EC9">
        <v>21151.20176967654</v>
      </c>
      <c r="ED9">
        <v>16357.286400920037</v>
      </c>
      <c r="EE9">
        <v>50589.850205642753</v>
      </c>
      <c r="EF9">
        <v>37508.997961555848</v>
      </c>
      <c r="EG9">
        <v>14679.118060839122</v>
      </c>
      <c r="EH9">
        <v>22553.038796817909</v>
      </c>
      <c r="EI9">
        <v>7055.5520493450022</v>
      </c>
      <c r="EJ9">
        <v>36887.604293449753</v>
      </c>
      <c r="ES9">
        <v>24376.923843052089</v>
      </c>
      <c r="ET9">
        <v>17082.084144910325</v>
      </c>
      <c r="EU9">
        <v>35403.300748257047</v>
      </c>
      <c r="EV9">
        <v>14037.099588647818</v>
      </c>
      <c r="EW9">
        <v>23741.014218528733</v>
      </c>
      <c r="EX9">
        <v>29230.769191015956</v>
      </c>
      <c r="EY9">
        <v>27111.494877919165</v>
      </c>
      <c r="EZ9">
        <v>41167.76570116177</v>
      </c>
      <c r="FA9">
        <v>19830.952386161305</v>
      </c>
      <c r="FB9">
        <v>37964.913354743541</v>
      </c>
      <c r="FC9">
        <v>48971.366626852978</v>
      </c>
      <c r="FD9">
        <v>44292.249841940626</v>
      </c>
      <c r="FE9">
        <v>20819.301150265877</v>
      </c>
      <c r="FF9">
        <v>15099.443663307258</v>
      </c>
      <c r="FG9">
        <v>41247.665855426436</v>
      </c>
      <c r="FH9">
        <v>40786.852209616831</v>
      </c>
      <c r="FI9">
        <v>35517.560739361186</v>
      </c>
      <c r="FJ9">
        <v>34068.078792673783</v>
      </c>
      <c r="FK9">
        <v>10159.404305812805</v>
      </c>
      <c r="FL9">
        <v>14212.911175496223</v>
      </c>
      <c r="FM9">
        <v>11859.282072964334</v>
      </c>
      <c r="FN9">
        <v>12940.57287843134</v>
      </c>
      <c r="FO9">
        <v>6310.7841222187953</v>
      </c>
      <c r="FP9">
        <v>40779.074032257457</v>
      </c>
      <c r="FQ9">
        <v>32093.972862726801</v>
      </c>
      <c r="FS9">
        <v>13236.839788726527</v>
      </c>
      <c r="FT9">
        <v>5202.7337631930932</v>
      </c>
      <c r="FU9">
        <v>2712.5108708085286</v>
      </c>
      <c r="FV9">
        <v>27302.273991045149</v>
      </c>
      <c r="FW9">
        <v>20903.870058439992</v>
      </c>
      <c r="FX9">
        <v>37988.731751451196</v>
      </c>
      <c r="FY9">
        <v>17909.722401084331</v>
      </c>
      <c r="FZ9">
        <v>9870.4648796811798</v>
      </c>
      <c r="GA9">
        <v>10228.943408239182</v>
      </c>
      <c r="GB9">
        <v>20735.828920091226</v>
      </c>
      <c r="GC9">
        <v>15569.000669136185</v>
      </c>
      <c r="GD9">
        <v>19172.449530834881</v>
      </c>
      <c r="GE9">
        <v>20105.446370462818</v>
      </c>
      <c r="GF9">
        <v>45742.333581941588</v>
      </c>
      <c r="GG9">
        <v>27140.866476053438</v>
      </c>
      <c r="GH9">
        <v>9749.8237982709325</v>
      </c>
      <c r="GI9">
        <v>17739.319458709237</v>
      </c>
      <c r="GJ9">
        <v>17736.641138838211</v>
      </c>
      <c r="GK9">
        <v>56758.161545484611</v>
      </c>
      <c r="GL9">
        <v>21433.105604179986</v>
      </c>
      <c r="GM9">
        <v>70937.346323467355</v>
      </c>
      <c r="GN9">
        <v>31715.485272872858</v>
      </c>
      <c r="GO9">
        <v>27646.120409893865</v>
      </c>
      <c r="GP9">
        <v>29300.992347667907</v>
      </c>
      <c r="GQ9">
        <v>8322.7293459072589</v>
      </c>
      <c r="GR9">
        <v>11695.436008588615</v>
      </c>
      <c r="GT9">
        <v>33906.190603414499</v>
      </c>
      <c r="GU9">
        <v>10285.603767577555</v>
      </c>
      <c r="GV9">
        <v>12452.599859749676</v>
      </c>
      <c r="GW9">
        <v>25208.408216621483</v>
      </c>
      <c r="GX9">
        <v>42384.712529186472</v>
      </c>
      <c r="GY9">
        <v>29077.668566788969</v>
      </c>
      <c r="GZ9">
        <v>24566.596053819958</v>
      </c>
      <c r="HB9">
        <v>15445.215878118113</v>
      </c>
      <c r="HC9">
        <v>24486.75028287376</v>
      </c>
      <c r="HD9">
        <v>27488.563162986869</v>
      </c>
      <c r="HE9">
        <v>14632.935071358103</v>
      </c>
      <c r="HF9">
        <v>162761.2824986566</v>
      </c>
      <c r="HG9">
        <v>16962.135536750891</v>
      </c>
      <c r="HH9">
        <v>28154.276900373465</v>
      </c>
      <c r="HI9">
        <v>22042.119118701812</v>
      </c>
      <c r="HJ9">
        <v>13257.721182336216</v>
      </c>
      <c r="HK9">
        <v>44292.633624452428</v>
      </c>
      <c r="HL9">
        <v>0</v>
      </c>
      <c r="HM9">
        <v>27793.155835956717</v>
      </c>
      <c r="HN9">
        <v>43546.162247494271</v>
      </c>
      <c r="HO9">
        <v>16337.195911206752</v>
      </c>
      <c r="HP9">
        <v>31518.40728732412</v>
      </c>
      <c r="HQ9">
        <v>4711819.3148833029</v>
      </c>
    </row>
    <row r="10" spans="1:226" x14ac:dyDescent="0.3">
      <c r="A10" s="66" t="s">
        <v>985</v>
      </c>
      <c r="B10" s="68">
        <v>0.99999999999999956</v>
      </c>
      <c r="D10" s="8">
        <v>3.2585802620274718E-3</v>
      </c>
      <c r="E10" s="8">
        <v>4.7380258112720113E-3</v>
      </c>
      <c r="F10" s="8">
        <v>8.945883563151005E-3</v>
      </c>
      <c r="G10" s="8">
        <v>6.8258582767615761E-3</v>
      </c>
      <c r="I10" s="8">
        <v>3.0770746342873561E-3</v>
      </c>
      <c r="J10" s="8">
        <v>9.2768067654619012E-4</v>
      </c>
      <c r="K10" s="8">
        <v>7.509375438132084E-3</v>
      </c>
      <c r="O10" s="8">
        <v>2.8908180874036168E-3</v>
      </c>
      <c r="P10" s="8">
        <v>3.0717224853157544E-3</v>
      </c>
      <c r="Q10" s="8">
        <v>3.2153439225423679E-3</v>
      </c>
      <c r="R10" s="8">
        <v>2.6283732491303308E-3</v>
      </c>
      <c r="S10" s="8">
        <v>2.3961587869830276E-3</v>
      </c>
      <c r="T10" s="8">
        <v>6.3126684843829587E-3</v>
      </c>
      <c r="U10" s="8">
        <v>4.7433694269688178E-3</v>
      </c>
      <c r="V10" s="8">
        <v>3.760223330020076E-3</v>
      </c>
      <c r="W10" s="8">
        <v>2.2908383456843651E-4</v>
      </c>
      <c r="X10" s="8">
        <v>8.7509988847748674E-3</v>
      </c>
      <c r="Y10" s="8">
        <v>3.7537412716255082E-3</v>
      </c>
      <c r="Z10" s="8">
        <v>6.12940320554949E-3</v>
      </c>
      <c r="AA10" s="8">
        <v>5.9557839940687024E-3</v>
      </c>
      <c r="AB10" s="8">
        <v>2.2063232199059503E-3</v>
      </c>
      <c r="AC10" s="8">
        <v>4.9912027560305248E-3</v>
      </c>
      <c r="AD10" s="8">
        <v>1.7643413796715713E-3</v>
      </c>
      <c r="AE10" s="8">
        <v>3.0917233443979045E-3</v>
      </c>
      <c r="AF10" s="8">
        <v>5.1806308218685969E-3</v>
      </c>
      <c r="AG10" s="8">
        <v>1.4165984918155584E-2</v>
      </c>
      <c r="AH10" s="8">
        <v>6.3087326882764281E-3</v>
      </c>
      <c r="AI10" s="8">
        <v>1.8230616758175618E-3</v>
      </c>
      <c r="AJ10" s="8">
        <v>3.2393711824994214E-3</v>
      </c>
      <c r="AK10" s="8">
        <v>5.813502008340128E-3</v>
      </c>
      <c r="AL10" s="8">
        <v>3.4278242495102908E-3</v>
      </c>
      <c r="AM10" s="8">
        <v>3.1433229146318074E-3</v>
      </c>
      <c r="AN10" s="8">
        <v>5.7729868300718671E-3</v>
      </c>
      <c r="AO10" s="8">
        <v>3.8045504391453198E-3</v>
      </c>
      <c r="AP10" s="8">
        <v>3.4605083710099603E-3</v>
      </c>
      <c r="AQ10" s="8">
        <v>4.9292052370213269E-3</v>
      </c>
      <c r="AR10" s="8">
        <v>3.5800123871120187E-3</v>
      </c>
      <c r="AS10" s="8">
        <v>0</v>
      </c>
      <c r="AT10" s="8">
        <v>1.2053889182759069E-4</v>
      </c>
      <c r="AU10" s="8">
        <v>4.7031265200128559E-3</v>
      </c>
      <c r="AV10" s="8">
        <v>1.4632569450903194E-3</v>
      </c>
      <c r="AW10" s="8">
        <v>4.5787701467992136E-3</v>
      </c>
      <c r="AX10" s="8">
        <v>1.1246161795019876E-2</v>
      </c>
      <c r="AY10" s="8">
        <v>3.9581365598098757E-3</v>
      </c>
      <c r="AZ10" s="8">
        <v>7.2976618502081751E-3</v>
      </c>
      <c r="BA10" s="8">
        <v>2.7920571059342728E-3</v>
      </c>
      <c r="BB10" s="8">
        <v>1.193902671183191E-2</v>
      </c>
      <c r="BC10" s="8">
        <v>4.7079302354252036E-3</v>
      </c>
      <c r="BD10" s="8">
        <v>7.8330959036948689E-3</v>
      </c>
      <c r="BE10" s="8">
        <v>3.8827202906834713E-3</v>
      </c>
      <c r="BF10" s="8">
        <v>5.8168973361219043E-3</v>
      </c>
      <c r="BG10" s="8">
        <v>1.239300160935612E-2</v>
      </c>
      <c r="BH10" s="8">
        <v>1.1858802579348937E-2</v>
      </c>
      <c r="BI10" s="8">
        <v>1.0507257313187445E-2</v>
      </c>
      <c r="BJ10" s="8">
        <v>1.0810410345588991E-2</v>
      </c>
      <c r="BK10" s="8">
        <v>2.993690744011322E-3</v>
      </c>
      <c r="BL10" s="8">
        <v>5.7789451248387233E-3</v>
      </c>
      <c r="BM10" s="8">
        <v>7.8372930438789668E-3</v>
      </c>
      <c r="BN10" s="8">
        <v>4.4680615567865489E-3</v>
      </c>
      <c r="BO10" s="8">
        <v>3.7164241313839995E-3</v>
      </c>
      <c r="BP10" s="8">
        <v>3.9737743244175686E-3</v>
      </c>
      <c r="BQ10" s="8">
        <v>1.7775109458193967E-3</v>
      </c>
      <c r="BR10" s="8">
        <v>6.7945550845707183E-3</v>
      </c>
      <c r="BS10" s="8">
        <v>0</v>
      </c>
      <c r="BT10" s="8">
        <v>6.0482740449209196E-3</v>
      </c>
      <c r="BU10" s="8">
        <v>3.5853783792595623E-3</v>
      </c>
      <c r="BV10" s="8">
        <v>8.8018146301631801E-3</v>
      </c>
      <c r="BW10" s="8">
        <v>1.7184842047269684E-3</v>
      </c>
      <c r="BX10" s="8">
        <v>9.5214107978901195E-3</v>
      </c>
      <c r="BY10" s="8">
        <v>4.1648830300845142E-3</v>
      </c>
      <c r="BZ10" s="8">
        <v>3.4836051437107771E-3</v>
      </c>
      <c r="CA10" s="8">
        <v>3.5095487334490757E-3</v>
      </c>
      <c r="CB10" s="8">
        <v>1.0815863852592755E-2</v>
      </c>
      <c r="CC10" s="8">
        <v>3.3466462747691779E-3</v>
      </c>
      <c r="CD10" s="8">
        <v>1.8098006971487268E-3</v>
      </c>
      <c r="CE10" s="8">
        <v>1.0216568978187273E-3</v>
      </c>
      <c r="CF10" s="8">
        <v>2.98593698289893E-3</v>
      </c>
      <c r="CG10" s="8">
        <v>2.2109243209674678E-3</v>
      </c>
      <c r="CH10" s="8">
        <v>1.5506270322563154E-3</v>
      </c>
      <c r="CI10" s="8">
        <v>2.5508156312783765E-3</v>
      </c>
      <c r="CJ10" s="8">
        <v>2.6499495698518519E-3</v>
      </c>
      <c r="CK10" s="8">
        <v>1.3683946893391743E-3</v>
      </c>
      <c r="CL10" s="8">
        <v>6.269137897002531E-4</v>
      </c>
      <c r="CM10" s="8">
        <v>4.9641161795655423E-3</v>
      </c>
      <c r="CN10" s="8">
        <v>9.0296628937141885E-3</v>
      </c>
      <c r="CO10" s="8">
        <v>3.6832269726640638E-3</v>
      </c>
      <c r="CP10" s="8">
        <v>2.2176570662478189E-3</v>
      </c>
      <c r="CQ10" s="8">
        <v>6.4489845731340017E-3</v>
      </c>
      <c r="CR10" s="8">
        <v>2.2344383019746953E-3</v>
      </c>
      <c r="CS10" s="8">
        <v>2.6497520118054859E-3</v>
      </c>
      <c r="CT10" s="8">
        <v>9.3156612418815298E-3</v>
      </c>
      <c r="CU10" s="8">
        <v>7.9703875241237329E-3</v>
      </c>
      <c r="CV10" s="8">
        <v>6.1062893631147553E-3</v>
      </c>
      <c r="CW10" s="8">
        <v>8.2286075383903399E-3</v>
      </c>
      <c r="CX10" s="8">
        <v>2.8373502573667444E-3</v>
      </c>
      <c r="CY10" s="8">
        <v>2.5475141063691946E-3</v>
      </c>
      <c r="CZ10" s="8">
        <v>4.0888469400962796E-3</v>
      </c>
      <c r="DA10" s="8">
        <v>3.8362888665740488E-3</v>
      </c>
      <c r="DB10" s="8">
        <v>4.9461349931911869E-3</v>
      </c>
      <c r="DC10" s="8">
        <v>1.4365852543019736E-3</v>
      </c>
      <c r="DD10" s="8">
        <v>9.4685888660964417E-4</v>
      </c>
      <c r="DE10" s="8">
        <v>5.5577670877574904E-3</v>
      </c>
      <c r="DF10" s="8">
        <v>2.9499913624613312E-3</v>
      </c>
      <c r="DG10" s="8">
        <v>2.0491678484843793E-3</v>
      </c>
      <c r="DH10" s="8">
        <v>4.0102845764371049E-3</v>
      </c>
      <c r="DI10" s="8">
        <v>3.5093776635725278E-3</v>
      </c>
      <c r="DJ10" s="8">
        <v>5.5212307842637167E-3</v>
      </c>
      <c r="DK10" s="8">
        <v>2.9369300601685155E-3</v>
      </c>
      <c r="DL10" s="8">
        <v>7.3084062942162815E-3</v>
      </c>
      <c r="DM10" s="8">
        <v>2.0296324170738897E-3</v>
      </c>
      <c r="DN10" s="8">
        <v>4.0550843077755642E-3</v>
      </c>
      <c r="DP10" s="8">
        <v>5.0021013725353855E-3</v>
      </c>
      <c r="DQ10" s="8">
        <v>5.4612685665750543E-3</v>
      </c>
      <c r="DR10" s="8">
        <v>2.9982878719381368E-3</v>
      </c>
      <c r="DS10" s="8">
        <v>4.9692334258537975E-3</v>
      </c>
      <c r="DT10" s="8">
        <v>9.0282432018594146E-3</v>
      </c>
      <c r="DU10" s="8">
        <v>2.249817747463536E-4</v>
      </c>
      <c r="DV10" s="8">
        <v>1.0630204678020929E-3</v>
      </c>
      <c r="DW10" s="8">
        <v>1.920427414525901E-4</v>
      </c>
      <c r="DX10" s="8">
        <v>3.0283178544926974E-4</v>
      </c>
      <c r="DY10" s="8">
        <v>1.268087696547981E-4</v>
      </c>
      <c r="EA10" s="8">
        <v>6.5903372991579594E-5</v>
      </c>
      <c r="EB10" s="8">
        <v>1.4523484745031733E-4</v>
      </c>
      <c r="EC10" s="8">
        <v>4.4889670753854851E-3</v>
      </c>
      <c r="ED10" s="8">
        <v>3.4715436454135669E-3</v>
      </c>
      <c r="EE10" s="8">
        <v>1.0736797577497029E-2</v>
      </c>
      <c r="EF10" s="8">
        <v>7.9606189148797666E-3</v>
      </c>
      <c r="EG10" s="8">
        <v>3.1153822079874635E-3</v>
      </c>
      <c r="EH10" s="8">
        <v>4.7864820973884219E-3</v>
      </c>
      <c r="EI10" s="8">
        <v>1.4974156642761133E-3</v>
      </c>
      <c r="EJ10" s="8">
        <v>7.8287391405125108E-3</v>
      </c>
      <c r="ES10" s="8">
        <v>5.1735693187665941E-3</v>
      </c>
      <c r="ET10" s="8">
        <v>3.6253690991402956E-3</v>
      </c>
      <c r="EU10" s="8">
        <v>7.5137220640927472E-3</v>
      </c>
      <c r="EV10" s="8">
        <v>2.9791251851081376E-3</v>
      </c>
      <c r="EW10" s="8">
        <v>5.0386087903535673E-3</v>
      </c>
      <c r="EX10" s="8">
        <v>6.2037118228800148E-3</v>
      </c>
      <c r="EY10" s="8">
        <v>5.7539334736970132E-3</v>
      </c>
      <c r="EZ10" s="8">
        <v>8.7371274129982995E-3</v>
      </c>
      <c r="FA10" s="8">
        <v>4.208767582305404E-3</v>
      </c>
      <c r="FB10" s="8">
        <v>8.0573788631544355E-3</v>
      </c>
      <c r="FC10" s="8">
        <v>1.0393303171063096E-2</v>
      </c>
      <c r="FD10" s="8">
        <v>9.4002437024768657E-3</v>
      </c>
      <c r="FE10" s="8">
        <v>4.418527061193455E-3</v>
      </c>
      <c r="FF10" s="8">
        <v>3.2045888550124137E-3</v>
      </c>
      <c r="FG10" s="8">
        <v>8.7540848022624167E-3</v>
      </c>
      <c r="FH10" s="8">
        <v>8.6562852868281078E-3</v>
      </c>
      <c r="FI10" s="8">
        <v>7.5379717187310791E-3</v>
      </c>
      <c r="FJ10" s="8">
        <v>7.2303449084013833E-3</v>
      </c>
      <c r="FK10" s="8">
        <v>2.1561532025903716E-3</v>
      </c>
      <c r="FL10" s="8">
        <v>3.0164380732091447E-3</v>
      </c>
      <c r="FM10" s="8">
        <v>2.5169220805017333E-3</v>
      </c>
      <c r="FN10" s="8">
        <v>2.7464068576559661E-3</v>
      </c>
      <c r="FO10" s="8">
        <v>1.3393518937122261E-3</v>
      </c>
      <c r="FP10" s="8">
        <v>8.6546345067706459E-3</v>
      </c>
      <c r="FQ10" s="8">
        <v>6.8113759713474224E-3</v>
      </c>
      <c r="FS10" s="8">
        <v>2.8092842496984338E-3</v>
      </c>
      <c r="FT10" s="8">
        <v>1.1041878763812377E-3</v>
      </c>
      <c r="FU10" s="8">
        <v>5.7568227674615507E-4</v>
      </c>
      <c r="FV10" s="8">
        <v>5.7944229535298597E-3</v>
      </c>
      <c r="FW10" s="8">
        <v>4.4364753105898156E-3</v>
      </c>
      <c r="FX10" s="8">
        <v>8.0624338950043249E-3</v>
      </c>
      <c r="FY10" s="8">
        <v>3.8010206258360948E-3</v>
      </c>
      <c r="FZ10" s="8">
        <v>2.0948309389757745E-3</v>
      </c>
      <c r="GA10" s="8">
        <v>2.1709116425430081E-3</v>
      </c>
      <c r="GB10" s="8">
        <v>4.4008115622330033E-3</v>
      </c>
      <c r="GC10" s="8">
        <v>3.3042439933887364E-3</v>
      </c>
      <c r="GD10" s="8">
        <v>4.0690120417551968E-3</v>
      </c>
      <c r="GE10" s="8">
        <v>4.2670240573434992E-3</v>
      </c>
      <c r="GF10" s="8">
        <v>9.7079982327536434E-3</v>
      </c>
      <c r="GG10" s="8">
        <v>5.7601670739629435E-3</v>
      </c>
      <c r="GH10" s="8">
        <v>2.0692270112043559E-3</v>
      </c>
      <c r="GI10" s="8">
        <v>3.7648556265041299E-3</v>
      </c>
      <c r="GJ10" s="8">
        <v>3.7642872006600899E-3</v>
      </c>
      <c r="GK10" s="8">
        <v>1.2045912152488882E-2</v>
      </c>
      <c r="GL10" s="8">
        <v>4.548796159580838E-3</v>
      </c>
      <c r="GM10" s="8">
        <v>1.5055192396575217E-2</v>
      </c>
      <c r="GN10" s="8">
        <v>6.7310486997437741E-3</v>
      </c>
      <c r="GO10" s="8">
        <v>5.8673982515771777E-3</v>
      </c>
      <c r="GP10" s="8">
        <v>6.2186154411979187E-3</v>
      </c>
      <c r="GQ10" s="8">
        <v>1.7663515490965694E-3</v>
      </c>
      <c r="GR10" s="8">
        <v>2.4821486621199682E-3</v>
      </c>
      <c r="GT10" s="8">
        <v>7.1959870142546522E-3</v>
      </c>
      <c r="GU10" s="8">
        <v>2.1829367979133338E-3</v>
      </c>
      <c r="GV10" s="8">
        <v>2.6428432474936889E-3</v>
      </c>
      <c r="GW10" s="8">
        <v>5.3500371155989065E-3</v>
      </c>
      <c r="GX10" s="8">
        <v>8.9954027726201567E-3</v>
      </c>
      <c r="GY10" s="8">
        <v>6.1712189334045238E-3</v>
      </c>
      <c r="GZ10" s="8">
        <v>5.2138238782249218E-3</v>
      </c>
      <c r="HB10" s="8">
        <v>3.2779728690637711E-3</v>
      </c>
      <c r="HC10" s="8">
        <v>5.1968780308546741E-3</v>
      </c>
      <c r="HD10" s="8">
        <v>5.8339595230568969E-3</v>
      </c>
      <c r="HE10" s="8">
        <v>3.1055806883631561E-3</v>
      </c>
      <c r="HF10" s="8">
        <v>3.454319268664225E-2</v>
      </c>
      <c r="HG10" s="8">
        <v>3.5999121365227881E-3</v>
      </c>
      <c r="HH10" s="8">
        <v>5.9752454453085831E-3</v>
      </c>
      <c r="HI10" s="8">
        <v>4.6780484661364244E-3</v>
      </c>
      <c r="HJ10" s="8">
        <v>2.8137159547818036E-3</v>
      </c>
      <c r="HK10" s="8">
        <v>9.4003251535016517E-3</v>
      </c>
      <c r="HL10" s="8">
        <v>0</v>
      </c>
      <c r="HM10" s="8">
        <v>5.8986039104186377E-3</v>
      </c>
      <c r="HN10" s="8">
        <v>9.2418998559525133E-3</v>
      </c>
      <c r="HO10" s="8">
        <v>3.467279795641182E-3</v>
      </c>
      <c r="HP10" s="8">
        <v>6.6892223960639575E-3</v>
      </c>
      <c r="HQ10" s="8">
        <v>0.99999999999999956</v>
      </c>
    </row>
    <row r="11" spans="1:226" x14ac:dyDescent="0.3">
      <c r="A11" s="66" t="s">
        <v>727</v>
      </c>
      <c r="B11" s="67">
        <v>1765897.7042000003</v>
      </c>
      <c r="D11" s="3">
        <v>6620.0850325729907</v>
      </c>
      <c r="E11" s="3">
        <v>7675.3126710894094</v>
      </c>
      <c r="F11" s="3">
        <v>16026.392353461442</v>
      </c>
      <c r="G11" s="3">
        <v>11342.534666238109</v>
      </c>
      <c r="I11" s="3">
        <v>2605.4104322994835</v>
      </c>
      <c r="J11" s="3">
        <v>1550.2396760856218</v>
      </c>
      <c r="K11" s="3">
        <v>12612.182840090096</v>
      </c>
      <c r="O11" s="3">
        <v>5408.213237849629</v>
      </c>
      <c r="P11" s="3">
        <v>5966.5019844957478</v>
      </c>
      <c r="Q11" s="3">
        <v>6090.3307133986209</v>
      </c>
      <c r="R11" s="3">
        <v>4448.5458457476207</v>
      </c>
      <c r="S11" s="3">
        <v>4380.1660392950216</v>
      </c>
      <c r="T11" s="3">
        <v>10702.536244266046</v>
      </c>
      <c r="U11" s="3">
        <v>6531.3193906783354</v>
      </c>
      <c r="V11" s="3">
        <v>6556.318084315024</v>
      </c>
      <c r="W11" s="3">
        <v>365.02802348551131</v>
      </c>
      <c r="X11" s="3">
        <v>16112.551653644585</v>
      </c>
      <c r="Y11" s="3">
        <v>5187.8684511403126</v>
      </c>
      <c r="Z11" s="3">
        <v>9305.903317264525</v>
      </c>
      <c r="AA11" s="3">
        <v>16654.983582303485</v>
      </c>
      <c r="AB11" s="3">
        <v>6586.60804521927</v>
      </c>
      <c r="AC11" s="3">
        <v>15036.608747583141</v>
      </c>
      <c r="AD11" s="3">
        <v>4690.7079609159709</v>
      </c>
      <c r="AE11" s="3">
        <v>7991.0785986770225</v>
      </c>
      <c r="AF11" s="3">
        <v>9901.9834795588431</v>
      </c>
      <c r="AG11" s="3">
        <v>22844.804543096085</v>
      </c>
      <c r="AH11" s="3">
        <v>11511.901452519758</v>
      </c>
      <c r="AI11" s="3">
        <v>3470.1120115280314</v>
      </c>
      <c r="AJ11" s="3">
        <v>5529.5437283742876</v>
      </c>
      <c r="AK11" s="3">
        <v>10147.588052369434</v>
      </c>
      <c r="AL11" s="3">
        <v>6418.6707300718026</v>
      </c>
      <c r="AM11" s="3">
        <v>6196.0501120914278</v>
      </c>
      <c r="AN11" s="3">
        <v>8944.1874073772378</v>
      </c>
      <c r="AO11" s="3">
        <v>6082.7641540287505</v>
      </c>
      <c r="AP11" s="3">
        <v>4010.7241108816434</v>
      </c>
      <c r="AQ11" s="3">
        <v>7234.7952272924967</v>
      </c>
      <c r="AR11" s="3">
        <v>7999.6961327223526</v>
      </c>
      <c r="AS11" s="3">
        <v>791.99373047066456</v>
      </c>
      <c r="AT11" s="3">
        <v>175.4341869570946</v>
      </c>
      <c r="AU11" s="3">
        <v>6619.9629108523322</v>
      </c>
      <c r="AV11" s="3">
        <v>2814.2730814232818</v>
      </c>
      <c r="AW11" s="3">
        <v>8121.8909107446425</v>
      </c>
      <c r="AX11" s="3">
        <v>21190.536840669545</v>
      </c>
      <c r="AY11" s="3">
        <v>7590.6209882291341</v>
      </c>
      <c r="AZ11" s="3">
        <v>13450.05848280642</v>
      </c>
      <c r="BA11" s="3">
        <v>7343.8629986816077</v>
      </c>
      <c r="BB11" s="3">
        <v>18111.270543586794</v>
      </c>
      <c r="BC11" s="3">
        <v>6844.9670590605056</v>
      </c>
      <c r="BD11" s="3">
        <v>13758.693634162008</v>
      </c>
      <c r="BE11" s="3">
        <v>9320.3301249488068</v>
      </c>
      <c r="BF11" s="3">
        <v>9373.434337320894</v>
      </c>
      <c r="BG11" s="3">
        <v>20941.063732116272</v>
      </c>
      <c r="BH11" s="3">
        <v>17272.819473027768</v>
      </c>
      <c r="BI11" s="3">
        <v>20467.467477083552</v>
      </c>
      <c r="BJ11" s="3">
        <v>20204.031785135114</v>
      </c>
      <c r="BK11" s="3">
        <v>4789.1693395530174</v>
      </c>
      <c r="BL11" s="3">
        <v>9463.9548386871174</v>
      </c>
      <c r="BM11" s="3">
        <v>15090.943612614836</v>
      </c>
      <c r="BN11" s="3">
        <v>7763.3031231214827</v>
      </c>
      <c r="BO11" s="3">
        <v>5476.4222626023693</v>
      </c>
      <c r="BP11" s="3">
        <v>6780.0744612559511</v>
      </c>
      <c r="BQ11" s="3">
        <v>3799.4347980304769</v>
      </c>
      <c r="BR11" s="3">
        <v>12989.414004564876</v>
      </c>
      <c r="BS11" s="3">
        <v>0.92467439703059306</v>
      </c>
      <c r="BT11" s="3">
        <v>9488.9303480677881</v>
      </c>
      <c r="BU11" s="3">
        <v>4583.9743858145248</v>
      </c>
      <c r="BV11" s="3">
        <v>15379.103561308943</v>
      </c>
      <c r="BW11" s="3">
        <v>2861.2241652895341</v>
      </c>
      <c r="BX11" s="3">
        <v>15491.532106275479</v>
      </c>
      <c r="BY11" s="3">
        <v>8357.7923332426017</v>
      </c>
      <c r="BZ11" s="3">
        <v>5472.0610614192892</v>
      </c>
      <c r="CA11" s="3">
        <v>5537.5466100507465</v>
      </c>
      <c r="CB11" s="3">
        <v>21796.309100317227</v>
      </c>
      <c r="CC11" s="3">
        <v>5375.4959392570854</v>
      </c>
      <c r="CD11" s="3">
        <v>4169.1465804005402</v>
      </c>
      <c r="CE11" s="3">
        <v>3517.1116205813</v>
      </c>
      <c r="CF11" s="3">
        <v>6144.0843545236112</v>
      </c>
      <c r="CG11" s="3">
        <v>7349.948865886553</v>
      </c>
      <c r="CH11" s="3">
        <v>3178.3412497511763</v>
      </c>
      <c r="CI11" s="3">
        <v>5527.0809403410312</v>
      </c>
      <c r="CJ11" s="3">
        <v>4049.195283524632</v>
      </c>
      <c r="CK11" s="3">
        <v>2591.0551992660494</v>
      </c>
      <c r="CL11" s="3">
        <v>1287.4698575368016</v>
      </c>
      <c r="CM11" s="3">
        <v>10333.336133034631</v>
      </c>
      <c r="CN11" s="3">
        <v>19217.360665627348</v>
      </c>
      <c r="CO11" s="3">
        <v>5289.1933549800597</v>
      </c>
      <c r="CP11" s="3">
        <v>4134.3409464678807</v>
      </c>
      <c r="CQ11" s="3">
        <v>12313.291007118616</v>
      </c>
      <c r="CR11" s="3">
        <v>3996.9556282345475</v>
      </c>
      <c r="CS11" s="3">
        <v>6227.3826905555916</v>
      </c>
      <c r="CT11" s="3">
        <v>19317.701990884714</v>
      </c>
      <c r="CU11" s="3">
        <v>14180.202144698449</v>
      </c>
      <c r="CV11" s="3">
        <v>8262.9956845627657</v>
      </c>
      <c r="CW11" s="3">
        <v>15822.523080873791</v>
      </c>
      <c r="CX11" s="3">
        <v>5477.4880644183049</v>
      </c>
      <c r="CY11" s="3">
        <v>4012.2178778886255</v>
      </c>
      <c r="CZ11" s="3">
        <v>5431.0962333324132</v>
      </c>
      <c r="DA11" s="3">
        <v>4286.0562915958371</v>
      </c>
      <c r="DB11" s="3">
        <v>7710.9803010525384</v>
      </c>
      <c r="DC11" s="3">
        <v>3383.0917936519118</v>
      </c>
      <c r="DD11" s="3">
        <v>3106.449432888282</v>
      </c>
      <c r="DE11" s="3">
        <v>10563.509965958448</v>
      </c>
      <c r="DF11" s="3">
        <v>5061.3913253638457</v>
      </c>
      <c r="DG11" s="3">
        <v>4289.2419701234485</v>
      </c>
      <c r="DH11" s="3">
        <v>8024.6263519284757</v>
      </c>
      <c r="DI11" s="3">
        <v>5740.875231179717</v>
      </c>
      <c r="DJ11" s="3">
        <v>10533.762408811293</v>
      </c>
      <c r="DK11" s="3">
        <v>5874.0492371409791</v>
      </c>
      <c r="DL11" s="3">
        <v>13572.259056892724</v>
      </c>
      <c r="DM11" s="3">
        <v>4091.2137821306887</v>
      </c>
      <c r="DN11" s="3">
        <v>5652.6739641684999</v>
      </c>
      <c r="DP11" s="3">
        <v>8809.5600720648436</v>
      </c>
      <c r="DQ11" s="3">
        <v>9048.366805343212</v>
      </c>
      <c r="DR11" s="3">
        <v>5057.5788631706073</v>
      </c>
      <c r="DS11" s="3">
        <v>8368.6858333511755</v>
      </c>
      <c r="DT11" s="3">
        <v>17438.535547739571</v>
      </c>
      <c r="DU11" s="3">
        <v>404.37790639005084</v>
      </c>
      <c r="DV11" s="3">
        <v>1428.429190586063</v>
      </c>
      <c r="DW11" s="3">
        <v>454.59136553783839</v>
      </c>
      <c r="DX11" s="3">
        <v>614.03906442463779</v>
      </c>
      <c r="DY11" s="3">
        <v>366.37446263302422</v>
      </c>
      <c r="EA11" s="3">
        <v>167.72259119492017</v>
      </c>
      <c r="EB11" s="3">
        <v>283.71975928994033</v>
      </c>
      <c r="EC11" s="3">
        <v>6835.685943082728</v>
      </c>
      <c r="ED11" s="3">
        <v>4769.6562835163222</v>
      </c>
      <c r="EE11" s="3">
        <v>20918.717748703137</v>
      </c>
      <c r="EF11" s="3">
        <v>13944.893942611763</v>
      </c>
      <c r="EG11" s="3">
        <v>5431.1409843382171</v>
      </c>
      <c r="EH11" s="3">
        <v>8368.0595888542939</v>
      </c>
      <c r="EI11" s="3">
        <v>3404.5524619863768</v>
      </c>
      <c r="EJ11" s="3">
        <v>13633.940096069922</v>
      </c>
      <c r="ES11" s="3">
        <v>11185.730916082757</v>
      </c>
      <c r="ET11" s="3">
        <v>6605.8794188661886</v>
      </c>
      <c r="EU11" s="3">
        <v>12516.436580458792</v>
      </c>
      <c r="EV11" s="3">
        <v>5002.1337149015462</v>
      </c>
      <c r="EW11" s="3">
        <v>7345.4109521474247</v>
      </c>
      <c r="EX11" s="3">
        <v>7970.3327333057441</v>
      </c>
      <c r="EY11" s="3">
        <v>8928.9839271163255</v>
      </c>
      <c r="EZ11" s="3">
        <v>15204.996403424551</v>
      </c>
      <c r="FA11" s="3">
        <v>7362.2619972997254</v>
      </c>
      <c r="FB11" s="3">
        <v>17366.121950324065</v>
      </c>
      <c r="FC11" s="3">
        <v>17703.131935202986</v>
      </c>
      <c r="FD11" s="3">
        <v>17275.037748035342</v>
      </c>
      <c r="FE11" s="3">
        <v>4194.6716375241695</v>
      </c>
      <c r="FF11" s="3">
        <v>3934.858889955241</v>
      </c>
      <c r="FG11" s="3">
        <v>14884.090041025693</v>
      </c>
      <c r="FH11" s="3">
        <v>13669.118160812928</v>
      </c>
      <c r="FI11" s="3">
        <v>9329.8719290146055</v>
      </c>
      <c r="FJ11" s="3">
        <v>11176.907284784798</v>
      </c>
      <c r="FK11" s="3">
        <v>5254.4675180216045</v>
      </c>
      <c r="FL11" s="3">
        <v>6410.4117432416488</v>
      </c>
      <c r="FM11" s="3">
        <v>4751.1588866023103</v>
      </c>
      <c r="FN11" s="3">
        <v>5166.7777873568466</v>
      </c>
      <c r="FO11" s="3">
        <v>3697.6631928858101</v>
      </c>
      <c r="FP11" s="3">
        <v>15692.293610219118</v>
      </c>
      <c r="FQ11" s="3">
        <v>11099.116692271338</v>
      </c>
      <c r="FS11" s="3">
        <v>5295.2072431575998</v>
      </c>
      <c r="FT11" s="3">
        <v>2751.8804742953635</v>
      </c>
      <c r="FU11" s="3">
        <v>8213.6477260422871</v>
      </c>
      <c r="FV11" s="3">
        <v>11376.399855087955</v>
      </c>
      <c r="FW11" s="3">
        <v>7802.4651057185192</v>
      </c>
      <c r="FX11" s="3">
        <v>14094.336691481127</v>
      </c>
      <c r="FY11" s="3">
        <v>5556.9206953435123</v>
      </c>
      <c r="FZ11" s="3">
        <v>4449.5338724721441</v>
      </c>
      <c r="GA11" s="3">
        <v>3672.1247913357515</v>
      </c>
      <c r="GB11" s="3">
        <v>5578.8562365498065</v>
      </c>
      <c r="GC11" s="3">
        <v>5324.4644263315167</v>
      </c>
      <c r="GD11" s="3">
        <v>7306.1713292511613</v>
      </c>
      <c r="GE11" s="3">
        <v>8879.9480125067948</v>
      </c>
      <c r="GF11" s="3">
        <v>18099.623420365428</v>
      </c>
      <c r="GG11" s="3">
        <v>9304.6450322067558</v>
      </c>
      <c r="GH11" s="3">
        <v>4505.4792345440319</v>
      </c>
      <c r="GI11" s="3">
        <v>5898.5660487121622</v>
      </c>
      <c r="GJ11" s="3">
        <v>6798.8595046952178</v>
      </c>
      <c r="GK11" s="3">
        <v>17129.278734821433</v>
      </c>
      <c r="GL11" s="3">
        <v>8789.9309599558674</v>
      </c>
      <c r="GM11" s="3">
        <v>30038.722287638338</v>
      </c>
      <c r="GN11" s="3">
        <v>13727.100906778569</v>
      </c>
      <c r="GO11" s="3">
        <v>10521.277821737334</v>
      </c>
      <c r="GP11" s="3">
        <v>10403.440335924724</v>
      </c>
      <c r="GQ11" s="3">
        <v>4709.3440589895354</v>
      </c>
      <c r="GR11" s="3">
        <v>4030.4013438010779</v>
      </c>
      <c r="GT11" s="3">
        <v>12810.803304948824</v>
      </c>
      <c r="GU11" s="3">
        <v>5657.0645500481614</v>
      </c>
      <c r="GV11" s="3">
        <v>4494.0717718296437</v>
      </c>
      <c r="GW11" s="3">
        <v>10455.674464735179</v>
      </c>
      <c r="GX11" s="3">
        <v>18889.985761007039</v>
      </c>
      <c r="GY11" s="3">
        <v>9632.961325455175</v>
      </c>
      <c r="GZ11" s="3">
        <v>8991.8553160894699</v>
      </c>
      <c r="HB11" s="3">
        <v>6597.177235327953</v>
      </c>
      <c r="HC11" s="3">
        <v>10520.257040511577</v>
      </c>
      <c r="HD11" s="3">
        <v>7310.5685199479421</v>
      </c>
      <c r="HE11" s="3">
        <v>5006.8674816871599</v>
      </c>
      <c r="HF11" s="3">
        <v>39417.613821407947</v>
      </c>
      <c r="HG11" s="3">
        <v>5872.6022430225948</v>
      </c>
      <c r="HH11" s="3">
        <v>10928.719419726527</v>
      </c>
      <c r="HI11" s="3">
        <v>6823.5724388972558</v>
      </c>
      <c r="HJ11" s="3">
        <v>5714.3502856191835</v>
      </c>
      <c r="HK11" s="3">
        <v>13175.680495978029</v>
      </c>
      <c r="HL11" s="3">
        <v>2.2077612170501575</v>
      </c>
      <c r="HM11" s="3">
        <v>11738.787838815413</v>
      </c>
      <c r="HN11" s="3">
        <v>18204.407361286307</v>
      </c>
      <c r="HO11" s="3">
        <v>6362.4269380997657</v>
      </c>
      <c r="HP11" s="3">
        <v>10631.195188275786</v>
      </c>
      <c r="HQ11" s="3">
        <v>1766324.2432000011</v>
      </c>
    </row>
    <row r="12" spans="1:226" x14ac:dyDescent="0.3">
      <c r="A12" s="66" t="s">
        <v>984</v>
      </c>
      <c r="B12" s="68">
        <v>1.0000000000000004</v>
      </c>
      <c r="D12" s="8">
        <v>3.7479443868015817E-3</v>
      </c>
      <c r="E12" s="8">
        <v>4.3453588437331655E-3</v>
      </c>
      <c r="F12" s="8">
        <v>9.0733014706444164E-3</v>
      </c>
      <c r="G12" s="8">
        <v>6.4215472951269469E-3</v>
      </c>
      <c r="I12" s="8">
        <v>1.4750465223640566E-3</v>
      </c>
      <c r="J12" s="8">
        <v>8.7766426920410508E-4</v>
      </c>
      <c r="K12" s="8">
        <v>7.1403553954742542E-3</v>
      </c>
      <c r="O12" s="8">
        <v>3.0618462372750555E-3</v>
      </c>
      <c r="P12" s="8">
        <v>3.3779199982481162E-3</v>
      </c>
      <c r="Q12" s="8">
        <v>3.4480253197255229E-3</v>
      </c>
      <c r="R12" s="8">
        <v>2.5185329720030995E-3</v>
      </c>
      <c r="S12" s="8">
        <v>2.4798199176384503E-3</v>
      </c>
      <c r="T12" s="8">
        <v>6.0592138082623858E-3</v>
      </c>
      <c r="U12" s="8">
        <v>3.6976899432947423E-3</v>
      </c>
      <c r="V12" s="8">
        <v>3.7118428904294085E-3</v>
      </c>
      <c r="W12" s="8">
        <v>2.0665969166804864E-4</v>
      </c>
      <c r="X12" s="8">
        <v>9.1220803403875214E-3</v>
      </c>
      <c r="Y12" s="8">
        <v>2.9370985939374292E-3</v>
      </c>
      <c r="Z12" s="8">
        <v>5.268513611297823E-3</v>
      </c>
      <c r="AA12" s="8">
        <v>9.4291768039882207E-3</v>
      </c>
      <c r="AB12" s="8">
        <v>3.7289914751362403E-3</v>
      </c>
      <c r="AC12" s="8">
        <v>8.5129379871623917E-3</v>
      </c>
      <c r="AD12" s="8">
        <v>2.6556324406315952E-3</v>
      </c>
      <c r="AE12" s="8">
        <v>4.5241289244832032E-3</v>
      </c>
      <c r="AF12" s="8">
        <v>5.6059828865960074E-3</v>
      </c>
      <c r="AG12" s="8">
        <v>1.2933528275481741E-2</v>
      </c>
      <c r="AH12" s="8">
        <v>6.5174338725397163E-3</v>
      </c>
      <c r="AI12" s="8">
        <v>1.9645951330211761E-3</v>
      </c>
      <c r="AJ12" s="8">
        <v>3.1305371874172827E-3</v>
      </c>
      <c r="AK12" s="8">
        <v>5.7450312939063414E-3</v>
      </c>
      <c r="AL12" s="8">
        <v>3.6339141891883215E-3</v>
      </c>
      <c r="AM12" s="8">
        <v>3.5078780897363549E-3</v>
      </c>
      <c r="AN12" s="8">
        <v>5.0637290643609726E-3</v>
      </c>
      <c r="AO12" s="8">
        <v>3.4437415312880372E-3</v>
      </c>
      <c r="AP12" s="8">
        <v>2.2706613048663862E-3</v>
      </c>
      <c r="AQ12" s="8">
        <v>4.0959610078076169E-3</v>
      </c>
      <c r="AR12" s="8">
        <v>4.5290077195733495E-3</v>
      </c>
      <c r="AS12" s="8">
        <v>4.4838524609492529E-4</v>
      </c>
      <c r="AT12" s="8">
        <v>9.932162094954064E-5</v>
      </c>
      <c r="AU12" s="8">
        <v>3.747875247898502E-3</v>
      </c>
      <c r="AV12" s="8">
        <v>1.5932935825671186E-3</v>
      </c>
      <c r="AW12" s="8">
        <v>4.5981879838949856E-3</v>
      </c>
      <c r="AX12" s="8">
        <v>1.199696880244323E-2</v>
      </c>
      <c r="AY12" s="8">
        <v>4.2974108618230936E-3</v>
      </c>
      <c r="AZ12" s="8">
        <v>7.6147165700671867E-3</v>
      </c>
      <c r="BA12" s="8">
        <v>4.157709450546259E-3</v>
      </c>
      <c r="BB12" s="8">
        <v>1.0253649981486477E-2</v>
      </c>
      <c r="BC12" s="8">
        <v>3.8752607769565977E-3</v>
      </c>
      <c r="BD12" s="8">
        <v>7.7894495799003313E-3</v>
      </c>
      <c r="BE12" s="8">
        <v>5.2766813119563081E-3</v>
      </c>
      <c r="BF12" s="8">
        <v>5.3067461273923911E-3</v>
      </c>
      <c r="BG12" s="8">
        <v>1.1855730233412831E-2</v>
      </c>
      <c r="BH12" s="8">
        <v>9.7789630298767173E-3</v>
      </c>
      <c r="BI12" s="8">
        <v>1.1587604912223375E-2</v>
      </c>
      <c r="BJ12" s="8">
        <v>1.1438461461940896E-2</v>
      </c>
      <c r="BK12" s="8">
        <v>2.7113761009567613E-3</v>
      </c>
      <c r="BL12" s="8">
        <v>5.3579940801477864E-3</v>
      </c>
      <c r="BM12" s="8">
        <v>8.5436995334871244E-3</v>
      </c>
      <c r="BN12" s="8">
        <v>4.3951744154611871E-3</v>
      </c>
      <c r="BO12" s="8">
        <v>3.1004626040125509E-3</v>
      </c>
      <c r="BP12" s="8">
        <v>3.8385219969424649E-3</v>
      </c>
      <c r="BQ12" s="8">
        <v>2.1510403951355774E-3</v>
      </c>
      <c r="BR12" s="8">
        <v>7.3539238645291549E-3</v>
      </c>
      <c r="BS12" s="8">
        <v>5.2350206967401782E-7</v>
      </c>
      <c r="BT12" s="8">
        <v>5.3721339015745835E-3</v>
      </c>
      <c r="BU12" s="8">
        <v>2.5952054972137326E-3</v>
      </c>
      <c r="BV12" s="8">
        <v>8.7068405591529761E-3</v>
      </c>
      <c r="BW12" s="8">
        <v>1.6198748198722197E-3</v>
      </c>
      <c r="BX12" s="8">
        <v>8.7704916953468912E-3</v>
      </c>
      <c r="BY12" s="8">
        <v>4.7317429772129639E-3</v>
      </c>
      <c r="BZ12" s="8">
        <v>3.0979935210002614E-3</v>
      </c>
      <c r="CA12" s="8">
        <v>3.1350679986243803E-3</v>
      </c>
      <c r="CB12" s="8">
        <v>1.2339925234128853E-2</v>
      </c>
      <c r="CC12" s="8">
        <v>3.0433234214792024E-3</v>
      </c>
      <c r="CD12" s="8">
        <v>2.3603517850422609E-3</v>
      </c>
      <c r="CE12" s="8">
        <v>1.9912038427380967E-3</v>
      </c>
      <c r="CF12" s="8">
        <v>3.4784578076064603E-3</v>
      </c>
      <c r="CG12" s="8">
        <v>4.1611549488619701E-3</v>
      </c>
      <c r="CH12" s="8">
        <v>1.7994098546669241E-3</v>
      </c>
      <c r="CI12" s="8">
        <v>3.1291428862051823E-3</v>
      </c>
      <c r="CJ12" s="8">
        <v>2.2924416618937526E-3</v>
      </c>
      <c r="CK12" s="8">
        <v>1.4669193435130053E-3</v>
      </c>
      <c r="CL12" s="8">
        <v>7.2889780146159853E-4</v>
      </c>
      <c r="CM12" s="8">
        <v>5.8501920996758879E-3</v>
      </c>
      <c r="CN12" s="8">
        <v>1.0879860104740338E-2</v>
      </c>
      <c r="CO12" s="8">
        <v>2.9944634318089742E-3</v>
      </c>
      <c r="CP12" s="8">
        <v>2.3406466634788479E-3</v>
      </c>
      <c r="CQ12" s="8">
        <v>6.9711385406854721E-3</v>
      </c>
      <c r="CR12" s="8">
        <v>2.2628663132615878E-3</v>
      </c>
      <c r="CS12" s="8">
        <v>3.5256169497360343E-3</v>
      </c>
      <c r="CT12" s="8">
        <v>1.093666809208675E-2</v>
      </c>
      <c r="CU12" s="8">
        <v>8.0280855563690714E-3</v>
      </c>
      <c r="CV12" s="8">
        <v>4.6780740944782203E-3</v>
      </c>
      <c r="CW12" s="8">
        <v>8.9578813979298462E-3</v>
      </c>
      <c r="CX12" s="8">
        <v>3.1010660050132667E-3</v>
      </c>
      <c r="CY12" s="8">
        <v>2.2715069972769008E-3</v>
      </c>
      <c r="CZ12" s="8">
        <v>3.0748013872543864E-3</v>
      </c>
      <c r="DA12" s="8">
        <v>2.4265399221554645E-3</v>
      </c>
      <c r="DB12" s="8">
        <v>4.3655519821676533E-3</v>
      </c>
      <c r="DC12" s="8">
        <v>1.915328856905038E-3</v>
      </c>
      <c r="DD12" s="8">
        <v>1.7587084844968301E-3</v>
      </c>
      <c r="DE12" s="8">
        <v>5.9805044326520914E-3</v>
      </c>
      <c r="DF12" s="8">
        <v>2.8654938892727117E-3</v>
      </c>
      <c r="DG12" s="8">
        <v>2.4283434859914228E-3</v>
      </c>
      <c r="DH12" s="8">
        <v>4.5431219000824485E-3</v>
      </c>
      <c r="DI12" s="8">
        <v>3.2501819828839218E-3</v>
      </c>
      <c r="DJ12" s="8">
        <v>5.963662928459598E-3</v>
      </c>
      <c r="DK12" s="8">
        <v>3.3255781093165151E-3</v>
      </c>
      <c r="DL12" s="8">
        <v>7.6839001158157949E-3</v>
      </c>
      <c r="DM12" s="8">
        <v>2.3162303285373881E-3</v>
      </c>
      <c r="DN12" s="8">
        <v>3.2002470587889969E-3</v>
      </c>
      <c r="DP12" s="8">
        <v>4.9875101391943831E-3</v>
      </c>
      <c r="DQ12" s="8">
        <v>5.122709966857807E-3</v>
      </c>
      <c r="DR12" s="8">
        <v>2.8633354734507494E-3</v>
      </c>
      <c r="DS12" s="8">
        <v>4.7379103047297047E-3</v>
      </c>
      <c r="DT12" s="8">
        <v>9.8727827661735934E-3</v>
      </c>
      <c r="DU12" s="8">
        <v>2.2893752828611515E-4</v>
      </c>
      <c r="DV12" s="8">
        <v>8.0870157112162948E-4</v>
      </c>
      <c r="DW12" s="8">
        <v>2.5736575110030084E-4</v>
      </c>
      <c r="DX12" s="8">
        <v>3.476366622881202E-4</v>
      </c>
      <c r="DY12" s="8">
        <v>2.0742197478378828E-4</v>
      </c>
      <c r="EA12" s="8">
        <v>9.4955720525616454E-5</v>
      </c>
      <c r="EB12" s="8">
        <v>1.6062722367210069E-4</v>
      </c>
      <c r="EC12" s="8">
        <v>3.8700062966348179E-3</v>
      </c>
      <c r="ED12" s="8">
        <v>2.7003288336660491E-3</v>
      </c>
      <c r="EE12" s="8">
        <v>1.1843079111457638E-2</v>
      </c>
      <c r="EF12" s="8">
        <v>7.8948664132855884E-3</v>
      </c>
      <c r="EG12" s="8">
        <v>3.0748267229230644E-3</v>
      </c>
      <c r="EH12" s="8">
        <v>4.7375557579927216E-3</v>
      </c>
      <c r="EI12" s="8">
        <v>1.9274787599690335E-3</v>
      </c>
      <c r="EJ12" s="8">
        <v>7.7188206800409978E-3</v>
      </c>
      <c r="ES12" s="8">
        <v>6.3327732488220202E-3</v>
      </c>
      <c r="ET12" s="8">
        <v>3.7399019145536402E-3</v>
      </c>
      <c r="EU12" s="8">
        <v>7.0861488929026524E-3</v>
      </c>
      <c r="EV12" s="8">
        <v>2.8319453430811332E-3</v>
      </c>
      <c r="EW12" s="8">
        <v>4.1585858204833057E-3</v>
      </c>
      <c r="EX12" s="8">
        <v>4.5123837053077627E-3</v>
      </c>
      <c r="EY12" s="8">
        <v>5.0551216524888642E-3</v>
      </c>
      <c r="EZ12" s="8">
        <v>8.6082702323544459E-3</v>
      </c>
      <c r="FA12" s="8">
        <v>4.1681259970489468E-3</v>
      </c>
      <c r="FB12" s="8">
        <v>9.8317859912641827E-3</v>
      </c>
      <c r="FC12" s="8">
        <v>1.0022583341284341E-2</v>
      </c>
      <c r="FD12" s="8">
        <v>9.7802189006581507E-3</v>
      </c>
      <c r="FE12" s="8">
        <v>2.3748027315329159E-3</v>
      </c>
      <c r="FF12" s="8">
        <v>2.2277104020417952E-3</v>
      </c>
      <c r="FG12" s="8">
        <v>8.4265899074456498E-3</v>
      </c>
      <c r="FH12" s="8">
        <v>7.738736652365125E-3</v>
      </c>
      <c r="FI12" s="8">
        <v>5.282083380179361E-3</v>
      </c>
      <c r="FJ12" s="8">
        <v>6.3277777722938978E-3</v>
      </c>
      <c r="FK12" s="8">
        <v>2.9748034871005533E-3</v>
      </c>
      <c r="FL12" s="8">
        <v>3.6292383846966213E-3</v>
      </c>
      <c r="FM12" s="8">
        <v>2.6898565792171716E-3</v>
      </c>
      <c r="FN12" s="8">
        <v>2.9251581680135585E-3</v>
      </c>
      <c r="FO12" s="8">
        <v>2.0934226584507828E-3</v>
      </c>
      <c r="FP12" s="8">
        <v>8.8841523127089241E-3</v>
      </c>
      <c r="FQ12" s="8">
        <v>6.2837368252181055E-3</v>
      </c>
      <c r="FS12" s="8">
        <v>2.9978681793804869E-3</v>
      </c>
      <c r="FT12" s="8">
        <v>1.5579701659474818E-3</v>
      </c>
      <c r="FU12" s="8">
        <v>4.6501358726537398E-3</v>
      </c>
      <c r="FV12" s="8">
        <v>6.4407199860868425E-3</v>
      </c>
      <c r="FW12" s="8">
        <v>4.4173458727957068E-3</v>
      </c>
      <c r="FX12" s="8">
        <v>7.9794730473419853E-3</v>
      </c>
      <c r="FY12" s="8">
        <v>3.1460365879801299E-3</v>
      </c>
      <c r="FZ12" s="8">
        <v>2.5190923408326487E-3</v>
      </c>
      <c r="GA12" s="8">
        <v>2.0789641570468777E-3</v>
      </c>
      <c r="GB12" s="8">
        <v>3.1584553391186833E-3</v>
      </c>
      <c r="GC12" s="8">
        <v>3.0144320595890907E-3</v>
      </c>
      <c r="GD12" s="8">
        <v>4.136370407289874E-3</v>
      </c>
      <c r="GE12" s="8">
        <v>5.0273600935348342E-3</v>
      </c>
      <c r="GF12" s="8">
        <v>1.024705599215173E-2</v>
      </c>
      <c r="GG12" s="8">
        <v>5.2678012363968881E-3</v>
      </c>
      <c r="GH12" s="8">
        <v>2.5507656659807731E-3</v>
      </c>
      <c r="GI12" s="8">
        <v>3.3394582401393624E-3</v>
      </c>
      <c r="GJ12" s="8">
        <v>3.849157101743628E-3</v>
      </c>
      <c r="GK12" s="8">
        <v>9.6976978042201383E-3</v>
      </c>
      <c r="GL12" s="8">
        <v>4.9763971670520688E-3</v>
      </c>
      <c r="GM12" s="8">
        <v>1.7006346599884762E-2</v>
      </c>
      <c r="GN12" s="8">
        <v>7.7715634372484002E-3</v>
      </c>
      <c r="GO12" s="8">
        <v>5.9565948110841946E-3</v>
      </c>
      <c r="GP12" s="8">
        <v>5.8898814167194502E-3</v>
      </c>
      <c r="GQ12" s="8">
        <v>2.6661832203909233E-3</v>
      </c>
      <c r="GR12" s="8">
        <v>2.2818015204837555E-3</v>
      </c>
      <c r="GT12" s="8">
        <v>7.2528038689769975E-3</v>
      </c>
      <c r="GU12" s="8">
        <v>3.2027327778728879E-3</v>
      </c>
      <c r="GV12" s="8">
        <v>2.5443073598355086E-3</v>
      </c>
      <c r="GW12" s="8">
        <v>5.9194536365491587E-3</v>
      </c>
      <c r="GX12" s="8">
        <v>1.0694517631023729E-2</v>
      </c>
      <c r="GY12" s="8">
        <v>5.4536766749027979E-3</v>
      </c>
      <c r="GZ12" s="8">
        <v>5.0907161302384549E-3</v>
      </c>
      <c r="HB12" s="8">
        <v>3.7349751953673202E-3</v>
      </c>
      <c r="HC12" s="8">
        <v>5.9560168983766671E-3</v>
      </c>
      <c r="HD12" s="8">
        <v>4.1388598656742614E-3</v>
      </c>
      <c r="HE12" s="8">
        <v>2.8346253531663923E-3</v>
      </c>
      <c r="HF12" s="8">
        <v>2.2316182305235289E-2</v>
      </c>
      <c r="HG12" s="8">
        <v>3.324758897258505E-3</v>
      </c>
      <c r="HH12" s="8">
        <v>6.1872668406154439E-3</v>
      </c>
      <c r="HI12" s="8">
        <v>3.8631482668975785E-3</v>
      </c>
      <c r="HJ12" s="8">
        <v>3.2351649520852735E-3</v>
      </c>
      <c r="HK12" s="8">
        <v>7.4593781672316409E-3</v>
      </c>
      <c r="HL12" s="8">
        <v>1.2499184255380081E-6</v>
      </c>
      <c r="HM12" s="8">
        <v>6.6458850259273929E-3</v>
      </c>
      <c r="HN12" s="8">
        <v>1.0306379155112481E-2</v>
      </c>
      <c r="HO12" s="8">
        <v>3.6020719087075069E-3</v>
      </c>
      <c r="HP12" s="8">
        <v>6.0188242499664441E-3</v>
      </c>
      <c r="HQ12" s="8">
        <v>1.0000000000000009</v>
      </c>
    </row>
    <row r="13" spans="1:226" x14ac:dyDescent="0.3">
      <c r="A13" s="66" t="s">
        <v>307</v>
      </c>
      <c r="B13" s="67">
        <v>3125482.6970000034</v>
      </c>
      <c r="D13" s="3">
        <v>11050.401854659833</v>
      </c>
      <c r="E13" s="3">
        <v>14117.06145959388</v>
      </c>
      <c r="F13" s="3">
        <v>28189.081393257737</v>
      </c>
      <c r="G13" s="3">
        <v>20622.869142302814</v>
      </c>
      <c r="I13" s="3">
        <v>6788.954926802121</v>
      </c>
      <c r="J13" s="3">
        <v>2811.5004020283727</v>
      </c>
      <c r="K13" s="3">
        <v>22821.8169910754</v>
      </c>
      <c r="O13" s="3">
        <v>9338.5261263983848</v>
      </c>
      <c r="P13" s="3">
        <v>10142.769777577367</v>
      </c>
      <c r="Q13" s="3">
        <v>10461.864057177911</v>
      </c>
      <c r="R13" s="3">
        <v>8022.0426707421939</v>
      </c>
      <c r="S13" s="3">
        <v>7637.9475664429974</v>
      </c>
      <c r="T13" s="3">
        <v>19285.14558015464</v>
      </c>
      <c r="U13" s="3">
        <v>12980.333278891474</v>
      </c>
      <c r="V13" s="3">
        <v>11668.661293386762</v>
      </c>
      <c r="W13" s="3">
        <v>676.4869670578355</v>
      </c>
      <c r="X13" s="3">
        <v>28010.278409394028</v>
      </c>
      <c r="Y13" s="3">
        <v>10291.398750896342</v>
      </c>
      <c r="Z13" s="3">
        <v>17639.347930349824</v>
      </c>
      <c r="AA13" s="3">
        <v>24752.378120997735</v>
      </c>
      <c r="AB13" s="3">
        <v>9586.2919842695737</v>
      </c>
      <c r="AC13" s="3">
        <v>21822.573110704241</v>
      </c>
      <c r="AD13" s="3">
        <v>7089.4800228934855</v>
      </c>
      <c r="AE13" s="3">
        <v>12194.539259609839</v>
      </c>
      <c r="AF13" s="3">
        <v>16945.491398208516</v>
      </c>
      <c r="AG13" s="3">
        <v>42104.665046051552</v>
      </c>
      <c r="AH13" s="3">
        <v>20089.15973908719</v>
      </c>
      <c r="AI13" s="3">
        <v>5948.7193069184068</v>
      </c>
      <c r="AJ13" s="3">
        <v>9933.7441742092906</v>
      </c>
      <c r="AK13" s="3">
        <v>18051.538138521333</v>
      </c>
      <c r="AL13" s="3">
        <v>11079.089137661917</v>
      </c>
      <c r="AM13" s="3">
        <v>10469.664774349189</v>
      </c>
      <c r="AN13" s="3">
        <v>16793.053665174994</v>
      </c>
      <c r="AO13" s="3">
        <v>11255.373835441376</v>
      </c>
      <c r="AP13" s="3">
        <v>8715.5793595655596</v>
      </c>
      <c r="AQ13" s="3">
        <v>13936.468693977858</v>
      </c>
      <c r="AR13" s="3">
        <v>12867.027248277958</v>
      </c>
      <c r="AS13" s="3">
        <v>791.99373047066456</v>
      </c>
      <c r="AT13" s="3">
        <v>339.31705533462946</v>
      </c>
      <c r="AU13" s="3">
        <v>13014.2631467015</v>
      </c>
      <c r="AV13" s="3">
        <v>4803.6952645784531</v>
      </c>
      <c r="AW13" s="3">
        <v>14347.118087813506</v>
      </c>
      <c r="AX13" s="3">
        <v>36480.649643779281</v>
      </c>
      <c r="AY13" s="3">
        <v>12972.044054399659</v>
      </c>
      <c r="AZ13" s="3">
        <v>23371.850016878536</v>
      </c>
      <c r="BA13" s="3">
        <v>11139.901938950445</v>
      </c>
      <c r="BB13" s="3">
        <v>34343.392089631787</v>
      </c>
      <c r="BC13" s="3">
        <v>13245.798354293984</v>
      </c>
      <c r="BD13" s="3">
        <v>24408.453271988707</v>
      </c>
      <c r="BE13" s="3">
        <v>14599.218363402108</v>
      </c>
      <c r="BF13" s="3">
        <v>17282.000660170532</v>
      </c>
      <c r="BG13" s="3">
        <v>37790.402735943098</v>
      </c>
      <c r="BH13" s="3">
        <v>33395.869492488513</v>
      </c>
      <c r="BI13" s="3">
        <v>34752.976835581248</v>
      </c>
      <c r="BJ13" s="3">
        <v>34901.703457007767</v>
      </c>
      <c r="BK13" s="3">
        <v>8859.3463481950766</v>
      </c>
      <c r="BL13" s="3">
        <v>17320.921904632567</v>
      </c>
      <c r="BM13" s="3">
        <v>25746.409619248509</v>
      </c>
      <c r="BN13" s="3">
        <v>13838.012562635078</v>
      </c>
      <c r="BO13" s="3">
        <v>10529.21673851183</v>
      </c>
      <c r="BP13" s="3">
        <v>12182.758397508034</v>
      </c>
      <c r="BQ13" s="3">
        <v>6216.1120045042626</v>
      </c>
      <c r="BR13" s="3">
        <v>22227.189130300161</v>
      </c>
      <c r="BS13" s="3">
        <v>0.92467439703059306</v>
      </c>
      <c r="BT13" s="3">
        <v>17712.072971884023</v>
      </c>
      <c r="BU13" s="3">
        <v>9458.6010237654118</v>
      </c>
      <c r="BV13" s="3">
        <v>27345.918641886281</v>
      </c>
      <c r="BW13" s="3">
        <v>5197.6495004001627</v>
      </c>
      <c r="BX13" s="3">
        <v>28436.699337370759</v>
      </c>
      <c r="BY13" s="3">
        <v>14020.304797712897</v>
      </c>
      <c r="BZ13" s="3">
        <v>10208.318335649348</v>
      </c>
      <c r="CA13" s="3">
        <v>10309.076399548358</v>
      </c>
      <c r="CB13" s="3">
        <v>36501.395278470329</v>
      </c>
      <c r="CC13" s="3">
        <v>9925.5459906432843</v>
      </c>
      <c r="CD13" s="3">
        <v>6629.7244482029273</v>
      </c>
      <c r="CE13" s="3">
        <v>4906.1410066462449</v>
      </c>
      <c r="CF13" s="3">
        <v>10203.719465919507</v>
      </c>
      <c r="CG13" s="3">
        <v>10355.888392890452</v>
      </c>
      <c r="CH13" s="3">
        <v>5286.5504922368636</v>
      </c>
      <c r="CI13" s="3">
        <v>8995.1315920267698</v>
      </c>
      <c r="CJ13" s="3">
        <v>7652.0269503720247</v>
      </c>
      <c r="CK13" s="3">
        <v>4451.5040831188089</v>
      </c>
      <c r="CL13" s="3">
        <v>2139.8124377926406</v>
      </c>
      <c r="CM13" s="3">
        <v>17082.473993287611</v>
      </c>
      <c r="CN13" s="3">
        <v>31493.954825964182</v>
      </c>
      <c r="CO13" s="3">
        <v>10296.853472090297</v>
      </c>
      <c r="CP13" s="3">
        <v>7149.4342129152901</v>
      </c>
      <c r="CQ13" s="3">
        <v>21081.233651550319</v>
      </c>
      <c r="CR13" s="3">
        <v>7034.8644109368579</v>
      </c>
      <c r="CS13" s="3">
        <v>9829.9457604479394</v>
      </c>
      <c r="CT13" s="3">
        <v>31983.135213355454</v>
      </c>
      <c r="CU13" s="3">
        <v>25016.621409297426</v>
      </c>
      <c r="CV13" s="3">
        <v>16565.015064347856</v>
      </c>
      <c r="CW13" s="3">
        <v>27010.014401710243</v>
      </c>
      <c r="CX13" s="3">
        <v>9335.1068936513475</v>
      </c>
      <c r="CY13" s="3">
        <v>7475.7798258544844</v>
      </c>
      <c r="CZ13" s="3">
        <v>10990.231170943516</v>
      </c>
      <c r="DA13" s="3">
        <v>9501.817062635635</v>
      </c>
      <c r="DB13" s="3">
        <v>14435.671210158205</v>
      </c>
      <c r="DC13" s="3">
        <v>5336.2515462786469</v>
      </c>
      <c r="DD13" s="3">
        <v>4393.784565422071</v>
      </c>
      <c r="DE13" s="3">
        <v>18119.766691951292</v>
      </c>
      <c r="DF13" s="3">
        <v>9072.1553106558968</v>
      </c>
      <c r="DG13" s="3">
        <v>7075.2598246510752</v>
      </c>
      <c r="DH13" s="3">
        <v>13476.949078909667</v>
      </c>
      <c r="DI13" s="3">
        <v>10512.172436640452</v>
      </c>
      <c r="DJ13" s="3">
        <v>18040.344924881618</v>
      </c>
      <c r="DK13" s="3">
        <v>9867.0552718492945</v>
      </c>
      <c r="DL13" s="3">
        <v>23508.658575794241</v>
      </c>
      <c r="DM13" s="3">
        <v>6850.6715572847388</v>
      </c>
      <c r="DN13" s="3">
        <v>11165.905733558933</v>
      </c>
      <c r="DP13" s="3">
        <v>15610.342030628235</v>
      </c>
      <c r="DQ13" s="3">
        <v>16473.425590109022</v>
      </c>
      <c r="DR13" s="3">
        <v>9134.006057951945</v>
      </c>
      <c r="DS13" s="3">
        <v>15124.78102486213</v>
      </c>
      <c r="DT13" s="3">
        <v>29713.199516336252</v>
      </c>
      <c r="DU13" s="3">
        <v>710.25975098870322</v>
      </c>
      <c r="DV13" s="3">
        <v>2873.6958656490242</v>
      </c>
      <c r="DW13" s="3">
        <v>715.68979479295035</v>
      </c>
      <c r="DX13" s="3">
        <v>1025.7646152642942</v>
      </c>
      <c r="DY13" s="3">
        <v>538.78176281111973</v>
      </c>
      <c r="EA13" s="3">
        <v>257.32382808917259</v>
      </c>
      <c r="EB13" s="3">
        <v>481.17887831498911</v>
      </c>
      <c r="EC13" s="3">
        <v>12938.81821195014</v>
      </c>
      <c r="ED13" s="3">
        <v>9489.5149256708119</v>
      </c>
      <c r="EE13" s="3">
        <v>35516.306605799487</v>
      </c>
      <c r="EF13" s="3">
        <v>24768.031952682111</v>
      </c>
      <c r="EG13" s="3">
        <v>9666.7678811541009</v>
      </c>
      <c r="EH13" s="3">
        <v>14875.68881676946</v>
      </c>
      <c r="EI13" s="3">
        <v>5440.4163271198231</v>
      </c>
      <c r="EJ13" s="3">
        <v>24277.7763440567</v>
      </c>
      <c r="ES13" s="3">
        <v>18219.638121088337</v>
      </c>
      <c r="ET13" s="3">
        <v>11534.87683941819</v>
      </c>
      <c r="EU13" s="3">
        <v>22731.980338869529</v>
      </c>
      <c r="EV13" s="3">
        <v>9052.5076082470914</v>
      </c>
      <c r="EW13" s="3">
        <v>14195.827848102295</v>
      </c>
      <c r="EX13" s="3">
        <v>16404.806227349341</v>
      </c>
      <c r="EY13" s="3">
        <v>16751.945527524356</v>
      </c>
      <c r="EZ13" s="3">
        <v>27083.863714318526</v>
      </c>
      <c r="FA13" s="3">
        <v>13084.439240385291</v>
      </c>
      <c r="FB13" s="3">
        <v>28320.813333972757</v>
      </c>
      <c r="FC13" s="3">
        <v>31833.710952201021</v>
      </c>
      <c r="FD13" s="3">
        <v>30055.468014585596</v>
      </c>
      <c r="FE13" s="3">
        <v>10202.034720203477</v>
      </c>
      <c r="FF13" s="3">
        <v>8291.769805324253</v>
      </c>
      <c r="FG13" s="3">
        <v>26786.012363880229</v>
      </c>
      <c r="FH13" s="3">
        <v>25438.073730179865</v>
      </c>
      <c r="FI13" s="3">
        <v>19578.3851539522</v>
      </c>
      <c r="FJ13" s="3">
        <v>21007.175715015212</v>
      </c>
      <c r="FK13" s="3">
        <v>8185.9410544411312</v>
      </c>
      <c r="FL13" s="3">
        <v>10511.515679287349</v>
      </c>
      <c r="FM13" s="3">
        <v>8173.1283752994204</v>
      </c>
      <c r="FN13" s="3">
        <v>8900.7513351489033</v>
      </c>
      <c r="FO13" s="3">
        <v>5518.6259276552137</v>
      </c>
      <c r="FP13" s="3">
        <v>27459.004803793519</v>
      </c>
      <c r="FQ13" s="3">
        <v>20359.761243233814</v>
      </c>
      <c r="FS13" s="3">
        <v>9114.6679495569988</v>
      </c>
      <c r="FT13" s="3">
        <v>4253.1177402549956</v>
      </c>
      <c r="FU13" s="3">
        <v>8996.3367101272961</v>
      </c>
      <c r="FV13" s="3">
        <v>19254.410344643002</v>
      </c>
      <c r="FW13" s="3">
        <v>13834.230358924151</v>
      </c>
      <c r="FX13" s="3">
        <v>25055.900820571056</v>
      </c>
      <c r="FY13" s="3">
        <v>10724.731295553531</v>
      </c>
      <c r="FZ13" s="3">
        <v>7297.6345795567395</v>
      </c>
      <c r="GA13" s="3">
        <v>6623.663681232023</v>
      </c>
      <c r="GB13" s="3">
        <v>11562.133592702521</v>
      </c>
      <c r="GC13" s="3">
        <v>9816.8649722923838</v>
      </c>
      <c r="GD13" s="3">
        <v>12838.339036744013</v>
      </c>
      <c r="GE13" s="3">
        <v>14681.329884787581</v>
      </c>
      <c r="GF13" s="3">
        <v>31298.472127746201</v>
      </c>
      <c r="GG13" s="3">
        <v>17136.081741987462</v>
      </c>
      <c r="GH13" s="3">
        <v>7318.7692256738719</v>
      </c>
      <c r="GI13" s="3">
        <v>11017.207258565819</v>
      </c>
      <c r="GJ13" s="3">
        <v>11916.727891301798</v>
      </c>
      <c r="GK13" s="3">
        <v>33506.720121932463</v>
      </c>
      <c r="GL13" s="3">
        <v>14974.405953828249</v>
      </c>
      <c r="GM13" s="3">
        <v>50507.535933738669</v>
      </c>
      <c r="GN13" s="3">
        <v>22878.533704756155</v>
      </c>
      <c r="GO13" s="3">
        <v>18498.504431362624</v>
      </c>
      <c r="GP13" s="3">
        <v>18858.176565771762</v>
      </c>
      <c r="GQ13" s="3">
        <v>7110.8491171502628</v>
      </c>
      <c r="GR13" s="3">
        <v>7405.0934147179842</v>
      </c>
      <c r="GT13" s="3">
        <v>22594.359257913129</v>
      </c>
      <c r="GU13" s="3">
        <v>8624.9526607220159</v>
      </c>
      <c r="GV13" s="3">
        <v>8087.241789444879</v>
      </c>
      <c r="GW13" s="3">
        <v>17729.50463802645</v>
      </c>
      <c r="GX13" s="3">
        <v>31120.000374852913</v>
      </c>
      <c r="GY13" s="3">
        <v>18023.257974595188</v>
      </c>
      <c r="GZ13" s="3">
        <v>16080.492016026368</v>
      </c>
      <c r="HB13" s="3">
        <v>11053.859954912616</v>
      </c>
      <c r="HC13" s="3">
        <v>17585.854420673604</v>
      </c>
      <c r="HD13" s="3">
        <v>15242.332336098745</v>
      </c>
      <c r="HE13" s="3">
        <v>9229.1683795152003</v>
      </c>
      <c r="HF13" s="3">
        <v>86382.020201565465</v>
      </c>
      <c r="HG13" s="3">
        <v>10766.988759237562</v>
      </c>
      <c r="HH13" s="3">
        <v>19052.57345546463</v>
      </c>
      <c r="HI13" s="3">
        <v>13183.776929047397</v>
      </c>
      <c r="HJ13" s="3">
        <v>9539.8362717424461</v>
      </c>
      <c r="HK13" s="3">
        <v>25956.221502119231</v>
      </c>
      <c r="HL13" s="3">
        <v>2.2077612170501575</v>
      </c>
      <c r="HM13" s="3">
        <v>19758.441193891987</v>
      </c>
      <c r="HN13" s="3">
        <v>30769.555710399825</v>
      </c>
      <c r="HO13" s="3">
        <v>11076.488514092167</v>
      </c>
      <c r="HP13" s="3">
        <v>19725.761571465999</v>
      </c>
      <c r="HQ13" s="3">
        <v>3125909.2359999996</v>
      </c>
    </row>
    <row r="14" spans="1:226" x14ac:dyDescent="0.3">
      <c r="A14" s="66" t="s">
        <v>1335</v>
      </c>
      <c r="B14" s="67">
        <f>SUM(C14:HP14)</f>
        <v>1359584.9928000006</v>
      </c>
      <c r="D14" s="3">
        <v>4430.316822086842</v>
      </c>
      <c r="E14" s="3">
        <v>6441.7487885044711</v>
      </c>
      <c r="F14" s="3">
        <v>12162.689039796296</v>
      </c>
      <c r="G14" s="3">
        <v>9280.3344760647069</v>
      </c>
      <c r="I14" s="3">
        <v>4183.5444945026375</v>
      </c>
      <c r="J14" s="3">
        <v>1261.2607259427509</v>
      </c>
      <c r="K14" s="3">
        <v>10209.634150985305</v>
      </c>
      <c r="O14" s="3">
        <v>3930.3128885487558</v>
      </c>
      <c r="P14" s="3">
        <v>4176.267793081618</v>
      </c>
      <c r="Q14" s="3">
        <v>4371.5333437792888</v>
      </c>
      <c r="R14" s="3">
        <v>3573.4968249945732</v>
      </c>
      <c r="S14" s="3">
        <v>3257.7815271479762</v>
      </c>
      <c r="T14" s="3">
        <v>8582.6093358885919</v>
      </c>
      <c r="U14" s="3">
        <v>6449.0138882131396</v>
      </c>
      <c r="V14" s="3">
        <v>5112.343209071737</v>
      </c>
      <c r="W14" s="3">
        <v>311.45894357232413</v>
      </c>
      <c r="X14" s="3">
        <v>11897.726755749445</v>
      </c>
      <c r="Y14" s="3">
        <v>5103.5302997560293</v>
      </c>
      <c r="Z14" s="3">
        <v>8333.4446130852994</v>
      </c>
      <c r="AA14" s="3">
        <v>8097.3945386942514</v>
      </c>
      <c r="AB14" s="3">
        <v>2999.6839390503042</v>
      </c>
      <c r="AC14" s="3">
        <v>6785.9643631211011</v>
      </c>
      <c r="AD14" s="3">
        <v>2398.772061977515</v>
      </c>
      <c r="AE14" s="3">
        <v>4203.4606609328166</v>
      </c>
      <c r="AF14" s="3">
        <v>7043.5079186496741</v>
      </c>
      <c r="AG14" s="3">
        <v>19259.860502955467</v>
      </c>
      <c r="AH14" s="3">
        <v>8577.2582865674322</v>
      </c>
      <c r="AI14" s="3">
        <v>2478.6072953903754</v>
      </c>
      <c r="AJ14" s="3">
        <v>4404.2004458350029</v>
      </c>
      <c r="AK14" s="3">
        <v>7903.9500861518982</v>
      </c>
      <c r="AL14" s="3">
        <v>4660.4184075901139</v>
      </c>
      <c r="AM14" s="3">
        <v>4273.6146622577608</v>
      </c>
      <c r="AN14" s="3">
        <v>7848.8662577977539</v>
      </c>
      <c r="AO14" s="3">
        <v>5172.6096814126258</v>
      </c>
      <c r="AP14" s="3">
        <v>4704.8552486839162</v>
      </c>
      <c r="AQ14" s="3">
        <v>6701.6734666853627</v>
      </c>
      <c r="AR14" s="3">
        <v>4867.3311155556048</v>
      </c>
      <c r="AS14" s="3">
        <v>0</v>
      </c>
      <c r="AT14" s="3">
        <v>163.88286837753486</v>
      </c>
      <c r="AU14" s="3">
        <v>6394.3002358491676</v>
      </c>
      <c r="AV14" s="3">
        <v>1989.4221831551718</v>
      </c>
      <c r="AW14" s="3">
        <v>6225.2271770688631</v>
      </c>
      <c r="AX14" s="3">
        <v>15290.112803109732</v>
      </c>
      <c r="AY14" s="3">
        <v>5381.423066170526</v>
      </c>
      <c r="AZ14" s="3">
        <v>9921.7915340721156</v>
      </c>
      <c r="BA14" s="3">
        <v>3796.038940268837</v>
      </c>
      <c r="BB14" s="3">
        <v>16232.121546044993</v>
      </c>
      <c r="BC14" s="3">
        <v>6400.8312952334772</v>
      </c>
      <c r="BD14" s="3">
        <v>10649.759637826697</v>
      </c>
      <c r="BE14" s="3">
        <v>5278.8882384533008</v>
      </c>
      <c r="BF14" s="3">
        <v>7908.5663228496378</v>
      </c>
      <c r="BG14" s="3">
        <v>16849.339003826826</v>
      </c>
      <c r="BH14" s="3">
        <v>16123.050019460745</v>
      </c>
      <c r="BI14" s="3">
        <v>14285.509358497698</v>
      </c>
      <c r="BJ14" s="3">
        <v>14697.671671872653</v>
      </c>
      <c r="BK14" s="3">
        <v>4070.1770086420597</v>
      </c>
      <c r="BL14" s="3">
        <v>7856.9670659454505</v>
      </c>
      <c r="BM14" s="3">
        <v>10655.466006633675</v>
      </c>
      <c r="BN14" s="3">
        <v>6074.7094395135964</v>
      </c>
      <c r="BO14" s="3">
        <v>5052.7944759094607</v>
      </c>
      <c r="BP14" s="3">
        <v>5402.6839362520841</v>
      </c>
      <c r="BQ14" s="3">
        <v>2416.6772064737856</v>
      </c>
      <c r="BR14" s="3">
        <v>9237.7751257352829</v>
      </c>
      <c r="BS14" s="3">
        <v>0</v>
      </c>
      <c r="BT14" s="3">
        <v>8223.1426238162348</v>
      </c>
      <c r="BU14" s="3">
        <v>4874.626637950887</v>
      </c>
      <c r="BV14" s="3">
        <v>11966.81508057734</v>
      </c>
      <c r="BW14" s="3">
        <v>2336.425335110629</v>
      </c>
      <c r="BX14" s="3">
        <v>12945.16723109528</v>
      </c>
      <c r="BY14" s="3">
        <v>5662.5124644702955</v>
      </c>
      <c r="BZ14" s="3">
        <v>4736.257274230059</v>
      </c>
      <c r="CA14" s="3">
        <v>4771.5297894976102</v>
      </c>
      <c r="CB14" s="3">
        <v>14705.0861781531</v>
      </c>
      <c r="CC14" s="3">
        <v>4550.0500513861989</v>
      </c>
      <c r="CD14" s="3">
        <v>2460.5778678023867</v>
      </c>
      <c r="CE14" s="3">
        <v>1389.0293860649444</v>
      </c>
      <c r="CF14" s="3">
        <v>4059.6351113958954</v>
      </c>
      <c r="CG14" s="3">
        <v>3005.9395270038995</v>
      </c>
      <c r="CH14" s="3">
        <v>2108.2092424856878</v>
      </c>
      <c r="CI14" s="3">
        <v>3468.0506516857386</v>
      </c>
      <c r="CJ14" s="3">
        <v>3602.8316668473926</v>
      </c>
      <c r="CK14" s="3">
        <v>1860.4488838527593</v>
      </c>
      <c r="CL14" s="3">
        <v>852.34258025583927</v>
      </c>
      <c r="CM14" s="3">
        <v>6749.1378602529812</v>
      </c>
      <c r="CN14" s="3">
        <v>12276.594160336832</v>
      </c>
      <c r="CO14" s="3">
        <v>5007.6601171102366</v>
      </c>
      <c r="CP14" s="3">
        <v>3015.0932664474099</v>
      </c>
      <c r="CQ14" s="3">
        <v>8767.9426444317014</v>
      </c>
      <c r="CR14" s="3">
        <v>3037.90878270231</v>
      </c>
      <c r="CS14" s="3">
        <v>3602.5630698923469</v>
      </c>
      <c r="CT14" s="3">
        <v>12665.433222470738</v>
      </c>
      <c r="CU14" s="3">
        <v>10836.419264598975</v>
      </c>
      <c r="CV14" s="3">
        <v>8302.0193797850898</v>
      </c>
      <c r="CW14" s="3">
        <v>11187.491320836454</v>
      </c>
      <c r="CX14" s="3">
        <v>3857.618829233043</v>
      </c>
      <c r="CY14" s="3">
        <v>3463.5619479658594</v>
      </c>
      <c r="CZ14" s="3">
        <v>5559.134937611102</v>
      </c>
      <c r="DA14" s="3">
        <v>5215.7607710397979</v>
      </c>
      <c r="DB14" s="3">
        <v>6724.6909091056677</v>
      </c>
      <c r="DC14" s="3">
        <v>1953.1597526267346</v>
      </c>
      <c r="DD14" s="3">
        <v>1287.335132533789</v>
      </c>
      <c r="DE14" s="3">
        <v>7556.2567259928437</v>
      </c>
      <c r="DF14" s="3">
        <v>4010.7639852920511</v>
      </c>
      <c r="DG14" s="3">
        <v>2786.0178545276262</v>
      </c>
      <c r="DH14" s="3">
        <v>5452.3227269811923</v>
      </c>
      <c r="DI14" s="3">
        <v>4771.2972054607353</v>
      </c>
      <c r="DJ14" s="3">
        <v>7506.5825160703234</v>
      </c>
      <c r="DK14" s="3">
        <v>3993.0060347083145</v>
      </c>
      <c r="DL14" s="3">
        <v>9936.3995189015168</v>
      </c>
      <c r="DM14" s="3">
        <v>2759.4577751540505</v>
      </c>
      <c r="DN14" s="3">
        <v>5513.2317693904333</v>
      </c>
      <c r="DP14" s="3">
        <v>6800.7819585633915</v>
      </c>
      <c r="DQ14" s="3">
        <v>7425.0587847658107</v>
      </c>
      <c r="DR14" s="3">
        <v>4076.4271947813386</v>
      </c>
      <c r="DS14" s="3">
        <v>6756.0951915109545</v>
      </c>
      <c r="DT14" s="3">
        <v>12274.66396859668</v>
      </c>
      <c r="DU14" s="3">
        <v>305.88184459865238</v>
      </c>
      <c r="DV14" s="3">
        <v>1445.266675062961</v>
      </c>
      <c r="DW14" s="3">
        <v>261.09842925511197</v>
      </c>
      <c r="DX14" s="3">
        <v>411.72555083965653</v>
      </c>
      <c r="DY14" s="3">
        <v>172.40730017809551</v>
      </c>
      <c r="EA14" s="3">
        <v>89.601236894252452</v>
      </c>
      <c r="EB14" s="3">
        <v>197.45911902504878</v>
      </c>
      <c r="EC14" s="3">
        <v>6103.1322688674118</v>
      </c>
      <c r="ED14" s="3">
        <v>4719.8586421544896</v>
      </c>
      <c r="EE14" s="3">
        <v>14597.588857096354</v>
      </c>
      <c r="EF14" s="3">
        <v>10823.13801007035</v>
      </c>
      <c r="EG14" s="3">
        <v>4235.6268968158829</v>
      </c>
      <c r="EH14" s="3">
        <v>6507.6292279151658</v>
      </c>
      <c r="EI14" s="3">
        <v>2035.8638651334466</v>
      </c>
      <c r="EJ14" s="3">
        <v>10643.836247986779</v>
      </c>
      <c r="ES14" s="3">
        <v>7033.9072050055802</v>
      </c>
      <c r="ET14" s="3">
        <v>4928.9974205520011</v>
      </c>
      <c r="EU14" s="3">
        <v>10215.543758410739</v>
      </c>
      <c r="EV14" s="3">
        <v>4050.3738933455456</v>
      </c>
      <c r="EW14" s="3">
        <v>6850.4168959548706</v>
      </c>
      <c r="EX14" s="3">
        <v>8434.4734940435992</v>
      </c>
      <c r="EY14" s="3">
        <v>7822.9616004080317</v>
      </c>
      <c r="EZ14" s="3">
        <v>11878.867310893975</v>
      </c>
      <c r="FA14" s="3">
        <v>5722.1772430855654</v>
      </c>
      <c r="FB14" s="3">
        <v>10954.691383648695</v>
      </c>
      <c r="FC14" s="3">
        <v>14130.579016998036</v>
      </c>
      <c r="FD14" s="3">
        <v>12780.430266550255</v>
      </c>
      <c r="FE14" s="3">
        <v>6007.3630826793078</v>
      </c>
      <c r="FF14" s="3">
        <v>4356.9109153690124</v>
      </c>
      <c r="FG14" s="3">
        <v>11901.922322854536</v>
      </c>
      <c r="FH14" s="3">
        <v>11768.955569366937</v>
      </c>
      <c r="FI14" s="3">
        <v>10248.513224937597</v>
      </c>
      <c r="FJ14" s="3">
        <v>9830.2684302304115</v>
      </c>
      <c r="FK14" s="3">
        <v>2931.4735364195271</v>
      </c>
      <c r="FL14" s="3">
        <v>4101.1039360457007</v>
      </c>
      <c r="FM14" s="3">
        <v>3421.9694886971097</v>
      </c>
      <c r="FN14" s="3">
        <v>3733.9735477920572</v>
      </c>
      <c r="FO14" s="3">
        <v>1820.9627347694031</v>
      </c>
      <c r="FP14" s="3">
        <v>11766.7111935744</v>
      </c>
      <c r="FQ14" s="3">
        <v>9260.6445509624773</v>
      </c>
      <c r="FS14" s="3">
        <v>3819.4607063993981</v>
      </c>
      <c r="FT14" s="3">
        <v>1501.2372659596322</v>
      </c>
      <c r="FU14" s="3">
        <v>782.68898408500877</v>
      </c>
      <c r="FV14" s="3">
        <v>7878.0104895550485</v>
      </c>
      <c r="FW14" s="3">
        <v>6031.7652532056318</v>
      </c>
      <c r="FX14" s="3">
        <v>10961.564129089929</v>
      </c>
      <c r="FY14" s="3">
        <v>5167.8106002100176</v>
      </c>
      <c r="FZ14" s="3">
        <v>2848.1007070845953</v>
      </c>
      <c r="GA14" s="3">
        <v>2951.5388898962715</v>
      </c>
      <c r="GB14" s="3">
        <v>5983.2773561527138</v>
      </c>
      <c r="GC14" s="3">
        <v>4492.4005459608679</v>
      </c>
      <c r="GD14" s="3">
        <v>5532.1677074928521</v>
      </c>
      <c r="GE14" s="3">
        <v>5801.3818722807873</v>
      </c>
      <c r="GF14" s="3">
        <v>13198.848707380774</v>
      </c>
      <c r="GG14" s="3">
        <v>7831.4367097807053</v>
      </c>
      <c r="GH14" s="3">
        <v>2813.2899911298396</v>
      </c>
      <c r="GI14" s="3">
        <v>5118.6412098536566</v>
      </c>
      <c r="GJ14" s="3">
        <v>5117.8683866065803</v>
      </c>
      <c r="GK14" s="3">
        <v>16377.441387111026</v>
      </c>
      <c r="GL14" s="3">
        <v>6184.4749938723808</v>
      </c>
      <c r="GM14" s="3">
        <v>20468.813646100331</v>
      </c>
      <c r="GN14" s="3">
        <v>9151.4327979775881</v>
      </c>
      <c r="GO14" s="3">
        <v>7977.2266096252888</v>
      </c>
      <c r="GP14" s="3">
        <v>8454.7362298470398</v>
      </c>
      <c r="GQ14" s="3">
        <v>2401.5050581607279</v>
      </c>
      <c r="GR14" s="3">
        <v>3374.6920709169062</v>
      </c>
      <c r="GT14" s="3">
        <v>9783.5559529643033</v>
      </c>
      <c r="GU14" s="3">
        <v>2967.888110673855</v>
      </c>
      <c r="GV14" s="3">
        <v>3593.1700176152353</v>
      </c>
      <c r="GW14" s="3">
        <v>7273.8301732912714</v>
      </c>
      <c r="GX14" s="3">
        <v>12230.014613845875</v>
      </c>
      <c r="GY14" s="3">
        <v>8390.296649140013</v>
      </c>
      <c r="GZ14" s="3">
        <v>7088.6366999368975</v>
      </c>
      <c r="HB14" s="3">
        <v>4456.6827195846627</v>
      </c>
      <c r="HC14" s="3">
        <v>7065.5973801620294</v>
      </c>
      <c r="HD14" s="3">
        <v>7931.7638161508021</v>
      </c>
      <c r="HE14" s="3">
        <v>4222.3008978280404</v>
      </c>
      <c r="HF14" s="3">
        <v>46964.40638015751</v>
      </c>
      <c r="HG14" s="3">
        <v>4894.3865162149668</v>
      </c>
      <c r="HH14" s="3">
        <v>8123.8540357381025</v>
      </c>
      <c r="HI14" s="3">
        <v>6360.2044901501413</v>
      </c>
      <c r="HJ14" s="3">
        <v>3825.485986123263</v>
      </c>
      <c r="HK14" s="3">
        <v>12780.5410061412</v>
      </c>
      <c r="HL14" s="3">
        <v>0</v>
      </c>
      <c r="HM14" s="3">
        <v>8019.6533550765744</v>
      </c>
      <c r="HN14" s="3">
        <v>12565.148349113519</v>
      </c>
      <c r="HO14" s="3">
        <v>4714.0615759924012</v>
      </c>
      <c r="HP14" s="3">
        <v>9094.5663831902129</v>
      </c>
      <c r="HQ14" s="3">
        <v>1359584.9928000006</v>
      </c>
    </row>
    <row r="15" spans="1:226" x14ac:dyDescent="0.3">
      <c r="A15" s="66" t="s">
        <v>987</v>
      </c>
      <c r="B15" s="67">
        <v>-5099598.0629999992</v>
      </c>
      <c r="D15" s="3">
        <v>-16530.113000000005</v>
      </c>
      <c r="E15" s="3">
        <v>-23149.699999999997</v>
      </c>
      <c r="F15" s="3">
        <v>-51230.972000000009</v>
      </c>
      <c r="G15" s="3">
        <v>-37569.912000000004</v>
      </c>
      <c r="I15" s="3">
        <v>11815.102000000003</v>
      </c>
      <c r="J15" s="3">
        <v>765.22100000000137</v>
      </c>
      <c r="K15" s="3">
        <v>-36968.137999999977</v>
      </c>
      <c r="O15" s="3">
        <v>-21472.503999999997</v>
      </c>
      <c r="P15" s="3">
        <v>-15320.970999999998</v>
      </c>
      <c r="Q15" s="3">
        <v>-17234.061000000002</v>
      </c>
      <c r="R15" s="3">
        <v>-7565.0640000000058</v>
      </c>
      <c r="S15" s="3">
        <v>-12467.007999999998</v>
      </c>
      <c r="T15" s="3">
        <v>-33502.481</v>
      </c>
      <c r="U15" s="3">
        <v>-18409.788000000008</v>
      </c>
      <c r="V15" s="3">
        <v>-17828.094000000005</v>
      </c>
      <c r="W15" s="3">
        <v>-1508.7129999999993</v>
      </c>
      <c r="X15" s="3">
        <v>-44573.699000000037</v>
      </c>
      <c r="Y15" s="3">
        <v>-15197.118999999999</v>
      </c>
      <c r="Z15" s="3">
        <v>-25271.416000000012</v>
      </c>
      <c r="AA15" s="3">
        <v>-42727.476999999999</v>
      </c>
      <c r="AB15" s="3">
        <v>-15765.053000000007</v>
      </c>
      <c r="AC15" s="3">
        <v>-40901.81700000001</v>
      </c>
      <c r="AD15" s="3">
        <v>-11794.329999999994</v>
      </c>
      <c r="AE15" s="3">
        <v>-21881.146999999997</v>
      </c>
      <c r="AF15" s="3">
        <v>-32236.259000000005</v>
      </c>
      <c r="AG15" s="3">
        <v>-69209.456000000006</v>
      </c>
      <c r="AH15" s="3">
        <v>-34696.870000000003</v>
      </c>
      <c r="AI15" s="3">
        <v>-7826.7119999999959</v>
      </c>
      <c r="AJ15" s="3">
        <v>-17501.991000000002</v>
      </c>
      <c r="AK15" s="3">
        <v>-29517.659</v>
      </c>
      <c r="AL15" s="3">
        <v>-19042.614999999991</v>
      </c>
      <c r="AM15" s="3">
        <v>-16942.881000000001</v>
      </c>
      <c r="AN15" s="3">
        <v>-26328.48599999999</v>
      </c>
      <c r="AO15" s="3">
        <v>-17878.850999999999</v>
      </c>
      <c r="AP15" s="3">
        <v>-12029.404999999999</v>
      </c>
      <c r="AQ15" s="3">
        <v>-18964.174999999996</v>
      </c>
      <c r="AR15" s="3">
        <v>-25436.896000000008</v>
      </c>
      <c r="AS15" s="3">
        <v>-2703.529</v>
      </c>
      <c r="AT15" s="3">
        <v>-1035.2129999999997</v>
      </c>
      <c r="AU15" s="3">
        <v>-24328.323999999997</v>
      </c>
      <c r="AV15" s="3">
        <v>-6307.3859999999968</v>
      </c>
      <c r="AW15" s="3">
        <v>-26912.347999999998</v>
      </c>
      <c r="AX15" s="3">
        <v>-63248.910000000018</v>
      </c>
      <c r="AY15" s="3">
        <v>-23522.856999999989</v>
      </c>
      <c r="AZ15" s="3">
        <v>-44930.757999999973</v>
      </c>
      <c r="BA15" s="3">
        <v>-11992.953999999998</v>
      </c>
      <c r="BB15" s="3">
        <v>-46899.647000000012</v>
      </c>
      <c r="BC15" s="3">
        <v>-10142.544999999998</v>
      </c>
      <c r="BD15" s="3">
        <v>-45628.571999999971</v>
      </c>
      <c r="BE15" s="3">
        <v>-20920.776000000005</v>
      </c>
      <c r="BF15" s="3">
        <v>-28902.058999999994</v>
      </c>
      <c r="BG15" s="3">
        <v>-61749.768999999986</v>
      </c>
      <c r="BH15" s="3">
        <v>-52758.391000000003</v>
      </c>
      <c r="BI15" s="3">
        <v>-52666.260000000024</v>
      </c>
      <c r="BJ15" s="3">
        <v>-57484.96699999999</v>
      </c>
      <c r="BK15" s="3">
        <v>-13241.610999999997</v>
      </c>
      <c r="BL15" s="3">
        <v>-33525.022999999994</v>
      </c>
      <c r="BM15" s="3">
        <v>-47276.453000000001</v>
      </c>
      <c r="BN15" s="3">
        <v>-25604.990000000009</v>
      </c>
      <c r="BO15" s="3">
        <v>-13967.755000000005</v>
      </c>
      <c r="BP15" s="3">
        <v>-21503.214000000007</v>
      </c>
      <c r="BQ15" s="3">
        <v>-9347.6899999999951</v>
      </c>
      <c r="BR15" s="3">
        <v>-42149.214000000007</v>
      </c>
      <c r="BS15" s="3">
        <v>20147.583999999999</v>
      </c>
      <c r="BT15" s="3">
        <v>-25327.582000000002</v>
      </c>
      <c r="BU15" s="3">
        <v>-16728.505999999994</v>
      </c>
      <c r="BV15" s="3">
        <v>-45040.945999999982</v>
      </c>
      <c r="BW15" s="3">
        <v>-6104.9289999999964</v>
      </c>
      <c r="BX15" s="3">
        <v>-48673.082999999999</v>
      </c>
      <c r="BY15" s="3">
        <v>-11100.916000000005</v>
      </c>
      <c r="BZ15" s="3">
        <v>-17324.526000000005</v>
      </c>
      <c r="CA15" s="3">
        <v>-18906.165000000008</v>
      </c>
      <c r="CB15" s="3">
        <v>-68446.982999999993</v>
      </c>
      <c r="CC15" s="3">
        <v>-16958.823999999993</v>
      </c>
      <c r="CD15" s="3">
        <v>-10871.643999999997</v>
      </c>
      <c r="CE15" s="3">
        <v>-3622.1830000000009</v>
      </c>
      <c r="CF15" s="3">
        <v>-18817.617999999995</v>
      </c>
      <c r="CG15" s="3">
        <v>-16621.678999999996</v>
      </c>
      <c r="CH15" s="3">
        <v>-10636.114</v>
      </c>
      <c r="CI15" s="3">
        <v>-18236.063000000009</v>
      </c>
      <c r="CJ15" s="3">
        <v>-13450.396000000001</v>
      </c>
      <c r="CK15" s="3">
        <v>-7977.4570000000022</v>
      </c>
      <c r="CL15" s="3">
        <v>-2704.121000000001</v>
      </c>
      <c r="CM15" s="3">
        <v>-32726.108</v>
      </c>
      <c r="CN15" s="3">
        <v>-56937.348000000013</v>
      </c>
      <c r="CO15" s="3">
        <v>-17032.056000000004</v>
      </c>
      <c r="CP15" s="3">
        <v>-9733.8960000000006</v>
      </c>
      <c r="CQ15" s="3">
        <v>-33331.457999999999</v>
      </c>
      <c r="CR15" s="3">
        <v>-13428.610000000006</v>
      </c>
      <c r="CS15" s="3">
        <v>-16354.12100000001</v>
      </c>
      <c r="CT15" s="3">
        <v>-42182.445000000007</v>
      </c>
      <c r="CU15" s="3">
        <v>-45499.147999999994</v>
      </c>
      <c r="CV15" s="3">
        <v>-27590.536</v>
      </c>
      <c r="CW15" s="3">
        <v>-46896.55799999999</v>
      </c>
      <c r="CX15" s="3">
        <v>-13508.124</v>
      </c>
      <c r="CY15" s="3">
        <v>-11911.557000000001</v>
      </c>
      <c r="CZ15" s="3">
        <v>-16849.707999999991</v>
      </c>
      <c r="DA15" s="3">
        <v>-14657.733000000004</v>
      </c>
      <c r="DB15" s="3">
        <v>-36394.716000000008</v>
      </c>
      <c r="DC15" s="3">
        <v>-9019.4170000000013</v>
      </c>
      <c r="DD15" s="3">
        <v>-3362.6699999999983</v>
      </c>
      <c r="DE15" s="3">
        <v>-32537.762999999999</v>
      </c>
      <c r="DF15" s="3">
        <v>-14739.957000000002</v>
      </c>
      <c r="DG15" s="3">
        <v>-12302.042999999998</v>
      </c>
      <c r="DH15" s="3">
        <v>-20862.623</v>
      </c>
      <c r="DI15" s="3">
        <v>-16568.209999999985</v>
      </c>
      <c r="DJ15" s="3">
        <v>-31129.047999999988</v>
      </c>
      <c r="DK15" s="3">
        <v>-13368.694</v>
      </c>
      <c r="DL15" s="3">
        <v>-38779.071000000025</v>
      </c>
      <c r="DM15" s="3">
        <v>-12592.194999999992</v>
      </c>
      <c r="DN15" s="3">
        <v>-18868.491999999998</v>
      </c>
      <c r="DP15" s="3">
        <v>-15214.876999999993</v>
      </c>
      <c r="DQ15" s="3">
        <v>-27071.797999999995</v>
      </c>
      <c r="DR15" s="3">
        <v>-7268.9029999999948</v>
      </c>
      <c r="DS15" s="3">
        <v>-27800.086999999992</v>
      </c>
      <c r="DT15" s="3">
        <v>-59654.22100000002</v>
      </c>
      <c r="DU15" s="3">
        <v>-467.44900000000007</v>
      </c>
      <c r="DV15" s="3">
        <v>-2654.9900000000007</v>
      </c>
      <c r="DW15" s="3">
        <v>-751.26200000000017</v>
      </c>
      <c r="DX15" s="3">
        <v>-1628.2280000000005</v>
      </c>
      <c r="DY15" s="3">
        <v>-170.63699999999926</v>
      </c>
      <c r="EA15" s="3">
        <v>128.45399999999972</v>
      </c>
      <c r="EB15" s="3">
        <v>-540.87800000000016</v>
      </c>
      <c r="EC15" s="3">
        <v>-24375.771999999986</v>
      </c>
      <c r="ED15" s="3">
        <v>-12195.553</v>
      </c>
      <c r="EE15" s="3">
        <v>-54499.437000000049</v>
      </c>
      <c r="EF15" s="3">
        <v>-42628.290999999997</v>
      </c>
      <c r="EG15" s="3">
        <v>-12726.782999999996</v>
      </c>
      <c r="EH15" s="3">
        <v>-28953.087999999989</v>
      </c>
      <c r="EI15" s="3">
        <v>-7348.3270000000011</v>
      </c>
      <c r="EJ15" s="3">
        <v>-49210.929000000011</v>
      </c>
      <c r="ES15" s="3">
        <v>-27455.010999999991</v>
      </c>
      <c r="ET15" s="3">
        <v>-19046.540000000005</v>
      </c>
      <c r="EU15" s="3">
        <v>-37977.276000000013</v>
      </c>
      <c r="EV15" s="3">
        <v>-18549.021000000008</v>
      </c>
      <c r="EW15" s="3">
        <v>-21560.177000000003</v>
      </c>
      <c r="EX15" s="3">
        <v>-26548.492000000013</v>
      </c>
      <c r="EY15" s="3">
        <v>-28303.633000000009</v>
      </c>
      <c r="EZ15" s="3">
        <v>-40488.466</v>
      </c>
      <c r="FA15" s="3">
        <v>-14005.415000000001</v>
      </c>
      <c r="FB15" s="3">
        <v>-50322.221999999994</v>
      </c>
      <c r="FC15" s="3">
        <v>-51709.114999999991</v>
      </c>
      <c r="FD15" s="3">
        <v>-52001.107000000018</v>
      </c>
      <c r="FE15" s="3">
        <v>10205.329999999998</v>
      </c>
      <c r="FF15" s="3">
        <v>-11823.952000000001</v>
      </c>
      <c r="FG15" s="3">
        <v>-45565.65800000001</v>
      </c>
      <c r="FH15" s="3">
        <v>-51208.499999999993</v>
      </c>
      <c r="FI15" s="3">
        <v>-31215.395999999986</v>
      </c>
      <c r="FJ15" s="3">
        <v>-40271.286000000015</v>
      </c>
      <c r="FK15" s="3">
        <v>-15873.82</v>
      </c>
      <c r="FL15" s="3">
        <v>-18744.608000000004</v>
      </c>
      <c r="FM15" s="3">
        <v>-13653.199999999993</v>
      </c>
      <c r="FN15" s="3">
        <v>-14912.301999999996</v>
      </c>
      <c r="FO15" s="3">
        <v>-9236.7860000000001</v>
      </c>
      <c r="FP15" s="3">
        <v>-47058.914000000019</v>
      </c>
      <c r="FQ15" s="3">
        <v>-34901.179999999993</v>
      </c>
      <c r="FS15" s="3">
        <v>-14368.445000000007</v>
      </c>
      <c r="FT15" s="3">
        <v>-4875.1829999999973</v>
      </c>
      <c r="FU15" s="3">
        <v>-24335.156000000003</v>
      </c>
      <c r="FV15" s="3">
        <v>-35625.836999999992</v>
      </c>
      <c r="FW15" s="3">
        <v>-21671.025999999998</v>
      </c>
      <c r="FX15" s="3">
        <v>-45903.125999999997</v>
      </c>
      <c r="FY15" s="3">
        <v>-15488.804999999982</v>
      </c>
      <c r="FZ15" s="3">
        <v>-12643.019999999997</v>
      </c>
      <c r="GA15" s="3">
        <v>-10971.125</v>
      </c>
      <c r="GB15" s="3">
        <v>-7832.317999999992</v>
      </c>
      <c r="GC15" s="3">
        <v>-13577.218000000001</v>
      </c>
      <c r="GD15" s="3">
        <v>-22468.919000000009</v>
      </c>
      <c r="GE15" s="3">
        <v>-31501.847999999998</v>
      </c>
      <c r="GF15" s="3">
        <v>-53386.457000000024</v>
      </c>
      <c r="GG15" s="3">
        <v>-30749.218000000015</v>
      </c>
      <c r="GH15" s="3">
        <v>-11827.722000000002</v>
      </c>
      <c r="GI15" s="3">
        <v>-20680.109000000008</v>
      </c>
      <c r="GJ15" s="3">
        <v>-22731.969999999998</v>
      </c>
      <c r="GK15" s="3">
        <v>-56305.472000000023</v>
      </c>
      <c r="GL15" s="3">
        <v>-14644.40800000001</v>
      </c>
      <c r="GM15" s="3">
        <v>-96656.001000000018</v>
      </c>
      <c r="GN15" s="3">
        <v>-35020.969000000012</v>
      </c>
      <c r="GO15" s="3">
        <v>-35292.365000000013</v>
      </c>
      <c r="GP15" s="3">
        <v>-31815.914000000004</v>
      </c>
      <c r="GQ15" s="3">
        <v>-8668.5499999999956</v>
      </c>
      <c r="GR15" s="3">
        <v>-10228.573999999997</v>
      </c>
      <c r="GT15" s="3">
        <v>-40320.553999999989</v>
      </c>
      <c r="GU15" s="3">
        <v>-11199.001999999997</v>
      </c>
      <c r="GV15" s="3">
        <v>-14766.361999999997</v>
      </c>
      <c r="GW15" s="3">
        <v>-34120.393000000011</v>
      </c>
      <c r="GX15" s="3">
        <v>-60328.673999999999</v>
      </c>
      <c r="GY15" s="3">
        <v>-28482.762000000017</v>
      </c>
      <c r="GZ15" s="3">
        <v>-27754.15800000001</v>
      </c>
      <c r="HB15" s="3">
        <v>-21647.664999999997</v>
      </c>
      <c r="HC15" s="3">
        <v>-36234.678000000014</v>
      </c>
      <c r="HD15" s="3">
        <v>-24491.494999999988</v>
      </c>
      <c r="HE15" s="3">
        <v>-3651.3290000000052</v>
      </c>
      <c r="HF15" s="3">
        <v>-122647.27799999999</v>
      </c>
      <c r="HG15" s="3">
        <v>-18935.817999999996</v>
      </c>
      <c r="HH15" s="3">
        <v>-31675.923999999992</v>
      </c>
      <c r="HI15" s="3">
        <v>-22076.160999999993</v>
      </c>
      <c r="HJ15" s="3">
        <v>-17364.55799999999</v>
      </c>
      <c r="HK15" s="3">
        <v>-38864.726999999999</v>
      </c>
      <c r="HL15" s="3">
        <v>119.34100000000001</v>
      </c>
      <c r="HM15" s="3">
        <v>-35192.787999999971</v>
      </c>
      <c r="HN15" s="3">
        <v>-58746.764999999999</v>
      </c>
      <c r="HO15" s="3">
        <v>-20044.464999999997</v>
      </c>
      <c r="HP15" s="3">
        <v>-32292.383000000009</v>
      </c>
      <c r="HQ15" s="3">
        <v>-5111985.5999999996</v>
      </c>
    </row>
    <row r="16" spans="1:226" x14ac:dyDescent="0.3">
      <c r="A16" s="66" t="s">
        <v>308</v>
      </c>
      <c r="B16" s="67">
        <v>-1974115.3660000011</v>
      </c>
      <c r="D16" s="3">
        <v>-5479.7111453401722</v>
      </c>
      <c r="E16" s="3">
        <v>-9032.6385404061166</v>
      </c>
      <c r="F16" s="3">
        <v>-23041.890606742272</v>
      </c>
      <c r="G16" s="3">
        <v>-16947.04285769719</v>
      </c>
      <c r="I16" s="3">
        <v>18604.056926802125</v>
      </c>
      <c r="J16" s="3">
        <v>3576.7214020283741</v>
      </c>
      <c r="K16" s="3">
        <v>-14146.321008924577</v>
      </c>
      <c r="O16" s="3">
        <v>-12133.977873601612</v>
      </c>
      <c r="P16" s="3">
        <v>-5178.201222422631</v>
      </c>
      <c r="Q16" s="3">
        <v>-6772.1969428220909</v>
      </c>
      <c r="R16" s="3">
        <v>456.97867074218811</v>
      </c>
      <c r="S16" s="3">
        <v>-4829.0604335570006</v>
      </c>
      <c r="T16" s="3">
        <v>-14217.33541984536</v>
      </c>
      <c r="U16" s="3">
        <v>-5429.4547211085337</v>
      </c>
      <c r="V16" s="3">
        <v>-6159.4327066132428</v>
      </c>
      <c r="W16" s="3">
        <v>-832.22603294216378</v>
      </c>
      <c r="X16" s="3">
        <v>-16563.420590606009</v>
      </c>
      <c r="Y16" s="3">
        <v>-4905.7202491036569</v>
      </c>
      <c r="Z16" s="3">
        <v>-7632.0680696501877</v>
      </c>
      <c r="AA16" s="3">
        <v>-17975.098879002264</v>
      </c>
      <c r="AB16" s="3">
        <v>-6178.7610157304334</v>
      </c>
      <c r="AC16" s="3">
        <v>-19079.243889295769</v>
      </c>
      <c r="AD16" s="3">
        <v>-4704.849977106509</v>
      </c>
      <c r="AE16" s="3">
        <v>-9686.6077403901581</v>
      </c>
      <c r="AF16" s="3">
        <v>-15290.767601791489</v>
      </c>
      <c r="AG16" s="3">
        <v>-27104.790953948454</v>
      </c>
      <c r="AH16" s="3">
        <v>-14607.710260912812</v>
      </c>
      <c r="AI16" s="3">
        <v>-1877.9926930815891</v>
      </c>
      <c r="AJ16" s="3">
        <v>-7568.2468257907112</v>
      </c>
      <c r="AK16" s="3">
        <v>-11466.120861478666</v>
      </c>
      <c r="AL16" s="3">
        <v>-7963.5258623380741</v>
      </c>
      <c r="AM16" s="3">
        <v>-6473.2162256508127</v>
      </c>
      <c r="AN16" s="3">
        <v>-9535.4323348249964</v>
      </c>
      <c r="AO16" s="3">
        <v>-6623.4771645586225</v>
      </c>
      <c r="AP16" s="3">
        <v>-3313.8256404344393</v>
      </c>
      <c r="AQ16" s="3">
        <v>-5027.7063060221371</v>
      </c>
      <c r="AR16" s="3">
        <v>-12569.86875172205</v>
      </c>
      <c r="AS16" s="3">
        <v>-1911.5352695293354</v>
      </c>
      <c r="AT16" s="3">
        <v>-695.89594466537028</v>
      </c>
      <c r="AU16" s="3">
        <v>-11314.060853298497</v>
      </c>
      <c r="AV16" s="3">
        <v>-1503.6907354215436</v>
      </c>
      <c r="AW16" s="3">
        <v>-12565.229912186493</v>
      </c>
      <c r="AX16" s="3">
        <v>-26768.260356220737</v>
      </c>
      <c r="AY16" s="3">
        <v>-10550.81294560033</v>
      </c>
      <c r="AZ16" s="3">
        <v>-21558.907983121437</v>
      </c>
      <c r="BA16" s="3">
        <v>-853.05206104955323</v>
      </c>
      <c r="BB16" s="3">
        <v>-12556.254910368225</v>
      </c>
      <c r="BC16" s="3">
        <v>3103.2533542939855</v>
      </c>
      <c r="BD16" s="3">
        <v>-21220.118728011264</v>
      </c>
      <c r="BE16" s="3">
        <v>-6321.5576365978977</v>
      </c>
      <c r="BF16" s="3">
        <v>-11620.058339829462</v>
      </c>
      <c r="BG16" s="3">
        <v>-23959.366264056887</v>
      </c>
      <c r="BH16" s="3">
        <v>-19362.52150751149</v>
      </c>
      <c r="BI16" s="3">
        <v>-17913.283164418775</v>
      </c>
      <c r="BJ16" s="3">
        <v>-22583.263542992223</v>
      </c>
      <c r="BK16" s="3">
        <v>-4382.2646518049205</v>
      </c>
      <c r="BL16" s="3">
        <v>-16204.101095367427</v>
      </c>
      <c r="BM16" s="3">
        <v>-21530.043380751493</v>
      </c>
      <c r="BN16" s="3">
        <v>-11766.977437364931</v>
      </c>
      <c r="BO16" s="3">
        <v>-3438.5382614881746</v>
      </c>
      <c r="BP16" s="3">
        <v>-9320.455602491973</v>
      </c>
      <c r="BQ16" s="3">
        <v>-3131.5779954957325</v>
      </c>
      <c r="BR16" s="3">
        <v>-19922.024869699846</v>
      </c>
      <c r="BS16" s="3">
        <v>20148.508674397028</v>
      </c>
      <c r="BT16" s="3">
        <v>-7615.5090281159792</v>
      </c>
      <c r="BU16" s="3">
        <v>-7269.9049762345821</v>
      </c>
      <c r="BV16" s="3">
        <v>-17695.027358113701</v>
      </c>
      <c r="BW16" s="3">
        <v>-907.2794995998338</v>
      </c>
      <c r="BX16" s="3">
        <v>-20236.38366262924</v>
      </c>
      <c r="BY16" s="3">
        <v>2919.3887977128925</v>
      </c>
      <c r="BZ16" s="3">
        <v>-7116.2076643506571</v>
      </c>
      <c r="CA16" s="3">
        <v>-8597.0886004516506</v>
      </c>
      <c r="CB16" s="3">
        <v>-31945.587721529664</v>
      </c>
      <c r="CC16" s="3">
        <v>-7033.2780093567089</v>
      </c>
      <c r="CD16" s="3">
        <v>-4241.9195517970693</v>
      </c>
      <c r="CE16" s="3">
        <v>1283.958006646244</v>
      </c>
      <c r="CF16" s="3">
        <v>-8613.8985340804884</v>
      </c>
      <c r="CG16" s="3">
        <v>-6265.790607109544</v>
      </c>
      <c r="CH16" s="3">
        <v>-5349.5635077631359</v>
      </c>
      <c r="CI16" s="3">
        <v>-9240.9314079732394</v>
      </c>
      <c r="CJ16" s="3">
        <v>-5798.369049627976</v>
      </c>
      <c r="CK16" s="3">
        <v>-3525.9529168811932</v>
      </c>
      <c r="CL16" s="3">
        <v>-564.30856220736041</v>
      </c>
      <c r="CM16" s="3">
        <v>-15643.634006712389</v>
      </c>
      <c r="CN16" s="3">
        <v>-25443.393174035831</v>
      </c>
      <c r="CO16" s="3">
        <v>-6735.202527909707</v>
      </c>
      <c r="CP16" s="3">
        <v>-2584.4617870847105</v>
      </c>
      <c r="CQ16" s="3">
        <v>-12250.224348449679</v>
      </c>
      <c r="CR16" s="3">
        <v>-6393.7455890631481</v>
      </c>
      <c r="CS16" s="3">
        <v>-6524.1752395520707</v>
      </c>
      <c r="CT16" s="3">
        <v>-10199.309786644553</v>
      </c>
      <c r="CU16" s="3">
        <v>-20482.526590702568</v>
      </c>
      <c r="CV16" s="3">
        <v>-11025.520935652145</v>
      </c>
      <c r="CW16" s="3">
        <v>-19886.543598289747</v>
      </c>
      <c r="CX16" s="3">
        <v>-4173.0171063486523</v>
      </c>
      <c r="CY16" s="3">
        <v>-4435.7771741455163</v>
      </c>
      <c r="CZ16" s="3">
        <v>-5859.4768290564753</v>
      </c>
      <c r="DA16" s="3">
        <v>-5155.9159373643688</v>
      </c>
      <c r="DB16" s="3">
        <v>-21959.044789841802</v>
      </c>
      <c r="DC16" s="3">
        <v>-3683.1654537213544</v>
      </c>
      <c r="DD16" s="3">
        <v>1031.1145654220727</v>
      </c>
      <c r="DE16" s="3">
        <v>-14417.996308048707</v>
      </c>
      <c r="DF16" s="3">
        <v>-5667.8016893441054</v>
      </c>
      <c r="DG16" s="3">
        <v>-5226.7831753489227</v>
      </c>
      <c r="DH16" s="3">
        <v>-7385.6739210903324</v>
      </c>
      <c r="DI16" s="3">
        <v>-6056.0375633595322</v>
      </c>
      <c r="DJ16" s="3">
        <v>-13088.70307511837</v>
      </c>
      <c r="DK16" s="3">
        <v>-3501.638728150705</v>
      </c>
      <c r="DL16" s="3">
        <v>-15270.412424205784</v>
      </c>
      <c r="DM16" s="3">
        <v>-5741.5234427152536</v>
      </c>
      <c r="DN16" s="3">
        <v>-7702.5862664410652</v>
      </c>
      <c r="DP16" s="3">
        <v>395.46503062824195</v>
      </c>
      <c r="DQ16" s="3">
        <v>-10598.372409890973</v>
      </c>
      <c r="DR16" s="3">
        <v>1865.1030579519502</v>
      </c>
      <c r="DS16" s="3">
        <v>-12675.305975137862</v>
      </c>
      <c r="DT16" s="3">
        <v>-29941.021483663768</v>
      </c>
      <c r="DU16" s="3">
        <v>242.81075098870315</v>
      </c>
      <c r="DV16" s="3">
        <v>218.70586564902351</v>
      </c>
      <c r="DW16" s="3">
        <v>-35.572205207049819</v>
      </c>
      <c r="DX16" s="3">
        <v>-602.46338473570631</v>
      </c>
      <c r="DY16" s="3">
        <v>368.14476281112047</v>
      </c>
      <c r="EA16" s="3">
        <v>385.77782808917232</v>
      </c>
      <c r="EB16" s="3">
        <v>-59.69912168501105</v>
      </c>
      <c r="EC16" s="3">
        <v>-11436.953788049846</v>
      </c>
      <c r="ED16" s="3">
        <v>-2706.038074329188</v>
      </c>
      <c r="EE16" s="3">
        <v>-18983.130394200562</v>
      </c>
      <c r="EF16" s="3">
        <v>-17860.259047317886</v>
      </c>
      <c r="EG16" s="3">
        <v>-3060.0151188458949</v>
      </c>
      <c r="EH16" s="3">
        <v>-14077.399183230529</v>
      </c>
      <c r="EI16" s="3">
        <v>-1907.910672880178</v>
      </c>
      <c r="EJ16" s="3">
        <v>-24933.152655943311</v>
      </c>
      <c r="ES16" s="3">
        <v>-9235.372878911654</v>
      </c>
      <c r="ET16" s="3">
        <v>-7511.6631605818147</v>
      </c>
      <c r="EU16" s="3">
        <v>-15245.295661130483</v>
      </c>
      <c r="EV16" s="3">
        <v>-9496.5133917529165</v>
      </c>
      <c r="EW16" s="3">
        <v>-7364.349151897708</v>
      </c>
      <c r="EX16" s="3">
        <v>-10143.685772650671</v>
      </c>
      <c r="EY16" s="3">
        <v>-11551.687472475653</v>
      </c>
      <c r="EZ16" s="3">
        <v>-13404.602285681474</v>
      </c>
      <c r="FA16" s="3">
        <v>-920.97575961471011</v>
      </c>
      <c r="FB16" s="3">
        <v>-22001.408666027237</v>
      </c>
      <c r="FC16" s="3">
        <v>-19875.404047798969</v>
      </c>
      <c r="FD16" s="3">
        <v>-21945.638985414422</v>
      </c>
      <c r="FE16" s="3">
        <v>20407.364720203477</v>
      </c>
      <c r="FF16" s="3">
        <v>-3532.1821946757482</v>
      </c>
      <c r="FG16" s="3">
        <v>-18779.645636119782</v>
      </c>
      <c r="FH16" s="3">
        <v>-25770.426269820127</v>
      </c>
      <c r="FI16" s="3">
        <v>-11637.010846047786</v>
      </c>
      <c r="FJ16" s="3">
        <v>-19264.110284984803</v>
      </c>
      <c r="FK16" s="3">
        <v>-7687.8789455588685</v>
      </c>
      <c r="FL16" s="3">
        <v>-8233.0923207126543</v>
      </c>
      <c r="FM16" s="3">
        <v>-5480.071624700573</v>
      </c>
      <c r="FN16" s="3">
        <v>-6011.5506648510927</v>
      </c>
      <c r="FO16" s="3">
        <v>-3718.1600723447864</v>
      </c>
      <c r="FP16" s="3">
        <v>-19599.909196206499</v>
      </c>
      <c r="FQ16" s="3">
        <v>-14541.418756766179</v>
      </c>
      <c r="FS16" s="3">
        <v>-5253.7770504430082</v>
      </c>
      <c r="FT16" s="3">
        <v>-622.06525974500164</v>
      </c>
      <c r="FU16" s="3">
        <v>-15338.819289872707</v>
      </c>
      <c r="FV16" s="3">
        <v>-16371.426655356991</v>
      </c>
      <c r="FW16" s="3">
        <v>-7836.795641075847</v>
      </c>
      <c r="FX16" s="3">
        <v>-20847.22517942894</v>
      </c>
      <c r="FY16" s="3">
        <v>-4764.0737044464513</v>
      </c>
      <c r="FZ16" s="3">
        <v>-5345.3854204432573</v>
      </c>
      <c r="GA16" s="3">
        <v>-4347.461318767977</v>
      </c>
      <c r="GB16" s="3">
        <v>3729.8155927025291</v>
      </c>
      <c r="GC16" s="3">
        <v>-3760.353027707617</v>
      </c>
      <c r="GD16" s="3">
        <v>-9630.5799632559956</v>
      </c>
      <c r="GE16" s="3">
        <v>-16820.518115212417</v>
      </c>
      <c r="GF16" s="3">
        <v>-22087.984872253823</v>
      </c>
      <c r="GG16" s="3">
        <v>-13613.136258012553</v>
      </c>
      <c r="GH16" s="3">
        <v>-4508.9527743261297</v>
      </c>
      <c r="GI16" s="3">
        <v>-9662.9017414341888</v>
      </c>
      <c r="GJ16" s="3">
        <v>-10815.242108698199</v>
      </c>
      <c r="GK16" s="3">
        <v>-22798.75187806756</v>
      </c>
      <c r="GL16" s="3">
        <v>329.99795382823868</v>
      </c>
      <c r="GM16" s="3">
        <v>-46148.465066261349</v>
      </c>
      <c r="GN16" s="3">
        <v>-12142.435295243857</v>
      </c>
      <c r="GO16" s="3">
        <v>-16793.860568637388</v>
      </c>
      <c r="GP16" s="3">
        <v>-12957.737434228242</v>
      </c>
      <c r="GQ16" s="3">
        <v>-1557.7008828497328</v>
      </c>
      <c r="GR16" s="3">
        <v>-2823.4805852820127</v>
      </c>
      <c r="GT16" s="3">
        <v>-17726.19474208686</v>
      </c>
      <c r="GU16" s="3">
        <v>-2574.0493392779808</v>
      </c>
      <c r="GV16" s="3">
        <v>-6679.1202105551183</v>
      </c>
      <c r="GW16" s="3">
        <v>-16390.888361973561</v>
      </c>
      <c r="GX16" s="3">
        <v>-29208.673625147087</v>
      </c>
      <c r="GY16" s="3">
        <v>-10459.504025404829</v>
      </c>
      <c r="GZ16" s="3">
        <v>-11673.665983973642</v>
      </c>
      <c r="HB16" s="3">
        <v>-10593.805045087382</v>
      </c>
      <c r="HC16" s="3">
        <v>-18648.82357932641</v>
      </c>
      <c r="HD16" s="3">
        <v>-9249.1626639012429</v>
      </c>
      <c r="HE16" s="3">
        <v>5577.8393795151951</v>
      </c>
      <c r="HF16" s="3">
        <v>-36265.257798434526</v>
      </c>
      <c r="HG16" s="3">
        <v>-8168.829240762434</v>
      </c>
      <c r="HH16" s="3">
        <v>-12623.350544535362</v>
      </c>
      <c r="HI16" s="3">
        <v>-8892.3840709525957</v>
      </c>
      <c r="HJ16" s="3">
        <v>-7824.7217282575439</v>
      </c>
      <c r="HK16" s="3">
        <v>-12908.505497880768</v>
      </c>
      <c r="HL16" s="3">
        <v>121.54876121705017</v>
      </c>
      <c r="HM16" s="3">
        <v>-15434.346806107984</v>
      </c>
      <c r="HN16" s="3">
        <v>-27977.209289600174</v>
      </c>
      <c r="HO16" s="3">
        <v>-8967.9764859078296</v>
      </c>
      <c r="HP16" s="3">
        <v>-12566.62142853401</v>
      </c>
      <c r="HQ16" s="3">
        <v>-1986076.3640000003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2079C-CB67-4784-B79A-37AEE2127D0B}">
  <dimension ref="A3:HL11"/>
  <sheetViews>
    <sheetView workbookViewId="0">
      <selection activeCell="B4" sqref="B4"/>
    </sheetView>
  </sheetViews>
  <sheetFormatPr baseColWidth="10" defaultRowHeight="14.4" x14ac:dyDescent="0.3"/>
  <cols>
    <col min="1" max="1" width="28.6640625" bestFit="1" customWidth="1"/>
    <col min="2" max="2" width="28.6640625" customWidth="1"/>
    <col min="3" max="219" width="54.6640625" bestFit="1" customWidth="1"/>
    <col min="220" max="220" width="11.44140625" bestFit="1" customWidth="1"/>
    <col min="221" max="638" width="58.33203125" bestFit="1" customWidth="1"/>
    <col min="639" max="639" width="23" bestFit="1" customWidth="1"/>
    <col min="640" max="640" width="27.6640625" bestFit="1" customWidth="1"/>
    <col min="641" max="641" width="35" bestFit="1" customWidth="1"/>
  </cols>
  <sheetData>
    <row r="3" spans="1:220" x14ac:dyDescent="0.3">
      <c r="C3" s="10" t="s">
        <v>5</v>
      </c>
      <c r="D3" s="10" t="s">
        <v>239</v>
      </c>
      <c r="E3" s="10" t="s">
        <v>237</v>
      </c>
      <c r="F3" s="10" t="s">
        <v>236</v>
      </c>
      <c r="G3" s="10" t="s">
        <v>234</v>
      </c>
      <c r="H3" s="10" t="s">
        <v>31</v>
      </c>
      <c r="I3" s="10" t="s">
        <v>32</v>
      </c>
      <c r="J3" s="10" t="s">
        <v>235</v>
      </c>
    </row>
    <row r="4" spans="1:220" x14ac:dyDescent="0.3">
      <c r="A4" s="13" t="s">
        <v>266</v>
      </c>
      <c r="B4" s="13"/>
      <c r="C4" t="s">
        <v>279</v>
      </c>
      <c r="D4" t="s">
        <v>270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46</v>
      </c>
      <c r="R4" t="s">
        <v>47</v>
      </c>
      <c r="S4" t="s">
        <v>48</v>
      </c>
      <c r="T4" t="s">
        <v>49</v>
      </c>
      <c r="U4" t="s">
        <v>50</v>
      </c>
      <c r="V4" t="s">
        <v>51</v>
      </c>
      <c r="W4" t="s">
        <v>52</v>
      </c>
      <c r="X4" t="s">
        <v>53</v>
      </c>
      <c r="Y4" t="s">
        <v>54</v>
      </c>
      <c r="Z4" t="s">
        <v>55</v>
      </c>
      <c r="AA4" t="s">
        <v>56</v>
      </c>
      <c r="AB4" t="s">
        <v>57</v>
      </c>
      <c r="AC4" t="s">
        <v>58</v>
      </c>
      <c r="AD4" t="s">
        <v>59</v>
      </c>
      <c r="AE4" t="s">
        <v>60</v>
      </c>
      <c r="AF4" t="s">
        <v>275</v>
      </c>
      <c r="AG4" t="s">
        <v>61</v>
      </c>
      <c r="AH4" t="s">
        <v>62</v>
      </c>
      <c r="AI4" t="s">
        <v>63</v>
      </c>
      <c r="AJ4" t="s">
        <v>64</v>
      </c>
      <c r="AK4" t="s">
        <v>65</v>
      </c>
      <c r="AL4" t="s">
        <v>66</v>
      </c>
      <c r="AM4" t="s">
        <v>67</v>
      </c>
      <c r="AN4" t="s">
        <v>68</v>
      </c>
      <c r="AO4" t="s">
        <v>69</v>
      </c>
      <c r="AP4" t="s">
        <v>70</v>
      </c>
      <c r="AQ4" t="s">
        <v>71</v>
      </c>
      <c r="AR4" t="s">
        <v>72</v>
      </c>
      <c r="AS4" t="s">
        <v>73</v>
      </c>
      <c r="AT4" t="s">
        <v>74</v>
      </c>
      <c r="AU4" t="s">
        <v>75</v>
      </c>
      <c r="AV4" t="s">
        <v>76</v>
      </c>
      <c r="AW4" t="s">
        <v>77</v>
      </c>
      <c r="AX4" t="s">
        <v>78</v>
      </c>
      <c r="AY4" t="s">
        <v>79</v>
      </c>
      <c r="AZ4" t="s">
        <v>80</v>
      </c>
      <c r="BA4" t="s">
        <v>81</v>
      </c>
      <c r="BB4" t="s">
        <v>82</v>
      </c>
      <c r="BC4" t="s">
        <v>83</v>
      </c>
      <c r="BD4" t="s">
        <v>84</v>
      </c>
      <c r="BE4" t="s">
        <v>85</v>
      </c>
      <c r="BF4" t="s">
        <v>86</v>
      </c>
      <c r="BG4" t="s">
        <v>87</v>
      </c>
      <c r="BH4" t="s">
        <v>88</v>
      </c>
      <c r="BI4" t="s">
        <v>89</v>
      </c>
      <c r="BJ4" t="s">
        <v>90</v>
      </c>
      <c r="BK4" t="s">
        <v>276</v>
      </c>
      <c r="BL4" t="s">
        <v>91</v>
      </c>
      <c r="BM4" t="s">
        <v>92</v>
      </c>
      <c r="BN4" t="s">
        <v>93</v>
      </c>
      <c r="BO4" t="s">
        <v>94</v>
      </c>
      <c r="BP4" t="s">
        <v>95</v>
      </c>
      <c r="BQ4" t="s">
        <v>281</v>
      </c>
      <c r="BR4" t="s">
        <v>96</v>
      </c>
      <c r="BS4" t="s">
        <v>97</v>
      </c>
      <c r="BT4" t="s">
        <v>98</v>
      </c>
      <c r="BU4" t="s">
        <v>99</v>
      </c>
      <c r="BV4" t="s">
        <v>100</v>
      </c>
      <c r="BW4" t="s">
        <v>101</v>
      </c>
      <c r="BX4" t="s">
        <v>271</v>
      </c>
      <c r="BY4" t="s">
        <v>102</v>
      </c>
      <c r="BZ4" t="s">
        <v>103</v>
      </c>
      <c r="CA4" t="s">
        <v>104</v>
      </c>
      <c r="CB4" t="s">
        <v>105</v>
      </c>
      <c r="CC4" t="s">
        <v>106</v>
      </c>
      <c r="CD4" t="s">
        <v>107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J4" t="s">
        <v>113</v>
      </c>
      <c r="CK4" t="s">
        <v>114</v>
      </c>
      <c r="CL4" t="s">
        <v>115</v>
      </c>
      <c r="CM4" t="s">
        <v>116</v>
      </c>
      <c r="CN4" t="s">
        <v>117</v>
      </c>
      <c r="CO4" t="s">
        <v>118</v>
      </c>
      <c r="CP4" t="s">
        <v>119</v>
      </c>
      <c r="CQ4" t="s">
        <v>120</v>
      </c>
      <c r="CR4" t="s">
        <v>121</v>
      </c>
      <c r="CS4" t="s">
        <v>122</v>
      </c>
      <c r="CT4" t="s">
        <v>123</v>
      </c>
      <c r="CU4" t="s">
        <v>124</v>
      </c>
      <c r="CV4" t="s">
        <v>125</v>
      </c>
      <c r="CW4" t="s">
        <v>126</v>
      </c>
      <c r="CX4" t="s">
        <v>127</v>
      </c>
      <c r="CY4" t="s">
        <v>128</v>
      </c>
      <c r="CZ4" t="s">
        <v>129</v>
      </c>
      <c r="DA4" t="s">
        <v>130</v>
      </c>
      <c r="DB4" t="s">
        <v>131</v>
      </c>
      <c r="DC4" t="s">
        <v>282</v>
      </c>
      <c r="DD4" t="s">
        <v>132</v>
      </c>
      <c r="DE4" t="s">
        <v>133</v>
      </c>
      <c r="DF4" t="s">
        <v>134</v>
      </c>
      <c r="DG4" t="s">
        <v>135</v>
      </c>
      <c r="DH4" t="s">
        <v>136</v>
      </c>
      <c r="DI4" t="s">
        <v>137</v>
      </c>
      <c r="DJ4" t="s">
        <v>138</v>
      </c>
      <c r="DK4" t="s">
        <v>139</v>
      </c>
      <c r="DL4" t="s">
        <v>140</v>
      </c>
      <c r="DM4" t="s">
        <v>141</v>
      </c>
      <c r="DN4" t="s">
        <v>142</v>
      </c>
      <c r="DO4" t="s">
        <v>143</v>
      </c>
      <c r="DP4" t="s">
        <v>144</v>
      </c>
      <c r="DQ4" t="s">
        <v>145</v>
      </c>
      <c r="DR4" t="s">
        <v>277</v>
      </c>
      <c r="DS4" t="s">
        <v>146</v>
      </c>
      <c r="DT4" t="s">
        <v>147</v>
      </c>
      <c r="DU4" t="s">
        <v>148</v>
      </c>
      <c r="DV4" t="s">
        <v>149</v>
      </c>
      <c r="DW4" t="s">
        <v>150</v>
      </c>
      <c r="DX4" t="s">
        <v>151</v>
      </c>
      <c r="DY4" t="s">
        <v>152</v>
      </c>
      <c r="DZ4" t="s">
        <v>153</v>
      </c>
      <c r="EA4" t="s">
        <v>154</v>
      </c>
      <c r="EB4" t="s">
        <v>155</v>
      </c>
      <c r="EC4" t="s">
        <v>156</v>
      </c>
      <c r="ED4" t="s">
        <v>157</v>
      </c>
      <c r="EE4" t="s">
        <v>278</v>
      </c>
      <c r="EF4" t="s">
        <v>158</v>
      </c>
      <c r="EG4" t="s">
        <v>159</v>
      </c>
      <c r="EH4" t="s">
        <v>160</v>
      </c>
      <c r="EI4" t="s">
        <v>161</v>
      </c>
      <c r="EJ4" t="s">
        <v>162</v>
      </c>
      <c r="EK4" t="s">
        <v>163</v>
      </c>
      <c r="EL4" t="s">
        <v>164</v>
      </c>
      <c r="EM4" t="s">
        <v>165</v>
      </c>
      <c r="EN4" t="s">
        <v>166</v>
      </c>
      <c r="EO4" t="s">
        <v>167</v>
      </c>
      <c r="EP4" t="s">
        <v>168</v>
      </c>
      <c r="EQ4" t="s">
        <v>169</v>
      </c>
      <c r="ER4" t="s">
        <v>170</v>
      </c>
      <c r="ES4" t="s">
        <v>171</v>
      </c>
      <c r="ET4" t="s">
        <v>172</v>
      </c>
      <c r="EU4" t="s">
        <v>173</v>
      </c>
      <c r="EV4" t="s">
        <v>174</v>
      </c>
      <c r="EW4" t="s">
        <v>175</v>
      </c>
      <c r="EX4" t="s">
        <v>176</v>
      </c>
      <c r="EY4" t="s">
        <v>177</v>
      </c>
      <c r="EZ4" t="s">
        <v>178</v>
      </c>
      <c r="FA4" t="s">
        <v>179</v>
      </c>
      <c r="FB4" t="s">
        <v>180</v>
      </c>
      <c r="FC4" t="s">
        <v>181</v>
      </c>
      <c r="FD4" t="s">
        <v>182</v>
      </c>
      <c r="FE4" t="s">
        <v>183</v>
      </c>
      <c r="FF4" t="s">
        <v>184</v>
      </c>
      <c r="FG4" t="s">
        <v>185</v>
      </c>
      <c r="FH4" t="s">
        <v>186</v>
      </c>
      <c r="FI4" t="s">
        <v>187</v>
      </c>
      <c r="FJ4" t="s">
        <v>188</v>
      </c>
      <c r="FK4" t="s">
        <v>189</v>
      </c>
      <c r="FL4" t="s">
        <v>190</v>
      </c>
      <c r="FM4" t="s">
        <v>191</v>
      </c>
      <c r="FN4" t="s">
        <v>192</v>
      </c>
      <c r="FO4" t="s">
        <v>193</v>
      </c>
      <c r="FP4" t="s">
        <v>194</v>
      </c>
      <c r="FQ4" t="s">
        <v>195</v>
      </c>
      <c r="FR4" t="s">
        <v>196</v>
      </c>
      <c r="FS4" t="s">
        <v>284</v>
      </c>
      <c r="FT4" t="s">
        <v>197</v>
      </c>
      <c r="FU4" t="s">
        <v>198</v>
      </c>
      <c r="FV4" t="s">
        <v>199</v>
      </c>
      <c r="FW4" t="s">
        <v>200</v>
      </c>
      <c r="FX4" t="s">
        <v>201</v>
      </c>
      <c r="FY4" t="s">
        <v>202</v>
      </c>
      <c r="FZ4" t="s">
        <v>203</v>
      </c>
      <c r="GA4" t="s">
        <v>204</v>
      </c>
      <c r="GB4" t="s">
        <v>205</v>
      </c>
      <c r="GC4" t="s">
        <v>206</v>
      </c>
      <c r="GD4" t="s">
        <v>207</v>
      </c>
      <c r="GE4" t="s">
        <v>208</v>
      </c>
      <c r="GF4" t="s">
        <v>209</v>
      </c>
      <c r="GG4" t="s">
        <v>210</v>
      </c>
      <c r="GH4" t="s">
        <v>211</v>
      </c>
      <c r="GI4" t="s">
        <v>212</v>
      </c>
      <c r="GJ4" t="s">
        <v>213</v>
      </c>
      <c r="GK4" t="s">
        <v>214</v>
      </c>
      <c r="GL4" t="s">
        <v>215</v>
      </c>
      <c r="GM4" t="s">
        <v>216</v>
      </c>
      <c r="GN4" t="s">
        <v>217</v>
      </c>
      <c r="GO4" t="s">
        <v>218</v>
      </c>
      <c r="GP4" t="s">
        <v>219</v>
      </c>
      <c r="GQ4" t="s">
        <v>220</v>
      </c>
      <c r="GR4" t="s">
        <v>221</v>
      </c>
      <c r="GS4" t="s">
        <v>222</v>
      </c>
      <c r="GT4" t="s">
        <v>223</v>
      </c>
      <c r="GU4" t="s">
        <v>224</v>
      </c>
      <c r="GV4" t="s">
        <v>225</v>
      </c>
      <c r="GW4" t="s">
        <v>226</v>
      </c>
      <c r="GX4" t="s">
        <v>227</v>
      </c>
      <c r="GY4" t="s">
        <v>228</v>
      </c>
      <c r="GZ4" t="s">
        <v>229</v>
      </c>
      <c r="HA4" t="s">
        <v>230</v>
      </c>
      <c r="HB4" t="s">
        <v>231</v>
      </c>
      <c r="HC4" t="s">
        <v>232</v>
      </c>
      <c r="HD4" t="s">
        <v>287</v>
      </c>
      <c r="HE4" t="s">
        <v>288</v>
      </c>
      <c r="HF4" t="s">
        <v>289</v>
      </c>
      <c r="HG4" t="s">
        <v>290</v>
      </c>
      <c r="HH4" t="s">
        <v>272</v>
      </c>
      <c r="HI4" t="s">
        <v>293</v>
      </c>
      <c r="HJ4" t="s">
        <v>299</v>
      </c>
      <c r="HK4" t="s">
        <v>283</v>
      </c>
      <c r="HL4" t="s">
        <v>0</v>
      </c>
    </row>
    <row r="5" spans="1:220" x14ac:dyDescent="0.3">
      <c r="A5" s="13" t="s">
        <v>3</v>
      </c>
      <c r="B5" s="13"/>
      <c r="C5" s="3">
        <v>-16420.285100000001</v>
      </c>
      <c r="D5" s="3">
        <v>-30098.349500000004</v>
      </c>
      <c r="E5" s="3">
        <v>-79557.044899999979</v>
      </c>
      <c r="F5" s="3">
        <v>-38738.390000000014</v>
      </c>
      <c r="G5" s="3">
        <v>-31702.703400000017</v>
      </c>
      <c r="H5" s="3">
        <v>-75182.00529999999</v>
      </c>
      <c r="I5" s="3">
        <v>-5791.3038999999981</v>
      </c>
      <c r="J5" s="3">
        <v>-8062.1670999999988</v>
      </c>
      <c r="K5" s="3">
        <v>-35368.000100000005</v>
      </c>
      <c r="L5" s="3">
        <v>-22183.713699999993</v>
      </c>
      <c r="M5" s="3">
        <v>-25422.352699999996</v>
      </c>
      <c r="N5" s="3">
        <v>-22309.494999999999</v>
      </c>
      <c r="O5" s="3">
        <v>-56551.017800000009</v>
      </c>
      <c r="P5" s="3">
        <v>-40307.834600000002</v>
      </c>
      <c r="Q5" s="3">
        <v>-32291.7304</v>
      </c>
      <c r="R5" s="3">
        <v>-65768.033299999996</v>
      </c>
      <c r="S5" s="3">
        <v>-27569.720200000003</v>
      </c>
      <c r="T5" s="3">
        <v>-41365.876100000016</v>
      </c>
      <c r="U5" s="3">
        <v>-65132.923799999997</v>
      </c>
      <c r="V5" s="3">
        <v>-30724.552599999995</v>
      </c>
      <c r="W5" s="3">
        <v>-70755.445900000021</v>
      </c>
      <c r="X5" s="3">
        <v>-20665.978900000002</v>
      </c>
      <c r="Y5" s="3">
        <v>-31283.000799999987</v>
      </c>
      <c r="Z5" s="3">
        <v>-42926.093199999996</v>
      </c>
      <c r="AA5" s="3">
        <v>-84185.180599999992</v>
      </c>
      <c r="AB5" s="3">
        <v>-64801.331500000008</v>
      </c>
      <c r="AC5" s="3">
        <v>-19258.519899999996</v>
      </c>
      <c r="AD5" s="3">
        <v>-29421.965400000005</v>
      </c>
      <c r="AE5" s="3">
        <v>-52549.423100000015</v>
      </c>
      <c r="AF5" s="3">
        <v>-26154.751399999997</v>
      </c>
      <c r="AG5" s="3">
        <v>-30970.117299999994</v>
      </c>
      <c r="AH5" s="3">
        <v>-56843.328700000035</v>
      </c>
      <c r="AI5" s="3">
        <v>-21216.427500000009</v>
      </c>
      <c r="AJ5" s="3">
        <v>-35552.059399999991</v>
      </c>
      <c r="AK5" s="3">
        <v>-38397.216800000009</v>
      </c>
      <c r="AL5" s="3">
        <v>-38272.708999999995</v>
      </c>
      <c r="AM5" s="3">
        <v>-14140.095500000001</v>
      </c>
      <c r="AN5" s="3">
        <v>-29022.717500000002</v>
      </c>
      <c r="AO5" s="3">
        <v>-104753.17789999988</v>
      </c>
      <c r="AP5" s="3">
        <v>-32112.251100000001</v>
      </c>
      <c r="AQ5" s="3">
        <v>-55750.942199999983</v>
      </c>
      <c r="AR5" s="3">
        <v>-73649.145200000028</v>
      </c>
      <c r="AS5" s="3">
        <v>-74383.693499999994</v>
      </c>
      <c r="AT5" s="3">
        <v>-57989.749799999976</v>
      </c>
      <c r="AU5" s="3">
        <v>-44818.538699999997</v>
      </c>
      <c r="AV5" s="3">
        <v>-39239.768400000001</v>
      </c>
      <c r="AW5" s="3">
        <v>-83637.398799999952</v>
      </c>
      <c r="AX5" s="3">
        <v>-82749.309099999984</v>
      </c>
      <c r="AY5" s="3">
        <v>-76756.398000000016</v>
      </c>
      <c r="AZ5" s="3">
        <v>-76646.627199999988</v>
      </c>
      <c r="BA5" s="3">
        <v>-48156.325900000011</v>
      </c>
      <c r="BB5" s="3">
        <v>-67356.485100000005</v>
      </c>
      <c r="BC5" s="3">
        <v>-34912.526900000004</v>
      </c>
      <c r="BD5" s="3">
        <v>-31901.93810000001</v>
      </c>
      <c r="BE5" s="3">
        <v>-32921.081700000002</v>
      </c>
      <c r="BF5" s="3">
        <v>0</v>
      </c>
      <c r="BG5" s="3">
        <v>-12515.677299999999</v>
      </c>
      <c r="BH5" s="3">
        <v>-40548.624300000003</v>
      </c>
      <c r="BI5" s="3">
        <v>-70046.469400000002</v>
      </c>
      <c r="BJ5" s="3">
        <v>-51010.104300000035</v>
      </c>
      <c r="BK5" s="3">
        <v>-22714.647199999999</v>
      </c>
      <c r="BL5" s="3">
        <v>-75094.302199999976</v>
      </c>
      <c r="BM5" s="3">
        <v>-9841.0005999999994</v>
      </c>
      <c r="BN5" s="3">
        <v>-70337.56819999998</v>
      </c>
      <c r="BO5" s="3">
        <v>-31265.090000000004</v>
      </c>
      <c r="BP5" s="3">
        <v>-20286.496200000001</v>
      </c>
      <c r="BQ5" s="3">
        <v>-25156.368000000002</v>
      </c>
      <c r="BR5" s="3">
        <v>-547431.41429999983</v>
      </c>
      <c r="BS5" s="3">
        <v>-30973.905300000009</v>
      </c>
      <c r="BT5" s="3">
        <v>-27286.744900000005</v>
      </c>
      <c r="BU5" s="3">
        <v>-24582.882000000001</v>
      </c>
      <c r="BV5" s="3">
        <v>-24635.005900000004</v>
      </c>
      <c r="BW5" s="3">
        <v>-7822.2114999999985</v>
      </c>
      <c r="BX5" s="3">
        <v>-20661.254500000006</v>
      </c>
      <c r="BY5" s="3">
        <v>-16035.903999999997</v>
      </c>
      <c r="BZ5" s="3">
        <v>-11702.9467</v>
      </c>
      <c r="CA5" s="3">
        <v>-5978.489700000001</v>
      </c>
      <c r="CB5" s="3">
        <v>-38883.731300000014</v>
      </c>
      <c r="CC5" s="3">
        <v>-69413.491699999999</v>
      </c>
      <c r="CD5" s="3">
        <v>-23414.1999</v>
      </c>
      <c r="CE5" s="3">
        <v>-23268.951900000004</v>
      </c>
      <c r="CF5" s="3">
        <v>-56248.979300000006</v>
      </c>
      <c r="CG5" s="3">
        <v>-14263.466200000001</v>
      </c>
      <c r="CH5" s="3">
        <v>-46591.870700000007</v>
      </c>
      <c r="CI5" s="3">
        <v>-44267.767899999999</v>
      </c>
      <c r="CJ5" s="3">
        <v>-50472.0628</v>
      </c>
      <c r="CK5" s="3">
        <v>-29656.507300000008</v>
      </c>
      <c r="CL5" s="3">
        <v>-59168.6201</v>
      </c>
      <c r="CM5" s="3">
        <v>-31155.9647</v>
      </c>
      <c r="CN5" s="3">
        <v>-20518.665700000001</v>
      </c>
      <c r="CO5" s="3">
        <v>-32911.512800000004</v>
      </c>
      <c r="CP5" s="3">
        <v>-24850.736700000001</v>
      </c>
      <c r="CQ5" s="3">
        <v>-25549.104900000009</v>
      </c>
      <c r="CR5" s="3">
        <v>-32899.219300000012</v>
      </c>
      <c r="CS5" s="3">
        <v>-17346.034</v>
      </c>
      <c r="CT5" s="3">
        <v>-40480.253400000009</v>
      </c>
      <c r="CU5" s="3">
        <v>-21807.269300000004</v>
      </c>
      <c r="CV5" s="3">
        <v>-13190.9861</v>
      </c>
      <c r="CW5" s="3">
        <v>-44718.011200000001</v>
      </c>
      <c r="CX5" s="3">
        <v>-19966.899300000001</v>
      </c>
      <c r="CY5" s="3">
        <v>-54491.955500000011</v>
      </c>
      <c r="CZ5" s="3">
        <v>-31068.24010000001</v>
      </c>
      <c r="DA5" s="3">
        <v>-67791.155499999993</v>
      </c>
      <c r="DB5" s="3">
        <v>-18371.479299999995</v>
      </c>
      <c r="DC5" s="3">
        <v>-29754.704000000009</v>
      </c>
      <c r="DD5" s="3">
        <v>0</v>
      </c>
      <c r="DE5" s="3">
        <v>-37839.124900000003</v>
      </c>
      <c r="DF5" s="3">
        <v>-34949.712200000016</v>
      </c>
      <c r="DG5" s="3">
        <v>-24656.467800000002</v>
      </c>
      <c r="DH5" s="3">
        <v>-39284.309899999993</v>
      </c>
      <c r="DI5" s="3">
        <v>-100391.52559999995</v>
      </c>
      <c r="DJ5" s="3">
        <v>-2079.4348</v>
      </c>
      <c r="DK5" s="3">
        <v>-4027.2474999999999</v>
      </c>
      <c r="DL5" s="3">
        <v>-1608.0682999999999</v>
      </c>
      <c r="DM5" s="3">
        <v>-3514.9795999999997</v>
      </c>
      <c r="DN5" s="3">
        <v>-2814.2406000000001</v>
      </c>
      <c r="DO5" s="3">
        <v>-8331.891300000003</v>
      </c>
      <c r="DP5" s="3">
        <v>-2643.136</v>
      </c>
      <c r="DQ5" s="3">
        <v>-798.37880000000007</v>
      </c>
      <c r="DR5" s="3">
        <v>-31745.626799999998</v>
      </c>
      <c r="DS5" s="3">
        <v>-16053.830899999999</v>
      </c>
      <c r="DT5" s="3">
        <v>-92498.367599999954</v>
      </c>
      <c r="DU5" s="3">
        <v>-76223.973899999983</v>
      </c>
      <c r="DV5" s="3">
        <v>-25637.911400000005</v>
      </c>
      <c r="DW5" s="3">
        <v>-38345.216199999995</v>
      </c>
      <c r="DX5" s="3">
        <v>-20861.6823</v>
      </c>
      <c r="DY5" s="3">
        <v>-74804.255700000009</v>
      </c>
      <c r="DZ5" s="3">
        <v>-2231.0520999999999</v>
      </c>
      <c r="EA5" s="3">
        <v>-814.00029999999992</v>
      </c>
      <c r="EB5" s="3">
        <v>-4837.803100000001</v>
      </c>
      <c r="EC5" s="3">
        <v>-643.03110000000015</v>
      </c>
      <c r="ED5" s="3">
        <v>-3934.0037000000002</v>
      </c>
      <c r="EE5" s="3">
        <v>-736.18089999999995</v>
      </c>
      <c r="EF5" s="3">
        <v>-374.00060000000002</v>
      </c>
      <c r="EG5" s="3">
        <v>-1085.0011999999999</v>
      </c>
      <c r="EH5" s="3">
        <v>-2197.9107999999997</v>
      </c>
      <c r="EI5" s="3">
        <v>-1968.0009</v>
      </c>
      <c r="EJ5" s="3">
        <v>-47563.000499999995</v>
      </c>
      <c r="EK5" s="3">
        <v>-29919.012600000005</v>
      </c>
      <c r="EL5" s="3">
        <v>-67630.385699999999</v>
      </c>
      <c r="EM5" s="3">
        <v>-26699.455600000001</v>
      </c>
      <c r="EN5" s="3">
        <v>-25551.926800000008</v>
      </c>
      <c r="EO5" s="3">
        <v>-43378.893700000001</v>
      </c>
      <c r="EP5" s="3">
        <v>-46867.981100000026</v>
      </c>
      <c r="EQ5" s="3">
        <v>-82524.161499999958</v>
      </c>
      <c r="ER5" s="3">
        <v>-54310.328800000025</v>
      </c>
      <c r="ES5" s="3">
        <v>-71568.524599999975</v>
      </c>
      <c r="ET5" s="3">
        <v>-71203.044999999998</v>
      </c>
      <c r="EU5" s="3">
        <v>-71015.927499999991</v>
      </c>
      <c r="EV5" s="3">
        <v>-37111.649700000024</v>
      </c>
      <c r="EW5" s="3">
        <v>-18886.807099999995</v>
      </c>
      <c r="EX5" s="3">
        <v>-58694.535399999993</v>
      </c>
      <c r="EY5" s="3">
        <v>-84186.180300000007</v>
      </c>
      <c r="EZ5" s="3">
        <v>-41373.429600000003</v>
      </c>
      <c r="FA5" s="3">
        <v>-53193.666400000016</v>
      </c>
      <c r="FB5" s="3">
        <v>-28367.999799999998</v>
      </c>
      <c r="FC5" s="3">
        <v>-30911.519999999997</v>
      </c>
      <c r="FD5" s="3">
        <v>-17469.626100000001</v>
      </c>
      <c r="FE5" s="3">
        <v>-20747.076400000002</v>
      </c>
      <c r="FF5" s="3">
        <v>-20584.982499999998</v>
      </c>
      <c r="FG5" s="3">
        <v>-65645.381700000013</v>
      </c>
      <c r="FH5" s="3">
        <v>-41536.5527</v>
      </c>
      <c r="FI5" s="3">
        <v>-20675.227100000004</v>
      </c>
      <c r="FJ5" s="3">
        <v>-20445.248200000002</v>
      </c>
      <c r="FK5" s="3">
        <v>-67071.740600000005</v>
      </c>
      <c r="FL5" s="3">
        <v>-50763.334800000011</v>
      </c>
      <c r="FM5" s="3">
        <v>-41272.289700000008</v>
      </c>
      <c r="FN5" s="3">
        <v>-74714.968299999979</v>
      </c>
      <c r="FO5" s="3">
        <v>-37005.530500000008</v>
      </c>
      <c r="FP5" s="3">
        <v>-16947.290300000001</v>
      </c>
      <c r="FQ5" s="3">
        <v>-20749.915300000004</v>
      </c>
      <c r="FR5" s="3">
        <v>-41064.798199999997</v>
      </c>
      <c r="FS5" s="3">
        <v>-23926.767599999999</v>
      </c>
      <c r="FT5" s="3">
        <v>-29264.055800000002</v>
      </c>
      <c r="FU5" s="3">
        <v>-27316.253499999995</v>
      </c>
      <c r="FV5" s="3">
        <v>-92246.548499999946</v>
      </c>
      <c r="FW5" s="3">
        <v>-50772.991900000008</v>
      </c>
      <c r="FX5" s="3">
        <v>-23534.190800000004</v>
      </c>
      <c r="FY5" s="3">
        <v>-23256.795599999998</v>
      </c>
      <c r="FZ5" s="3">
        <v>-21303.079900000004</v>
      </c>
      <c r="GA5" s="3">
        <v>-95669.757099999901</v>
      </c>
      <c r="GB5" s="3">
        <v>-44429.067000000017</v>
      </c>
      <c r="GC5" s="3">
        <v>-119822.16239999988</v>
      </c>
      <c r="GD5" s="3">
        <v>-58530.337699999996</v>
      </c>
      <c r="GE5" s="3">
        <v>-54798.269499999995</v>
      </c>
      <c r="GF5" s="3">
        <v>-56719.567600000009</v>
      </c>
      <c r="GG5" s="3">
        <v>-17819.397300000001</v>
      </c>
      <c r="GH5" s="3">
        <v>-21598.923699999999</v>
      </c>
      <c r="GI5" s="3">
        <v>-5146.9983000000002</v>
      </c>
      <c r="GJ5" s="3">
        <v>-61012.973499999993</v>
      </c>
      <c r="GK5" s="3">
        <v>-49369.202900000018</v>
      </c>
      <c r="GL5" s="3">
        <v>-20436.729600000006</v>
      </c>
      <c r="GM5" s="3">
        <v>-34926.467700000001</v>
      </c>
      <c r="GN5" s="3">
        <v>-62778.250200000017</v>
      </c>
      <c r="GO5" s="3">
        <v>-43929.481200000009</v>
      </c>
      <c r="GP5" s="3">
        <v>-25576.880900000004</v>
      </c>
      <c r="GQ5" s="3">
        <v>-55893.660700000015</v>
      </c>
      <c r="GR5" s="3">
        <v>-31938.685100000002</v>
      </c>
      <c r="GS5" s="3">
        <v>-25962.176800000008</v>
      </c>
      <c r="GT5" s="3">
        <v>-102599.39359999992</v>
      </c>
      <c r="GU5" s="3">
        <v>-26508.788300000004</v>
      </c>
      <c r="GV5" s="3">
        <v>-49129.255300000012</v>
      </c>
      <c r="GW5" s="3">
        <v>-35477.185400000002</v>
      </c>
      <c r="GX5" s="3">
        <v>-34962.066000000006</v>
      </c>
      <c r="GY5" s="3">
        <v>-56190.792000000016</v>
      </c>
      <c r="GZ5" s="3">
        <v>-54402.334000000003</v>
      </c>
      <c r="HA5" s="3">
        <v>-66609.665700000012</v>
      </c>
      <c r="HB5" s="3">
        <v>-27700.970099999999</v>
      </c>
      <c r="HC5" s="3">
        <v>-45155.613900000011</v>
      </c>
      <c r="HD5" s="3">
        <v>0</v>
      </c>
      <c r="HE5" s="3">
        <v>-17357.021099999998</v>
      </c>
      <c r="HF5" s="3">
        <v>-29214.654800000011</v>
      </c>
      <c r="HG5" s="3">
        <v>-71736.235099999991</v>
      </c>
      <c r="HH5" s="3">
        <v>0</v>
      </c>
      <c r="HI5" s="3">
        <v>0</v>
      </c>
      <c r="HJ5" s="3">
        <v>0</v>
      </c>
      <c r="HK5" s="3">
        <v>0</v>
      </c>
    </row>
    <row r="6" spans="1:220" x14ac:dyDescent="0.3">
      <c r="A6" s="13" t="s">
        <v>2</v>
      </c>
      <c r="B6" s="13"/>
      <c r="C6" s="3">
        <v>6947.4527000000007</v>
      </c>
      <c r="D6" s="3">
        <v>14687.741600000001</v>
      </c>
      <c r="E6" s="3">
        <v>32697.558699999983</v>
      </c>
      <c r="F6" s="3">
        <v>15998.934800000005</v>
      </c>
      <c r="G6" s="3">
        <v>11997.411900000001</v>
      </c>
      <c r="H6" s="3">
        <v>34119.282799999994</v>
      </c>
      <c r="I6" s="3">
        <v>2333.7606999999998</v>
      </c>
      <c r="J6" s="3">
        <v>2968.2676999999994</v>
      </c>
      <c r="K6" s="3">
        <v>16132.548599999996</v>
      </c>
      <c r="L6" s="3">
        <v>8740.6517999999978</v>
      </c>
      <c r="M6" s="3">
        <v>13834.796600000003</v>
      </c>
      <c r="N6" s="3">
        <v>9401.8043000000016</v>
      </c>
      <c r="O6" s="3">
        <v>20768.793699999995</v>
      </c>
      <c r="P6" s="3">
        <v>19545.710199999998</v>
      </c>
      <c r="Q6" s="3">
        <v>15114.514299999999</v>
      </c>
      <c r="R6" s="3">
        <v>31036.039099999987</v>
      </c>
      <c r="S6" s="3">
        <v>15663.179099999994</v>
      </c>
      <c r="T6" s="3">
        <v>15910.026100000003</v>
      </c>
      <c r="U6" s="3">
        <v>30460.891399999982</v>
      </c>
      <c r="V6" s="3">
        <v>16093.052300000001</v>
      </c>
      <c r="W6" s="3">
        <v>41079.543299999998</v>
      </c>
      <c r="X6" s="3">
        <v>9301.5251999999982</v>
      </c>
      <c r="Y6" s="3">
        <v>17477.488600000004</v>
      </c>
      <c r="Z6" s="3">
        <v>15726.9341</v>
      </c>
      <c r="AA6" s="3">
        <v>34699.062299999991</v>
      </c>
      <c r="AB6" s="3">
        <v>26992.1423</v>
      </c>
      <c r="AC6" s="3">
        <v>11468.387700000001</v>
      </c>
      <c r="AD6" s="3">
        <v>9890.8362000000016</v>
      </c>
      <c r="AE6" s="3">
        <v>22945.701200000003</v>
      </c>
      <c r="AF6" s="3">
        <v>9630.4932000000008</v>
      </c>
      <c r="AG6" s="3">
        <v>13907.911000000002</v>
      </c>
      <c r="AH6" s="3">
        <v>31562.3835</v>
      </c>
      <c r="AI6" s="3">
        <v>7095.0003000000015</v>
      </c>
      <c r="AJ6" s="3">
        <v>14662.866700000002</v>
      </c>
      <c r="AK6" s="3">
        <v>16686.886400000003</v>
      </c>
      <c r="AL6" s="3">
        <v>16240.193999999998</v>
      </c>
      <c r="AM6" s="3">
        <v>8624.3359999999975</v>
      </c>
      <c r="AN6" s="3">
        <v>11659.214499999998</v>
      </c>
      <c r="AO6" s="3">
        <v>45016.028299999969</v>
      </c>
      <c r="AP6" s="3">
        <v>11886.474600000001</v>
      </c>
      <c r="AQ6" s="3">
        <v>21969.584600000002</v>
      </c>
      <c r="AR6" s="3">
        <v>42411.354599999991</v>
      </c>
      <c r="AS6" s="3">
        <v>34498.453099999992</v>
      </c>
      <c r="AT6" s="3">
        <v>21224.9679</v>
      </c>
      <c r="AU6" s="3">
        <v>21282.434600000004</v>
      </c>
      <c r="AV6" s="3">
        <v>17009.853700000003</v>
      </c>
      <c r="AW6" s="3">
        <v>31622.049699999989</v>
      </c>
      <c r="AX6" s="3">
        <v>36412.642800000009</v>
      </c>
      <c r="AY6" s="3">
        <v>38269.506999999991</v>
      </c>
      <c r="AZ6" s="3">
        <v>34257.674400000004</v>
      </c>
      <c r="BA6" s="3">
        <v>20436.174800000008</v>
      </c>
      <c r="BB6" s="3">
        <v>29636.054399999979</v>
      </c>
      <c r="BC6" s="3">
        <v>15106.1756</v>
      </c>
      <c r="BD6" s="3">
        <v>14932.618700000003</v>
      </c>
      <c r="BE6" s="3">
        <v>13286.649500000001</v>
      </c>
      <c r="BF6" s="3" t="s">
        <v>274</v>
      </c>
      <c r="BG6" s="3">
        <v>5976.4705000000004</v>
      </c>
      <c r="BH6" s="3">
        <v>16763.153599999998</v>
      </c>
      <c r="BI6" s="3">
        <v>28596.079899999997</v>
      </c>
      <c r="BJ6" s="3">
        <v>24101.751199999992</v>
      </c>
      <c r="BK6" s="3">
        <v>7425.6234000000013</v>
      </c>
      <c r="BL6" s="3">
        <v>31597.04979999999</v>
      </c>
      <c r="BM6" s="3">
        <v>5077.1590000000015</v>
      </c>
      <c r="BN6" s="3">
        <v>25625.14439999999</v>
      </c>
      <c r="BO6" s="3">
        <v>13794.725000000002</v>
      </c>
      <c r="BP6" s="3">
        <v>9168.1681000000008</v>
      </c>
      <c r="BQ6" s="3">
        <v>8755.1661999999997</v>
      </c>
      <c r="BR6" s="3">
        <v>257180.20309999966</v>
      </c>
      <c r="BS6" s="3">
        <v>14470.405300000004</v>
      </c>
      <c r="BT6" s="3">
        <v>13875.035400000001</v>
      </c>
      <c r="BU6" s="3">
        <v>10056.7559</v>
      </c>
      <c r="BV6" s="3">
        <v>11559.601200000003</v>
      </c>
      <c r="BW6" s="3">
        <v>3393.0682000000002</v>
      </c>
      <c r="BX6" s="3">
        <v>7693.9953000000005</v>
      </c>
      <c r="BY6" s="3">
        <v>5921.1911000000009</v>
      </c>
      <c r="BZ6" s="3">
        <v>4790.1670999999988</v>
      </c>
      <c r="CA6" s="3">
        <v>2126.75</v>
      </c>
      <c r="CB6" s="3">
        <v>16796.456599999998</v>
      </c>
      <c r="CC6" s="3">
        <v>27927.477400000003</v>
      </c>
      <c r="CD6" s="3">
        <v>9522.8567999999996</v>
      </c>
      <c r="CE6" s="3">
        <v>12972.288300000002</v>
      </c>
      <c r="CF6" s="3">
        <v>26139.3632</v>
      </c>
      <c r="CG6" s="3">
        <v>5673.4320000000007</v>
      </c>
      <c r="CH6" s="3">
        <v>27023.394799999995</v>
      </c>
      <c r="CI6" s="3">
        <v>16866.494200000001</v>
      </c>
      <c r="CJ6" s="3">
        <v>19506.6783</v>
      </c>
      <c r="CK6" s="3">
        <v>10438.922199999999</v>
      </c>
      <c r="CL6" s="3">
        <v>27567.433100000002</v>
      </c>
      <c r="CM6" s="3">
        <v>12100.084999999997</v>
      </c>
      <c r="CN6" s="3">
        <v>7416.3736000000017</v>
      </c>
      <c r="CO6" s="3">
        <v>11363.818000000001</v>
      </c>
      <c r="CP6" s="3">
        <v>9108.3726999999981</v>
      </c>
      <c r="CQ6" s="3">
        <v>9468.4331999999995</v>
      </c>
      <c r="CR6" s="3">
        <v>20733.548399999989</v>
      </c>
      <c r="CS6" s="3">
        <v>11249.810100000002</v>
      </c>
      <c r="CT6" s="3">
        <v>17417.435499999992</v>
      </c>
      <c r="CU6" s="3">
        <v>8284.432899999998</v>
      </c>
      <c r="CV6" s="3">
        <v>6057.6498000000011</v>
      </c>
      <c r="CW6" s="3">
        <v>16751.032700000003</v>
      </c>
      <c r="CX6" s="3">
        <v>8875.8978999999999</v>
      </c>
      <c r="CY6" s="3">
        <v>26484.496999999996</v>
      </c>
      <c r="CZ6" s="3">
        <v>15486.050300000001</v>
      </c>
      <c r="DA6" s="3">
        <v>28634.227399999989</v>
      </c>
      <c r="DB6" s="3">
        <v>8383.4925999999996</v>
      </c>
      <c r="DC6" s="3">
        <v>13288.919900000003</v>
      </c>
      <c r="DD6" s="3" t="s">
        <v>274</v>
      </c>
      <c r="DE6" s="3">
        <v>17266.154000000002</v>
      </c>
      <c r="DF6" s="3">
        <v>15606.434899999998</v>
      </c>
      <c r="DG6" s="3">
        <v>13402.159799999996</v>
      </c>
      <c r="DH6" s="3">
        <v>12821.6091</v>
      </c>
      <c r="DI6" s="3">
        <v>40195.568700000011</v>
      </c>
      <c r="DJ6" s="3">
        <v>1246.8933999999999</v>
      </c>
      <c r="DK6" s="3">
        <v>2497.6070999999997</v>
      </c>
      <c r="DL6" s="3">
        <v>936.70209999999997</v>
      </c>
      <c r="DM6" s="3">
        <v>1652.3591000000001</v>
      </c>
      <c r="DN6" s="3">
        <v>1298.2914000000001</v>
      </c>
      <c r="DO6" s="3">
        <v>4571.3865000000005</v>
      </c>
      <c r="DP6" s="3">
        <v>1423.5313000000001</v>
      </c>
      <c r="DQ6" s="3">
        <v>405.2312</v>
      </c>
      <c r="DR6" s="3">
        <v>15509.043699999997</v>
      </c>
      <c r="DS6" s="3">
        <v>6854.8878000000013</v>
      </c>
      <c r="DT6" s="3">
        <v>42796.881299999972</v>
      </c>
      <c r="DU6" s="3">
        <v>32194.092199999985</v>
      </c>
      <c r="DV6" s="3">
        <v>13712.532999999999</v>
      </c>
      <c r="DW6" s="3">
        <v>13254.677299999998</v>
      </c>
      <c r="DX6" s="3">
        <v>11241.690200000001</v>
      </c>
      <c r="DY6" s="3">
        <v>29881.941199999987</v>
      </c>
      <c r="DZ6" s="3">
        <v>696.51090000000011</v>
      </c>
      <c r="EA6" s="3">
        <v>221.90369999999999</v>
      </c>
      <c r="EB6" s="3">
        <v>1525.7727000000002</v>
      </c>
      <c r="EC6" s="3">
        <v>128.82140000000001</v>
      </c>
      <c r="ED6" s="3">
        <v>1426.2823000000001</v>
      </c>
      <c r="EE6" s="3">
        <v>162.44649999999999</v>
      </c>
      <c r="EF6" s="3">
        <v>88.349700000000013</v>
      </c>
      <c r="EG6" s="3">
        <v>375.45300000000003</v>
      </c>
      <c r="EH6" s="3">
        <v>903.75509999999997</v>
      </c>
      <c r="EI6" s="3">
        <v>716.53899999999999</v>
      </c>
      <c r="EJ6" s="3">
        <v>28121.859</v>
      </c>
      <c r="EK6" s="3">
        <v>11142.342200000001</v>
      </c>
      <c r="EL6" s="3">
        <v>25396.803699999993</v>
      </c>
      <c r="EM6" s="3">
        <v>9538.455899999999</v>
      </c>
      <c r="EN6" s="3">
        <v>9321.1772999999994</v>
      </c>
      <c r="EO6" s="3">
        <v>17837.170099999996</v>
      </c>
      <c r="EP6" s="3">
        <v>18666.5177</v>
      </c>
      <c r="EQ6" s="3">
        <v>35488.581399999988</v>
      </c>
      <c r="ER6" s="3">
        <v>27797.565599999994</v>
      </c>
      <c r="ES6" s="3">
        <v>30904.996799999968</v>
      </c>
      <c r="ET6" s="3">
        <v>29169.396499999977</v>
      </c>
      <c r="EU6" s="3">
        <v>32566.43459999999</v>
      </c>
      <c r="EV6" s="3">
        <v>14740.664700000001</v>
      </c>
      <c r="EW6" s="3">
        <v>7043.3004000000019</v>
      </c>
      <c r="EX6" s="3">
        <v>25346.786299999996</v>
      </c>
      <c r="EY6" s="3">
        <v>30688.716799999995</v>
      </c>
      <c r="EZ6" s="3">
        <v>12600.460799999997</v>
      </c>
      <c r="FA6" s="3">
        <v>16385.001199999995</v>
      </c>
      <c r="FB6" s="3">
        <v>9254.3249999999989</v>
      </c>
      <c r="FC6" s="3">
        <v>6697.9514000000008</v>
      </c>
      <c r="FD6" s="3">
        <v>6704.6248999999989</v>
      </c>
      <c r="FE6" s="3">
        <v>6896.2046</v>
      </c>
      <c r="FF6" s="3">
        <v>12560.100200000003</v>
      </c>
      <c r="FG6" s="3">
        <v>26034.163799999995</v>
      </c>
      <c r="FH6" s="3">
        <v>17094.964100000008</v>
      </c>
      <c r="FI6" s="3">
        <v>8705.8202000000001</v>
      </c>
      <c r="FJ6" s="3">
        <v>10837.287700000001</v>
      </c>
      <c r="FK6" s="3">
        <v>42199.850899999983</v>
      </c>
      <c r="FL6" s="3">
        <v>22156.199399999998</v>
      </c>
      <c r="FM6" s="3">
        <v>18268.7706</v>
      </c>
      <c r="FN6" s="3">
        <v>29181.402900000005</v>
      </c>
      <c r="FO6" s="3">
        <v>15775.650399999999</v>
      </c>
      <c r="FP6" s="3">
        <v>7397.1689999999981</v>
      </c>
      <c r="FQ6" s="3">
        <v>9568.6849999999995</v>
      </c>
      <c r="FR6" s="3">
        <v>20229.570699999993</v>
      </c>
      <c r="FS6" s="3">
        <v>10495.845499999999</v>
      </c>
      <c r="FT6" s="3">
        <v>11895.095899999997</v>
      </c>
      <c r="FU6" s="3">
        <v>9612.9945000000007</v>
      </c>
      <c r="FV6" s="3">
        <v>42560.749399999986</v>
      </c>
      <c r="FW6" s="3">
        <v>20569.892499999998</v>
      </c>
      <c r="FX6" s="3">
        <v>11283.174900000004</v>
      </c>
      <c r="FY6" s="3">
        <v>9093.0144999999975</v>
      </c>
      <c r="FZ6" s="3">
        <v>8726.9066000000003</v>
      </c>
      <c r="GA6" s="3">
        <v>42499.916099999966</v>
      </c>
      <c r="GB6" s="3">
        <v>18959.229400000004</v>
      </c>
      <c r="GC6" s="3">
        <v>51932.715599999989</v>
      </c>
      <c r="GD6" s="3">
        <v>25295.65860000001</v>
      </c>
      <c r="GE6" s="3">
        <v>22747.49159999999</v>
      </c>
      <c r="GF6" s="3">
        <v>22177.551199999994</v>
      </c>
      <c r="GG6" s="3">
        <v>9203.7434000000012</v>
      </c>
      <c r="GH6" s="3">
        <v>8384.4547999999977</v>
      </c>
      <c r="GI6" s="3">
        <v>2134.2161000000001</v>
      </c>
      <c r="GJ6" s="3">
        <v>25166.191099999993</v>
      </c>
      <c r="GK6" s="3">
        <v>29655.352099999986</v>
      </c>
      <c r="GL6" s="3">
        <v>8101.9835000000003</v>
      </c>
      <c r="GM6" s="3">
        <v>15726.394899999999</v>
      </c>
      <c r="GN6" s="3">
        <v>28085.552</v>
      </c>
      <c r="GO6" s="3">
        <v>16830.6626</v>
      </c>
      <c r="GP6" s="3">
        <v>10429.747000000001</v>
      </c>
      <c r="GQ6" s="3">
        <v>28569.154299999991</v>
      </c>
      <c r="GR6" s="3">
        <v>12526.994099999998</v>
      </c>
      <c r="GS6" s="3">
        <v>8040.6542999999992</v>
      </c>
      <c r="GT6" s="3">
        <v>47110.347699999991</v>
      </c>
      <c r="GU6" s="3">
        <v>10943.292000000003</v>
      </c>
      <c r="GV6" s="3">
        <v>20626.725800000004</v>
      </c>
      <c r="GW6" s="3">
        <v>13481.776399999999</v>
      </c>
      <c r="GX6" s="3">
        <v>16528.559200000003</v>
      </c>
      <c r="GY6" s="3">
        <v>21546.244499999993</v>
      </c>
      <c r="GZ6" s="3">
        <v>23760.069899999999</v>
      </c>
      <c r="HA6" s="3">
        <v>27337.3282</v>
      </c>
      <c r="HB6" s="3">
        <v>10478.711200000003</v>
      </c>
      <c r="HC6" s="3">
        <v>19185.102699999999</v>
      </c>
      <c r="HD6" s="3">
        <v>36.44</v>
      </c>
      <c r="HE6" s="3">
        <v>6670.5461000000005</v>
      </c>
      <c r="HF6" s="3">
        <v>19273.358299999996</v>
      </c>
      <c r="HG6" s="3">
        <v>29698.252199999992</v>
      </c>
      <c r="HH6" s="3" t="s">
        <v>274</v>
      </c>
      <c r="HI6" s="3">
        <v>0</v>
      </c>
      <c r="HJ6" s="3">
        <v>0</v>
      </c>
      <c r="HK6" s="3" t="s">
        <v>274</v>
      </c>
    </row>
    <row r="7" spans="1:220" x14ac:dyDescent="0.3">
      <c r="A7" s="13" t="s">
        <v>1</v>
      </c>
      <c r="B7" s="13"/>
      <c r="C7" s="3">
        <v>3129.85</v>
      </c>
      <c r="D7" s="3">
        <v>5136.4503000000004</v>
      </c>
      <c r="E7" s="3">
        <v>8397.7807000000012</v>
      </c>
      <c r="F7" s="3">
        <v>5776.6288000000013</v>
      </c>
      <c r="G7" s="3">
        <v>7044.2781000000004</v>
      </c>
      <c r="H7" s="3">
        <v>10729.891300000001</v>
      </c>
      <c r="I7" s="3">
        <v>2501.4814000000006</v>
      </c>
      <c r="J7" s="3">
        <v>1757.6502</v>
      </c>
      <c r="K7" s="3">
        <v>4688.3604000000005</v>
      </c>
      <c r="L7" s="3">
        <v>4979.6652999999997</v>
      </c>
      <c r="M7" s="3">
        <v>5521.8537000000015</v>
      </c>
      <c r="N7" s="3">
        <v>3767.3276000000001</v>
      </c>
      <c r="O7" s="3">
        <v>9793.9289000000008</v>
      </c>
      <c r="P7" s="3">
        <v>5282.3155000000015</v>
      </c>
      <c r="Q7" s="3">
        <v>5190.8707000000013</v>
      </c>
      <c r="R7" s="3">
        <v>10799.496099999998</v>
      </c>
      <c r="S7" s="3">
        <v>5718.3603999999996</v>
      </c>
      <c r="T7" s="3">
        <v>7607.6907000000019</v>
      </c>
      <c r="U7" s="3">
        <v>13472.482900000005</v>
      </c>
      <c r="V7" s="3">
        <v>4467.8798999999999</v>
      </c>
      <c r="W7" s="3">
        <v>6228.5102999999999</v>
      </c>
      <c r="X7" s="3">
        <v>5756.0658000000012</v>
      </c>
      <c r="Y7" s="3">
        <v>7741.1998999999996</v>
      </c>
      <c r="Z7" s="3">
        <v>5078.5407999999998</v>
      </c>
      <c r="AA7" s="3">
        <v>15516.076200000001</v>
      </c>
      <c r="AB7" s="3">
        <v>7614.8375000000024</v>
      </c>
      <c r="AC7" s="3">
        <v>5122.4126000000006</v>
      </c>
      <c r="AD7" s="3">
        <v>6521.6278000000011</v>
      </c>
      <c r="AE7" s="3">
        <v>7620.5881000000008</v>
      </c>
      <c r="AF7" s="3">
        <v>6356.3583000000017</v>
      </c>
      <c r="AG7" s="3">
        <v>5198.0814</v>
      </c>
      <c r="AH7" s="3">
        <v>4398.3765999999996</v>
      </c>
      <c r="AI7" s="3">
        <v>4484.5975000000008</v>
      </c>
      <c r="AJ7" s="3">
        <v>6498.6344000000017</v>
      </c>
      <c r="AK7" s="3">
        <v>9840.3553000000029</v>
      </c>
      <c r="AL7" s="3">
        <v>8416.4192000000021</v>
      </c>
      <c r="AM7" s="3">
        <v>4376.8643999999995</v>
      </c>
      <c r="AN7" s="3">
        <v>4029.7751000000007</v>
      </c>
      <c r="AO7" s="3">
        <v>11279.300600000002</v>
      </c>
      <c r="AP7" s="3">
        <v>9855.4959000000017</v>
      </c>
      <c r="AQ7" s="3">
        <v>6631.2900999999983</v>
      </c>
      <c r="AR7" s="3">
        <v>10549.022699999998</v>
      </c>
      <c r="AS7" s="3">
        <v>11408.474699999999</v>
      </c>
      <c r="AT7" s="3">
        <v>8693.2276000000038</v>
      </c>
      <c r="AU7" s="3">
        <v>10118.732599999999</v>
      </c>
      <c r="AV7" s="3">
        <v>4963.9422999999988</v>
      </c>
      <c r="AW7" s="3">
        <v>15202.111999999997</v>
      </c>
      <c r="AX7" s="3">
        <v>8587.4422000000013</v>
      </c>
      <c r="AY7" s="3">
        <v>10622.451300000001</v>
      </c>
      <c r="AZ7" s="3">
        <v>8115.6350000000002</v>
      </c>
      <c r="BA7" s="3">
        <v>4487.7980000000016</v>
      </c>
      <c r="BB7" s="3">
        <v>9322.5256000000027</v>
      </c>
      <c r="BC7" s="3">
        <v>4865.3630000000003</v>
      </c>
      <c r="BD7" s="3">
        <v>4053.9567999999999</v>
      </c>
      <c r="BE7" s="3">
        <v>3613.4896999999996</v>
      </c>
      <c r="BF7" s="3">
        <v>7.8100000000000005</v>
      </c>
      <c r="BG7" s="3">
        <v>3310.5032000000006</v>
      </c>
      <c r="BH7" s="3">
        <v>22908.713799999998</v>
      </c>
      <c r="BI7" s="3">
        <v>9113.0563999999977</v>
      </c>
      <c r="BJ7" s="3">
        <v>8965.2411999999986</v>
      </c>
      <c r="BK7" s="3">
        <v>9590.7699999999968</v>
      </c>
      <c r="BL7" s="3">
        <v>14166.809000000001</v>
      </c>
      <c r="BM7" s="3">
        <v>3560.7188000000001</v>
      </c>
      <c r="BN7" s="3">
        <v>8313.2645000000011</v>
      </c>
      <c r="BO7" s="3">
        <v>5337.5659000000005</v>
      </c>
      <c r="BP7" s="3">
        <v>4133.0892000000003</v>
      </c>
      <c r="BQ7" s="3">
        <v>4166.4250999999995</v>
      </c>
      <c r="BR7" s="3">
        <v>88.507899999999992</v>
      </c>
      <c r="BS7" s="3">
        <v>2665.2743</v>
      </c>
      <c r="BT7" s="3">
        <v>4169.0632000000005</v>
      </c>
      <c r="BU7" s="3">
        <v>4219.0415000000003</v>
      </c>
      <c r="BV7" s="3">
        <v>3404.8309999999997</v>
      </c>
      <c r="BW7" s="3">
        <v>1654.6151999999997</v>
      </c>
      <c r="BX7" s="3">
        <v>2034.0350000000001</v>
      </c>
      <c r="BY7" s="3">
        <v>1945.1207000000002</v>
      </c>
      <c r="BZ7" s="3">
        <v>2294.2761</v>
      </c>
      <c r="CA7" s="3">
        <v>2146.6700999999998</v>
      </c>
      <c r="CB7" s="3">
        <v>11290.052699999997</v>
      </c>
      <c r="CC7" s="3">
        <v>9706.9772000000012</v>
      </c>
      <c r="CD7" s="3">
        <v>3354.6335000000008</v>
      </c>
      <c r="CE7" s="3">
        <v>4754.8543</v>
      </c>
      <c r="CF7" s="3">
        <v>6320.4907999999987</v>
      </c>
      <c r="CG7" s="3">
        <v>2710.2240999999999</v>
      </c>
      <c r="CH7" s="3">
        <v>5509.8689999999988</v>
      </c>
      <c r="CI7" s="3">
        <v>5093.630000000001</v>
      </c>
      <c r="CJ7" s="3">
        <v>6715.0942000000014</v>
      </c>
      <c r="CK7" s="3">
        <v>6232.8992999999991</v>
      </c>
      <c r="CL7" s="3">
        <v>11357.647599999998</v>
      </c>
      <c r="CM7" s="3">
        <v>5581.7771999999995</v>
      </c>
      <c r="CN7" s="3">
        <v>4186.0928000000004</v>
      </c>
      <c r="CO7" s="3">
        <v>6245.7012000000004</v>
      </c>
      <c r="CP7" s="3">
        <v>5305.7251999999999</v>
      </c>
      <c r="CQ7" s="3">
        <v>7402.6991999999982</v>
      </c>
      <c r="CR7" s="3">
        <v>5754.2478999999994</v>
      </c>
      <c r="CS7" s="3">
        <v>3700.7409000000002</v>
      </c>
      <c r="CT7" s="3">
        <v>9326.2278999999999</v>
      </c>
      <c r="CU7" s="3">
        <v>4332.0007999999998</v>
      </c>
      <c r="CV7" s="3">
        <v>2567.6850000000004</v>
      </c>
      <c r="CW7" s="3">
        <v>7884.5117999999993</v>
      </c>
      <c r="CX7" s="3">
        <v>4696.2592999999997</v>
      </c>
      <c r="CY7" s="3">
        <v>9442.498999999998</v>
      </c>
      <c r="CZ7" s="3">
        <v>4579.8424000000005</v>
      </c>
      <c r="DA7" s="3">
        <v>15220.608299999996</v>
      </c>
      <c r="DB7" s="3">
        <v>3471.0932000000007</v>
      </c>
      <c r="DC7" s="3">
        <v>6849.6787000000004</v>
      </c>
      <c r="DD7" s="3">
        <v>89.039999999999992</v>
      </c>
      <c r="DE7" s="3">
        <v>9953.4867000000031</v>
      </c>
      <c r="DF7" s="3">
        <v>4886.660899999998</v>
      </c>
      <c r="DG7" s="3">
        <v>3129.0450000000001</v>
      </c>
      <c r="DH7" s="3">
        <v>8274.6805000000004</v>
      </c>
      <c r="DI7" s="3">
        <v>13748.459900000002</v>
      </c>
      <c r="DJ7" s="3">
        <v>548.67459999999994</v>
      </c>
      <c r="DK7" s="3">
        <v>608.32060000000001</v>
      </c>
      <c r="DL7" s="3">
        <v>923.77089999999998</v>
      </c>
      <c r="DM7" s="3">
        <v>384.44319999999999</v>
      </c>
      <c r="DN7" s="3">
        <v>319.64620000000002</v>
      </c>
      <c r="DO7" s="3">
        <v>1192.7165999999997</v>
      </c>
      <c r="DP7" s="3">
        <v>201.73</v>
      </c>
      <c r="DQ7" s="3">
        <v>582.27629999999999</v>
      </c>
      <c r="DR7" s="3">
        <v>4937.4768000000004</v>
      </c>
      <c r="DS7" s="3">
        <v>4980.4322999999995</v>
      </c>
      <c r="DT7" s="3">
        <v>8994.9066999999995</v>
      </c>
      <c r="DU7" s="3">
        <v>9002.8785000000062</v>
      </c>
      <c r="DV7" s="3">
        <v>4299.8864000000003</v>
      </c>
      <c r="DW7" s="3">
        <v>4705.0572000000002</v>
      </c>
      <c r="DX7" s="3">
        <v>3957.5401000000006</v>
      </c>
      <c r="DY7" s="3">
        <v>7114.6004000000021</v>
      </c>
      <c r="DZ7" s="3">
        <v>503.28610000000003</v>
      </c>
      <c r="EA7" s="3">
        <v>336.44</v>
      </c>
      <c r="EB7" s="3">
        <v>780.33139999999992</v>
      </c>
      <c r="EC7" s="3">
        <v>309</v>
      </c>
      <c r="ED7" s="3">
        <v>100.35</v>
      </c>
      <c r="EE7" s="3">
        <v>309</v>
      </c>
      <c r="EF7" s="3">
        <v>327.47000000000003</v>
      </c>
      <c r="EG7" s="3">
        <v>309</v>
      </c>
      <c r="EH7" s="3">
        <v>903.20470000000012</v>
      </c>
      <c r="EI7" s="3">
        <v>360.55509999999998</v>
      </c>
      <c r="EJ7" s="3">
        <v>5148.6716999999999</v>
      </c>
      <c r="EK7" s="3">
        <v>4903.4994999999999</v>
      </c>
      <c r="EL7" s="3">
        <v>14315.960199999996</v>
      </c>
      <c r="EM7" s="3">
        <v>3346.4627</v>
      </c>
      <c r="EN7" s="3">
        <v>8860.7936000000027</v>
      </c>
      <c r="EO7" s="3">
        <v>5856.6905999999999</v>
      </c>
      <c r="EP7" s="3">
        <v>4866.8465999999999</v>
      </c>
      <c r="EQ7" s="3">
        <v>12612.937</v>
      </c>
      <c r="ER7" s="3">
        <v>5043.5026000000007</v>
      </c>
      <c r="ES7" s="3">
        <v>7996.3783999999987</v>
      </c>
      <c r="ET7" s="3">
        <v>13202.590900000003</v>
      </c>
      <c r="EU7" s="3">
        <v>13065.2862</v>
      </c>
      <c r="EV7" s="3">
        <v>6001.6105000000007</v>
      </c>
      <c r="EW7" s="3">
        <v>6207.0879999999988</v>
      </c>
      <c r="EX7" s="3">
        <v>5525.9141000000009</v>
      </c>
      <c r="EY7" s="3">
        <v>10811.056399999999</v>
      </c>
      <c r="EZ7" s="3">
        <v>11215.436699999998</v>
      </c>
      <c r="FA7" s="3">
        <v>7703.5600999999997</v>
      </c>
      <c r="FB7" s="3">
        <v>9506.607399999999</v>
      </c>
      <c r="FC7" s="3">
        <v>6021.2534999999998</v>
      </c>
      <c r="FD7" s="3">
        <v>5285.0582999999997</v>
      </c>
      <c r="FE7" s="3">
        <v>6381.6605</v>
      </c>
      <c r="FF7" s="3">
        <v>4093.2525000000001</v>
      </c>
      <c r="FG7" s="3">
        <v>10061.4033</v>
      </c>
      <c r="FH7" s="3">
        <v>6425.8486999999996</v>
      </c>
      <c r="FI7" s="3">
        <v>2026.1950999999997</v>
      </c>
      <c r="FJ7" s="3">
        <v>6527.8704000000016</v>
      </c>
      <c r="FK7" s="3">
        <v>2980.0241999999998</v>
      </c>
      <c r="FL7" s="3">
        <v>8273.086699999998</v>
      </c>
      <c r="FM7" s="3">
        <v>8933.1424000000006</v>
      </c>
      <c r="FN7" s="3">
        <v>9422.8871999999974</v>
      </c>
      <c r="FO7" s="3">
        <v>9833.8477000000003</v>
      </c>
      <c r="FP7" s="3">
        <v>7177.0855000000001</v>
      </c>
      <c r="FQ7" s="3">
        <v>3940.0544999999997</v>
      </c>
      <c r="FR7" s="3">
        <v>5200.2104999999992</v>
      </c>
      <c r="FS7" s="3">
        <v>2344.56</v>
      </c>
      <c r="FT7" s="3">
        <v>4400.8482999999997</v>
      </c>
      <c r="FU7" s="3">
        <v>6171.1518000000005</v>
      </c>
      <c r="FV7" s="3">
        <v>8336.0857999999989</v>
      </c>
      <c r="FW7" s="3">
        <v>5073.6706000000004</v>
      </c>
      <c r="FX7" s="3">
        <v>5318.9183000000021</v>
      </c>
      <c r="FY7" s="3">
        <v>2972.39</v>
      </c>
      <c r="FZ7" s="3">
        <v>4035.7064000000009</v>
      </c>
      <c r="GA7" s="3">
        <v>7590.5024999999987</v>
      </c>
      <c r="GB7" s="3">
        <v>11741.595899999998</v>
      </c>
      <c r="GC7" s="3">
        <v>14526.952700000002</v>
      </c>
      <c r="GD7" s="3">
        <v>12665.839900000001</v>
      </c>
      <c r="GE7" s="3">
        <v>7284.7302000000009</v>
      </c>
      <c r="GF7" s="3">
        <v>8747.7469000000001</v>
      </c>
      <c r="GG7" s="3">
        <v>5895.162800000001</v>
      </c>
      <c r="GH7" s="3">
        <v>5150.3623999999991</v>
      </c>
      <c r="GI7" s="3">
        <v>1105.0600000000002</v>
      </c>
      <c r="GJ7" s="3">
        <v>7487.7385999999997</v>
      </c>
      <c r="GK7" s="3">
        <v>4853.4379000000008</v>
      </c>
      <c r="GL7" s="3">
        <v>5329.0613999999987</v>
      </c>
      <c r="GM7" s="3">
        <v>5001.3552000000009</v>
      </c>
      <c r="GN7" s="3">
        <v>8078.9712</v>
      </c>
      <c r="GO7" s="3">
        <v>7743.2272999999996</v>
      </c>
      <c r="GP7" s="3">
        <v>4673.7142000000013</v>
      </c>
      <c r="GQ7" s="3">
        <v>5095.2796999999991</v>
      </c>
      <c r="GR7" s="3">
        <v>4427.8446999999996</v>
      </c>
      <c r="GS7" s="3">
        <v>11713.297699999997</v>
      </c>
      <c r="GT7" s="3">
        <v>15147.262199999999</v>
      </c>
      <c r="GU7" s="3">
        <v>8300.6509999999998</v>
      </c>
      <c r="GV7" s="3">
        <v>8130.1770999999999</v>
      </c>
      <c r="GW7" s="3">
        <v>7044.1851999999999</v>
      </c>
      <c r="GX7" s="3">
        <v>5286.9397000000008</v>
      </c>
      <c r="GY7" s="3">
        <v>7788.575499999999</v>
      </c>
      <c r="GZ7" s="3">
        <v>7204.1584999999995</v>
      </c>
      <c r="HA7" s="3">
        <v>6619.6922999999997</v>
      </c>
      <c r="HB7" s="3">
        <v>4788.9506999999994</v>
      </c>
      <c r="HC7" s="3">
        <v>2815.3048999999996</v>
      </c>
      <c r="HD7" s="3">
        <v>9248.9254999999994</v>
      </c>
      <c r="HE7" s="3">
        <v>2394.9900000000002</v>
      </c>
      <c r="HF7" s="3">
        <v>7314.2404999999981</v>
      </c>
      <c r="HG7" s="3">
        <v>6823.5220000000018</v>
      </c>
      <c r="HH7" s="3">
        <v>178.21880000000002</v>
      </c>
      <c r="HI7" s="3" t="s">
        <v>274</v>
      </c>
      <c r="HJ7" s="3">
        <v>294.01</v>
      </c>
      <c r="HK7" s="3">
        <v>117.29</v>
      </c>
    </row>
    <row r="8" spans="1:220" x14ac:dyDescent="0.3">
      <c r="A8" s="13" t="s">
        <v>14</v>
      </c>
      <c r="B8" s="13"/>
      <c r="C8" s="3">
        <v>-6342.982399999999</v>
      </c>
      <c r="D8" s="3">
        <v>-10274.157600000002</v>
      </c>
      <c r="E8" s="3">
        <v>-38461.705499999996</v>
      </c>
      <c r="F8" s="3">
        <v>-16962.826400000009</v>
      </c>
      <c r="G8" s="3">
        <v>-12661.013400000014</v>
      </c>
      <c r="H8" s="3">
        <v>-30332.831199999993</v>
      </c>
      <c r="I8" s="3">
        <v>-956.06179999999767</v>
      </c>
      <c r="J8" s="3">
        <v>-3336.2491999999993</v>
      </c>
      <c r="K8" s="3">
        <v>-14547.091100000009</v>
      </c>
      <c r="L8" s="3">
        <v>-8463.3965999999964</v>
      </c>
      <c r="M8" s="3">
        <v>-6065.702399999991</v>
      </c>
      <c r="N8" s="3">
        <v>-9140.3630999999968</v>
      </c>
      <c r="O8" s="3">
        <v>-25988.295200000015</v>
      </c>
      <c r="P8" s="3">
        <v>-15479.808900000004</v>
      </c>
      <c r="Q8" s="3">
        <v>-11986.3454</v>
      </c>
      <c r="R8" s="3">
        <v>-23932.498100000012</v>
      </c>
      <c r="S8" s="3">
        <v>-6188.1807000000099</v>
      </c>
      <c r="T8" s="3">
        <v>-17848.15930000001</v>
      </c>
      <c r="U8" s="3">
        <v>-21199.549500000008</v>
      </c>
      <c r="V8" s="3">
        <v>-10163.620399999994</v>
      </c>
      <c r="W8" s="3">
        <v>-23447.392300000021</v>
      </c>
      <c r="X8" s="3">
        <v>-5608.3879000000024</v>
      </c>
      <c r="Y8" s="3">
        <v>-6064.3122999999832</v>
      </c>
      <c r="Z8" s="3">
        <v>-22120.618299999998</v>
      </c>
      <c r="AA8" s="3">
        <v>-33970.042099999999</v>
      </c>
      <c r="AB8" s="3">
        <v>-30194.351700000007</v>
      </c>
      <c r="AC8" s="3">
        <v>-2667.719599999994</v>
      </c>
      <c r="AD8" s="3">
        <v>-13009.501400000001</v>
      </c>
      <c r="AE8" s="3">
        <v>-21983.133800000011</v>
      </c>
      <c r="AF8" s="3">
        <v>-10167.899899999995</v>
      </c>
      <c r="AG8" s="3">
        <v>-11864.124899999992</v>
      </c>
      <c r="AH8" s="3">
        <v>-20882.568600000035</v>
      </c>
      <c r="AI8" s="3">
        <v>-9636.8297000000057</v>
      </c>
      <c r="AJ8" s="3">
        <v>-14390.558299999986</v>
      </c>
      <c r="AK8" s="3">
        <v>-11869.975100000003</v>
      </c>
      <c r="AL8" s="3">
        <v>-13616.095799999997</v>
      </c>
      <c r="AM8" s="3">
        <v>-1138.8951000000043</v>
      </c>
      <c r="AN8" s="3">
        <v>-13333.727900000004</v>
      </c>
      <c r="AO8" s="3">
        <v>-48457.848999999907</v>
      </c>
      <c r="AP8" s="3">
        <v>-10370.280599999998</v>
      </c>
      <c r="AQ8" s="3">
        <v>-27150.067499999983</v>
      </c>
      <c r="AR8" s="3">
        <v>-20688.767900000039</v>
      </c>
      <c r="AS8" s="3">
        <v>-28476.765700000004</v>
      </c>
      <c r="AT8" s="3">
        <v>-28071.554299999967</v>
      </c>
      <c r="AU8" s="3">
        <v>-13417.371499999994</v>
      </c>
      <c r="AV8" s="3">
        <v>-17265.972399999999</v>
      </c>
      <c r="AW8" s="3">
        <v>-36813.237099999969</v>
      </c>
      <c r="AX8" s="3">
        <v>-37749.224099999978</v>
      </c>
      <c r="AY8" s="3">
        <v>-27864.439700000024</v>
      </c>
      <c r="AZ8" s="3">
        <v>-34273.317799999983</v>
      </c>
      <c r="BA8" s="3">
        <v>-23232.3531</v>
      </c>
      <c r="BB8" s="3">
        <v>-28397.905100000025</v>
      </c>
      <c r="BC8" s="3">
        <v>-14940.988300000001</v>
      </c>
      <c r="BD8" s="3">
        <v>-12915.362600000008</v>
      </c>
      <c r="BE8" s="3">
        <v>-16020.942500000003</v>
      </c>
      <c r="BF8" s="3">
        <v>7.8100000000000005</v>
      </c>
      <c r="BG8" s="3">
        <v>-3228.7035999999985</v>
      </c>
      <c r="BH8" s="3">
        <v>-876.75690000000759</v>
      </c>
      <c r="BI8" s="3">
        <v>-32337.333100000007</v>
      </c>
      <c r="BJ8" s="3">
        <v>-17943.111900000047</v>
      </c>
      <c r="BK8" s="3">
        <v>-5698.2538000000022</v>
      </c>
      <c r="BL8" s="3">
        <v>-29330.443399999982</v>
      </c>
      <c r="BM8" s="3">
        <v>-1203.1227999999978</v>
      </c>
      <c r="BN8" s="3">
        <v>-36399.159299999985</v>
      </c>
      <c r="BO8" s="3">
        <v>-12132.7991</v>
      </c>
      <c r="BP8" s="3">
        <v>-6985.2389000000003</v>
      </c>
      <c r="BQ8" s="3">
        <v>-12234.776700000002</v>
      </c>
      <c r="BR8" s="3">
        <v>-290162.70330000011</v>
      </c>
      <c r="BS8" s="3">
        <v>-13838.225700000006</v>
      </c>
      <c r="BT8" s="3">
        <v>-9242.646300000004</v>
      </c>
      <c r="BU8" s="3">
        <v>-10307.084600000002</v>
      </c>
      <c r="BV8" s="3">
        <v>-9670.5737000000008</v>
      </c>
      <c r="BW8" s="3">
        <v>-2774.5280999999982</v>
      </c>
      <c r="BX8" s="3">
        <v>-10933.224200000006</v>
      </c>
      <c r="BY8" s="3">
        <v>-8169.5921999999946</v>
      </c>
      <c r="BZ8" s="3">
        <v>-4618.5035000000016</v>
      </c>
      <c r="CA8" s="3">
        <v>-1705.0696000000012</v>
      </c>
      <c r="CB8" s="3">
        <v>-10797.22200000002</v>
      </c>
      <c r="CC8" s="3">
        <v>-31779.037099999994</v>
      </c>
      <c r="CD8" s="3">
        <v>-10536.709599999998</v>
      </c>
      <c r="CE8" s="3">
        <v>-5541.8093000000017</v>
      </c>
      <c r="CF8" s="3">
        <v>-23789.125300000007</v>
      </c>
      <c r="CG8" s="3">
        <v>-5879.8101000000006</v>
      </c>
      <c r="CH8" s="3">
        <v>-14058.606900000013</v>
      </c>
      <c r="CI8" s="3">
        <v>-22307.643699999997</v>
      </c>
      <c r="CJ8" s="3">
        <v>-24250.290300000001</v>
      </c>
      <c r="CK8" s="3">
        <v>-12984.685800000012</v>
      </c>
      <c r="CL8" s="3">
        <v>-20243.539400000001</v>
      </c>
      <c r="CM8" s="3">
        <v>-13474.102500000005</v>
      </c>
      <c r="CN8" s="3">
        <v>-8916.1992999999984</v>
      </c>
      <c r="CO8" s="3">
        <v>-15301.993600000005</v>
      </c>
      <c r="CP8" s="3">
        <v>-10436.638800000004</v>
      </c>
      <c r="CQ8" s="3">
        <v>-8677.9725000000108</v>
      </c>
      <c r="CR8" s="3">
        <v>-6411.4230000000234</v>
      </c>
      <c r="CS8" s="3">
        <v>-2395.482999999997</v>
      </c>
      <c r="CT8" s="3">
        <v>-13736.590000000017</v>
      </c>
      <c r="CU8" s="3">
        <v>-9190.8356000000058</v>
      </c>
      <c r="CV8" s="3">
        <v>-4565.6512999999986</v>
      </c>
      <c r="CW8" s="3">
        <v>-20082.466699999997</v>
      </c>
      <c r="CX8" s="3">
        <v>-6394.7421000000013</v>
      </c>
      <c r="CY8" s="3">
        <v>-18564.959500000019</v>
      </c>
      <c r="CZ8" s="3">
        <v>-11002.34740000001</v>
      </c>
      <c r="DA8" s="3">
        <v>-23936.319800000008</v>
      </c>
      <c r="DB8" s="3">
        <v>-6516.8934999999947</v>
      </c>
      <c r="DC8" s="3">
        <v>-9616.105400000004</v>
      </c>
      <c r="DD8" s="3">
        <v>89.039999999999992</v>
      </c>
      <c r="DE8" s="3">
        <v>-10619.484199999997</v>
      </c>
      <c r="DF8" s="3">
        <v>-14456.616400000017</v>
      </c>
      <c r="DG8" s="3">
        <v>-8125.2630000000063</v>
      </c>
      <c r="DH8" s="3">
        <v>-18188.020299999989</v>
      </c>
      <c r="DI8" s="3">
        <v>-46447.496999999938</v>
      </c>
      <c r="DJ8" s="3">
        <v>-283.86680000000013</v>
      </c>
      <c r="DK8" s="3">
        <v>-921.31980000000021</v>
      </c>
      <c r="DL8" s="3">
        <v>252.40470000000005</v>
      </c>
      <c r="DM8" s="3">
        <v>-1478.1772999999996</v>
      </c>
      <c r="DN8" s="3">
        <v>-1196.3029999999999</v>
      </c>
      <c r="DO8" s="3">
        <v>-2567.7882000000027</v>
      </c>
      <c r="DP8" s="3">
        <v>-1017.8746999999998</v>
      </c>
      <c r="DQ8" s="3">
        <v>189.12869999999992</v>
      </c>
      <c r="DR8" s="3">
        <v>-11299.106300000001</v>
      </c>
      <c r="DS8" s="3">
        <v>-4218.5107999999973</v>
      </c>
      <c r="DT8" s="3">
        <v>-40706.579599999983</v>
      </c>
      <c r="DU8" s="3">
        <v>-35027.003199999992</v>
      </c>
      <c r="DV8" s="3">
        <v>-7625.4920000000047</v>
      </c>
      <c r="DW8" s="3">
        <v>-20385.4817</v>
      </c>
      <c r="DX8" s="3">
        <v>-5662.4519999999993</v>
      </c>
      <c r="DY8" s="3">
        <v>-37807.714100000019</v>
      </c>
      <c r="DZ8" s="3">
        <v>-1031.2550999999996</v>
      </c>
      <c r="EA8" s="3">
        <v>-255.65659999999997</v>
      </c>
      <c r="EB8" s="3">
        <v>-2531.6990000000005</v>
      </c>
      <c r="EC8" s="3">
        <v>-205.20970000000011</v>
      </c>
      <c r="ED8" s="3">
        <v>-2407.3714000000004</v>
      </c>
      <c r="EE8" s="3">
        <v>-264.73439999999994</v>
      </c>
      <c r="EF8" s="3">
        <v>41.819100000000049</v>
      </c>
      <c r="EG8" s="3">
        <v>-400.54819999999995</v>
      </c>
      <c r="EH8" s="3">
        <v>-390.95099999999968</v>
      </c>
      <c r="EI8" s="3">
        <v>-890.90679999999998</v>
      </c>
      <c r="EJ8" s="3">
        <v>-14292.469799999995</v>
      </c>
      <c r="EK8" s="3">
        <v>-13873.170900000003</v>
      </c>
      <c r="EL8" s="3">
        <v>-27917.621800000015</v>
      </c>
      <c r="EM8" s="3">
        <v>-13814.537</v>
      </c>
      <c r="EN8" s="3">
        <v>-7369.9559000000063</v>
      </c>
      <c r="EO8" s="3">
        <v>-19685.033000000003</v>
      </c>
      <c r="EP8" s="3">
        <v>-23334.616800000025</v>
      </c>
      <c r="EQ8" s="3">
        <v>-34422.643099999972</v>
      </c>
      <c r="ER8" s="3">
        <v>-21469.260600000031</v>
      </c>
      <c r="ES8" s="3">
        <v>-32667.149400000013</v>
      </c>
      <c r="ET8" s="3">
        <v>-28831.057600000022</v>
      </c>
      <c r="EU8" s="3">
        <v>-25384.206699999995</v>
      </c>
      <c r="EV8" s="3">
        <v>-16369.374500000022</v>
      </c>
      <c r="EW8" s="3">
        <v>-5636.4186999999938</v>
      </c>
      <c r="EX8" s="3">
        <v>-27821.834999999999</v>
      </c>
      <c r="EY8" s="3">
        <v>-42686.407100000011</v>
      </c>
      <c r="EZ8" s="3">
        <v>-17557.532100000008</v>
      </c>
      <c r="FA8" s="3">
        <v>-29105.105100000019</v>
      </c>
      <c r="FB8" s="3">
        <v>-9607.0674000000017</v>
      </c>
      <c r="FC8" s="3">
        <v>-18192.315099999996</v>
      </c>
      <c r="FD8" s="3">
        <v>-5479.9429000000027</v>
      </c>
      <c r="FE8" s="3">
        <v>-7469.2113000000008</v>
      </c>
      <c r="FF8" s="3">
        <v>-3931.6297999999956</v>
      </c>
      <c r="FG8" s="3">
        <v>-29549.81460000002</v>
      </c>
      <c r="FH8" s="3">
        <v>-18015.739899999993</v>
      </c>
      <c r="FI8" s="3">
        <v>-9943.2118000000046</v>
      </c>
      <c r="FJ8" s="3">
        <v>-3080.0900999999994</v>
      </c>
      <c r="FK8" s="3">
        <v>-21891.865500000022</v>
      </c>
      <c r="FL8" s="3">
        <v>-20334.048700000014</v>
      </c>
      <c r="FM8" s="3">
        <v>-14070.376700000008</v>
      </c>
      <c r="FN8" s="3">
        <v>-36110.67819999998</v>
      </c>
      <c r="FO8" s="3">
        <v>-11396.032400000009</v>
      </c>
      <c r="FP8" s="3">
        <v>-2373.0358000000024</v>
      </c>
      <c r="FQ8" s="3">
        <v>-7241.1758000000045</v>
      </c>
      <c r="FR8" s="3">
        <v>-15635.017000000005</v>
      </c>
      <c r="FS8" s="3">
        <v>-11086.3621</v>
      </c>
      <c r="FT8" s="3">
        <v>-12968.111600000006</v>
      </c>
      <c r="FU8" s="3">
        <v>-11532.107199999995</v>
      </c>
      <c r="FV8" s="3">
        <v>-41349.713299999959</v>
      </c>
      <c r="FW8" s="3">
        <v>-25129.428800000009</v>
      </c>
      <c r="FX8" s="3">
        <v>-6932.0975999999982</v>
      </c>
      <c r="FY8" s="3">
        <v>-11191.391100000001</v>
      </c>
      <c r="FZ8" s="3">
        <v>-8540.4669000000031</v>
      </c>
      <c r="GA8" s="3">
        <v>-45579.33849999994</v>
      </c>
      <c r="GB8" s="3">
        <v>-13728.241700000015</v>
      </c>
      <c r="GC8" s="3">
        <v>-53362.494099999887</v>
      </c>
      <c r="GD8" s="3">
        <v>-20568.839199999988</v>
      </c>
      <c r="GE8" s="3">
        <v>-24766.047700000003</v>
      </c>
      <c r="GF8" s="3">
        <v>-25794.269500000017</v>
      </c>
      <c r="GG8" s="3">
        <v>-2720.4910999999984</v>
      </c>
      <c r="GH8" s="3">
        <v>-8064.1065000000026</v>
      </c>
      <c r="GI8" s="3">
        <v>-1907.7221999999999</v>
      </c>
      <c r="GJ8" s="3">
        <v>-28359.043799999996</v>
      </c>
      <c r="GK8" s="3">
        <v>-14860.412900000032</v>
      </c>
      <c r="GL8" s="3">
        <v>-7005.6847000000071</v>
      </c>
      <c r="GM8" s="3">
        <v>-14198.7176</v>
      </c>
      <c r="GN8" s="3">
        <v>-26613.727000000014</v>
      </c>
      <c r="GO8" s="3">
        <v>-19355.591300000011</v>
      </c>
      <c r="GP8" s="3">
        <v>-10473.419700000002</v>
      </c>
      <c r="GQ8" s="3">
        <v>-22229.226700000025</v>
      </c>
      <c r="GR8" s="3">
        <v>-14983.846300000007</v>
      </c>
      <c r="GS8" s="3">
        <v>-6208.2248000000127</v>
      </c>
      <c r="GT8" s="3">
        <v>-40341.783699999934</v>
      </c>
      <c r="GU8" s="3">
        <v>-7264.8453000000009</v>
      </c>
      <c r="GV8" s="3">
        <v>-20372.352400000007</v>
      </c>
      <c r="GW8" s="3">
        <v>-14951.223800000003</v>
      </c>
      <c r="GX8" s="3">
        <v>-13146.567100000002</v>
      </c>
      <c r="GY8" s="3">
        <v>-26855.972000000023</v>
      </c>
      <c r="GZ8" s="3">
        <v>-23438.105600000003</v>
      </c>
      <c r="HA8" s="3">
        <v>-32652.64520000001</v>
      </c>
      <c r="HB8" s="3">
        <v>-12433.308199999994</v>
      </c>
      <c r="HC8" s="3">
        <v>-23155.206300000013</v>
      </c>
      <c r="HD8" s="3">
        <v>9285.3654999999999</v>
      </c>
      <c r="HE8" s="3">
        <v>-8291.4849999999988</v>
      </c>
      <c r="HF8" s="3">
        <v>-2627.0560000000169</v>
      </c>
      <c r="HG8" s="3">
        <v>-35214.460899999998</v>
      </c>
      <c r="HH8" s="3">
        <v>178.21880000000002</v>
      </c>
      <c r="HI8" s="3">
        <v>0</v>
      </c>
      <c r="HJ8" s="3">
        <v>294.01</v>
      </c>
      <c r="HK8" s="3">
        <v>117.29</v>
      </c>
    </row>
    <row r="9" spans="1:220" x14ac:dyDescent="0.3">
      <c r="A9" s="13" t="s">
        <v>267</v>
      </c>
      <c r="B9" s="13"/>
      <c r="C9" s="8">
        <v>1.9546970896242763E-3</v>
      </c>
      <c r="D9" s="8">
        <v>3.1799433516284835E-3</v>
      </c>
      <c r="E9" s="8">
        <v>9.6693467622660529E-3</v>
      </c>
      <c r="F9" s="8">
        <v>4.6922340670865923E-3</v>
      </c>
      <c r="G9" s="8">
        <v>4.0661413945472132E-3</v>
      </c>
      <c r="H9" s="8">
        <v>8.4731979595457953E-3</v>
      </c>
      <c r="I9" s="8">
        <v>7.1345605463158041E-4</v>
      </c>
      <c r="J9" s="8">
        <v>1.0511143775771697E-3</v>
      </c>
      <c r="K9" s="8">
        <v>3.9691909955737155E-3</v>
      </c>
      <c r="L9" s="8">
        <v>2.773944778287114E-3</v>
      </c>
      <c r="M9" s="8">
        <v>2.3910654414753523E-3</v>
      </c>
      <c r="N9" s="8">
        <v>2.6634721675283029E-3</v>
      </c>
      <c r="O9" s="8">
        <v>7.3835793092416249E-3</v>
      </c>
      <c r="P9" s="8">
        <v>4.2842164228617825E-3</v>
      </c>
      <c r="Q9" s="8">
        <v>3.5444788739762007E-3</v>
      </c>
      <c r="R9" s="8">
        <v>7.1668667947283934E-3</v>
      </c>
      <c r="S9" s="8">
        <v>2.4568872595763284E-3</v>
      </c>
      <c r="T9" s="8">
        <v>5.2527558609515952E-3</v>
      </c>
      <c r="U9" s="8">
        <v>7.1544938157713685E-3</v>
      </c>
      <c r="V9" s="8">
        <v>3.0191762976031033E-3</v>
      </c>
      <c r="W9" s="8">
        <v>6.123553969369663E-3</v>
      </c>
      <c r="X9" s="8">
        <v>2.3450287764575938E-3</v>
      </c>
      <c r="Y9" s="8">
        <v>2.8487355606663547E-3</v>
      </c>
      <c r="Z9" s="8">
        <v>5.6124836678201609E-3</v>
      </c>
      <c r="AA9" s="8">
        <v>1.0211346230279833E-2</v>
      </c>
      <c r="AB9" s="8">
        <v>7.8018388766483036E-3</v>
      </c>
      <c r="AC9" s="8">
        <v>1.6074757893033507E-3</v>
      </c>
      <c r="AD9" s="8">
        <v>4.0302034061444744E-3</v>
      </c>
      <c r="AE9" s="8">
        <v>6.1086596486153904E-3</v>
      </c>
      <c r="AF9" s="8">
        <v>3.4097425192216092E-3</v>
      </c>
      <c r="AG9" s="8">
        <v>3.5207468673444471E-3</v>
      </c>
      <c r="AH9" s="8">
        <v>5.2166646593885578E-3</v>
      </c>
      <c r="AI9" s="8">
        <v>2.9139238913570469E-3</v>
      </c>
      <c r="AJ9" s="8">
        <v>4.310436673121195E-3</v>
      </c>
      <c r="AK9" s="8">
        <v>4.4798765412192316E-3</v>
      </c>
      <c r="AL9" s="8">
        <v>4.5463585893911959E-3</v>
      </c>
      <c r="AM9" s="8">
        <v>1.138164234988203E-3</v>
      </c>
      <c r="AN9" s="8">
        <v>3.5829187455889543E-3</v>
      </c>
      <c r="AO9" s="8">
        <v>1.2326622865782979E-2</v>
      </c>
      <c r="AP9" s="8">
        <v>4.1735422723135152E-3</v>
      </c>
      <c r="AQ9" s="8">
        <v>6.9707051276740525E-3</v>
      </c>
      <c r="AR9" s="8">
        <v>6.4458459512186303E-3</v>
      </c>
      <c r="AS9" s="8">
        <v>8.2302272474328395E-3</v>
      </c>
      <c r="AT9" s="8">
        <v>7.5863278421986263E-3</v>
      </c>
      <c r="AU9" s="8">
        <v>4.8566207278579101E-3</v>
      </c>
      <c r="AV9" s="8">
        <v>4.5870915616205692E-3</v>
      </c>
      <c r="AW9" s="8">
        <v>1.0733247164972608E-2</v>
      </c>
      <c r="AX9" s="8">
        <v>9.5614640832768511E-3</v>
      </c>
      <c r="AY9" s="8">
        <v>7.9416810780254931E-3</v>
      </c>
      <c r="AZ9" s="8">
        <v>8.7468625192166187E-3</v>
      </c>
      <c r="BA9" s="8">
        <v>5.7199891638656242E-3</v>
      </c>
      <c r="BB9" s="8">
        <v>7.7835237651480323E-3</v>
      </c>
      <c r="BC9" s="8">
        <v>4.0869948508944392E-3</v>
      </c>
      <c r="BD9" s="8">
        <v>3.5015798700381096E-3</v>
      </c>
      <c r="BE9" s="8">
        <v>4.0515197416313613E-3</v>
      </c>
      <c r="BF9" s="8">
        <v>0</v>
      </c>
      <c r="BG9" s="8">
        <v>1.3493502218419147E-3</v>
      </c>
      <c r="BH9" s="8">
        <v>4.9080769498923591E-3</v>
      </c>
      <c r="BI9" s="8">
        <v>8.5531921497357735E-3</v>
      </c>
      <c r="BJ9" s="8">
        <v>5.552476521293934E-3</v>
      </c>
      <c r="BK9" s="8">
        <v>3.1548547533741121E-3</v>
      </c>
      <c r="BL9" s="8">
        <v>8.9755575822214016E-3</v>
      </c>
      <c r="BM9" s="8">
        <v>9.8300771276720283E-4</v>
      </c>
      <c r="BN9" s="8">
        <v>9.2263053943514532E-3</v>
      </c>
      <c r="BO9" s="8">
        <v>3.6049694725068535E-3</v>
      </c>
      <c r="BP9" s="8">
        <v>2.2942413272885325E-3</v>
      </c>
      <c r="BQ9" s="8">
        <v>3.3843501152623005E-3</v>
      </c>
      <c r="BR9" s="8">
        <v>5.989266713855948E-2</v>
      </c>
      <c r="BS9" s="8">
        <v>3.4054591125896269E-3</v>
      </c>
      <c r="BT9" s="8">
        <v>2.7674752829508808E-3</v>
      </c>
      <c r="BU9" s="8">
        <v>2.9974325747793499E-3</v>
      </c>
      <c r="BV9" s="8">
        <v>2.6980795641174428E-3</v>
      </c>
      <c r="BW9" s="8">
        <v>9.1394349149878976E-4</v>
      </c>
      <c r="BX9" s="8">
        <v>2.6757639899385992E-3</v>
      </c>
      <c r="BY9" s="8">
        <v>2.0871476484704953E-3</v>
      </c>
      <c r="BZ9" s="8">
        <v>1.4264361064103778E-3</v>
      </c>
      <c r="CA9" s="8">
        <v>7.947975920676361E-4</v>
      </c>
      <c r="CB9" s="8">
        <v>4.5576581270267121E-3</v>
      </c>
      <c r="CC9" s="8">
        <v>8.560543244945526E-3</v>
      </c>
      <c r="CD9" s="8">
        <v>2.8664465686674958E-3</v>
      </c>
      <c r="CE9" s="8">
        <v>2.1246927552270672E-3</v>
      </c>
      <c r="CF9" s="8">
        <v>6.2130497484970048E-3</v>
      </c>
      <c r="CG9" s="8">
        <v>1.7725337197471163E-3</v>
      </c>
      <c r="CH9" s="8">
        <v>4.0379098114427551E-3</v>
      </c>
      <c r="CI9" s="8">
        <v>5.6541895487761647E-3</v>
      </c>
      <c r="CJ9" s="8">
        <v>6.3896355815655191E-3</v>
      </c>
      <c r="CK9" s="8">
        <v>3.9655043051935431E-3</v>
      </c>
      <c r="CL9" s="8">
        <v>6.5208319591479862E-3</v>
      </c>
      <c r="CM9" s="8">
        <v>3.9321367693384238E-3</v>
      </c>
      <c r="CN9" s="8">
        <v>2.7036277170149393E-3</v>
      </c>
      <c r="CO9" s="8">
        <v>4.4463170607422732E-3</v>
      </c>
      <c r="CP9" s="8">
        <v>3.2484004567214756E-3</v>
      </c>
      <c r="CQ9" s="8">
        <v>3.3182094693445107E-3</v>
      </c>
      <c r="CR9" s="8">
        <v>2.5103580953841007E-3</v>
      </c>
      <c r="CS9" s="8">
        <v>1.2579417234308877E-3</v>
      </c>
      <c r="CT9" s="8">
        <v>4.7589592134729105E-3</v>
      </c>
      <c r="CU9" s="8">
        <v>2.79040606213462E-3</v>
      </c>
      <c r="CV9" s="8">
        <v>1.4719474721120586E-3</v>
      </c>
      <c r="CW9" s="8">
        <v>5.7709214278439799E-3</v>
      </c>
      <c r="CX9" s="8">
        <v>2.2886025258505344E-3</v>
      </c>
      <c r="CY9" s="8">
        <v>5.7792743823613666E-3</v>
      </c>
      <c r="CZ9" s="8">
        <v>3.2153488804502767E-3</v>
      </c>
      <c r="DA9" s="8">
        <v>8.0799416862581738E-3</v>
      </c>
      <c r="DB9" s="8">
        <v>2.0609979897560499E-3</v>
      </c>
      <c r="DC9" s="8">
        <v>3.3976765237239601E-3</v>
      </c>
      <c r="DD9" s="8">
        <v>0</v>
      </c>
      <c r="DE9" s="8">
        <v>4.2451850349590203E-3</v>
      </c>
      <c r="DF9" s="8">
        <v>3.9914406003958612E-3</v>
      </c>
      <c r="DG9" s="8">
        <v>2.322300465627918E-3</v>
      </c>
      <c r="DH9" s="8">
        <v>5.4605171983574839E-3</v>
      </c>
      <c r="DI9" s="8">
        <v>1.2421296692589883E-2</v>
      </c>
      <c r="DJ9" s="8">
        <v>1.7179299525786195E-4</v>
      </c>
      <c r="DK9" s="8">
        <v>3.1563776406006241E-4</v>
      </c>
      <c r="DL9" s="8">
        <v>1.3853486494832423E-4</v>
      </c>
      <c r="DM9" s="8">
        <v>3.8434743872640606E-4</v>
      </c>
      <c r="DN9" s="8">
        <v>3.1281261655787879E-4</v>
      </c>
      <c r="DO9" s="8">
        <v>7.7597148114624381E-4</v>
      </c>
      <c r="DP9" s="8">
        <v>2.5166261334699525E-4</v>
      </c>
      <c r="DQ9" s="8">
        <v>8.1125099343335729E-5</v>
      </c>
      <c r="DR9" s="8">
        <v>3.3503814266800202E-3</v>
      </c>
      <c r="DS9" s="8">
        <v>1.8981806650764047E-3</v>
      </c>
      <c r="DT9" s="8">
        <v>1.025578691971905E-2</v>
      </c>
      <c r="DU9" s="8">
        <v>9.0854644082472309E-3</v>
      </c>
      <c r="DV9" s="8">
        <v>2.4607742929293485E-3</v>
      </c>
      <c r="DW9" s="8">
        <v>5.1773747590989471E-3</v>
      </c>
      <c r="DX9" s="8">
        <v>1.9850631538755538E-3</v>
      </c>
      <c r="DY9" s="8">
        <v>9.2696158555847022E-3</v>
      </c>
      <c r="DZ9" s="8">
        <v>3.166490328223842E-4</v>
      </c>
      <c r="EA9" s="8">
        <v>1.2217776604982788E-4</v>
      </c>
      <c r="EB9" s="8">
        <v>6.8342982439202984E-4</v>
      </c>
      <c r="EC9" s="8">
        <v>1.0610598410318889E-4</v>
      </c>
      <c r="ED9" s="8">
        <v>5.1746251967558479E-4</v>
      </c>
      <c r="EE9" s="8">
        <v>1.1838876848463302E-4</v>
      </c>
      <c r="EF9" s="8">
        <v>5.8943403546182793E-5</v>
      </c>
      <c r="EG9" s="8">
        <v>1.4641363247260071E-4</v>
      </c>
      <c r="EH9" s="8">
        <v>2.6704604003240551E-4</v>
      </c>
      <c r="EI9" s="8">
        <v>2.5823627299746883E-4</v>
      </c>
      <c r="EJ9" s="8">
        <v>4.0116346520628543E-3</v>
      </c>
      <c r="EK9" s="8">
        <v>3.8745225750763108E-3</v>
      </c>
      <c r="EL9" s="8">
        <v>8.7148021134426761E-3</v>
      </c>
      <c r="EM9" s="8">
        <v>3.5411326572855955E-3</v>
      </c>
      <c r="EN9" s="8">
        <v>3.3491776767918644E-3</v>
      </c>
      <c r="EO9" s="8">
        <v>5.2704756799991214E-3</v>
      </c>
      <c r="EP9" s="8">
        <v>5.819306845450534E-3</v>
      </c>
      <c r="EQ9" s="8">
        <v>9.7056833318680362E-3</v>
      </c>
      <c r="ER9" s="8">
        <v>5.4708474589857288E-3</v>
      </c>
      <c r="ES9" s="8">
        <v>8.3908250550823512E-3</v>
      </c>
      <c r="ET9" s="8">
        <v>8.673546297434746E-3</v>
      </c>
      <c r="EU9" s="8">
        <v>7.9339640664559084E-3</v>
      </c>
      <c r="EV9" s="8">
        <v>4.6162010922444268E-3</v>
      </c>
      <c r="EW9" s="8">
        <v>2.4438802567050173E-3</v>
      </c>
      <c r="EX9" s="8">
        <v>6.8812310150542294E-3</v>
      </c>
      <c r="EY9" s="8">
        <v>1.1039078048687001E-2</v>
      </c>
      <c r="EZ9" s="8">
        <v>5.9372356649327112E-3</v>
      </c>
      <c r="FA9" s="8">
        <v>7.5953830598115965E-3</v>
      </c>
      <c r="FB9" s="8">
        <v>3.9440626547541241E-3</v>
      </c>
      <c r="FC9" s="8">
        <v>4.9964139629281061E-3</v>
      </c>
      <c r="FD9" s="8">
        <v>2.2213331374301365E-3</v>
      </c>
      <c r="FE9" s="8">
        <v>2.8580954093750215E-3</v>
      </c>
      <c r="FF9" s="8">
        <v>1.6559159303174585E-3</v>
      </c>
      <c r="FG9" s="8">
        <v>8.1736833373725788E-3</v>
      </c>
      <c r="FH9" s="8">
        <v>5.043465363349391E-3</v>
      </c>
      <c r="FI9" s="8">
        <v>2.469859472226991E-3</v>
      </c>
      <c r="FJ9" s="8">
        <v>1.9825804610007682E-3</v>
      </c>
      <c r="FK9" s="8">
        <v>5.1322570016171789E-3</v>
      </c>
      <c r="FL9" s="8">
        <v>5.9030163258106038E-3</v>
      </c>
      <c r="FM9" s="8">
        <v>4.7467230430347819E-3</v>
      </c>
      <c r="FN9" s="8">
        <v>9.3957460672054773E-3</v>
      </c>
      <c r="FO9" s="8">
        <v>4.380736731343665E-3</v>
      </c>
      <c r="FP9" s="8">
        <v>1.9706454756519094E-3</v>
      </c>
      <c r="FQ9" s="8">
        <v>2.3072210509951373E-3</v>
      </c>
      <c r="FR9" s="8">
        <v>4.2993010787259053E-3</v>
      </c>
      <c r="FS9" s="8">
        <v>2.7714397585922009E-3</v>
      </c>
      <c r="FT9" s="8">
        <v>3.5840447643020455E-3</v>
      </c>
      <c r="FU9" s="8">
        <v>3.6530266115723502E-3</v>
      </c>
      <c r="FV9" s="8">
        <v>1.0252549902226332E-2</v>
      </c>
      <c r="FW9" s="8">
        <v>6.2323398115660487E-3</v>
      </c>
      <c r="FX9" s="8">
        <v>2.527968839042348E-3</v>
      </c>
      <c r="FY9" s="8">
        <v>2.9226635208119312E-3</v>
      </c>
      <c r="FZ9" s="8">
        <v>2.59506431762907E-3</v>
      </c>
      <c r="GA9" s="8">
        <v>1.097147390240805E-2</v>
      </c>
      <c r="GB9" s="8">
        <v>5.2556421699092868E-3</v>
      </c>
      <c r="GC9" s="8">
        <v>1.4008830566469427E-2</v>
      </c>
      <c r="GD9" s="8">
        <v>6.8578992816727916E-3</v>
      </c>
      <c r="GE9" s="8">
        <v>6.6136040030988089E-3</v>
      </c>
      <c r="GF9" s="8">
        <v>7.1276653144242332E-3</v>
      </c>
      <c r="GG9" s="8">
        <v>1.7778202856771801E-3</v>
      </c>
      <c r="GH9" s="8">
        <v>2.7267751406390892E-3</v>
      </c>
      <c r="GI9" s="8">
        <v>6.2168064939181506E-4</v>
      </c>
      <c r="GJ9" s="8">
        <v>7.3969007653587049E-3</v>
      </c>
      <c r="GK9" s="8">
        <v>4.0679075863357707E-3</v>
      </c>
      <c r="GL9" s="8">
        <v>2.5452463724497448E-3</v>
      </c>
      <c r="GM9" s="8">
        <v>3.9618906825306275E-3</v>
      </c>
      <c r="GN9" s="8">
        <v>7.1587581558767372E-3</v>
      </c>
      <c r="GO9" s="8">
        <v>5.5917786373668168E-3</v>
      </c>
      <c r="GP9" s="8">
        <v>3.1255761001830061E-3</v>
      </c>
      <c r="GQ9" s="8">
        <v>5.6383487937039789E-3</v>
      </c>
      <c r="GR9" s="8">
        <v>4.0055576093994631E-3</v>
      </c>
      <c r="GS9" s="8">
        <v>3.6980647807498433E-3</v>
      </c>
      <c r="GT9" s="8">
        <v>1.1450036477659815E-2</v>
      </c>
      <c r="GU9" s="8">
        <v>3.2119042152764627E-3</v>
      </c>
      <c r="GV9" s="8">
        <v>5.8814311399175718E-3</v>
      </c>
      <c r="GW9" s="8">
        <v>4.5387018519820561E-3</v>
      </c>
      <c r="GX9" s="8">
        <v>3.803711558702265E-3</v>
      </c>
      <c r="GY9" s="8">
        <v>7.1488223701287124E-3</v>
      </c>
      <c r="GZ9" s="8">
        <v>6.3229604332246461E-3</v>
      </c>
      <c r="HA9" s="8">
        <v>8.1037561494271097E-3</v>
      </c>
      <c r="HB9" s="8">
        <v>3.5537733517364651E-3</v>
      </c>
      <c r="HC9" s="8">
        <v>5.3589550110371116E-3</v>
      </c>
      <c r="HD9" s="8">
        <v>-7.5193098471697479E-6</v>
      </c>
      <c r="HE9" s="8">
        <v>2.2051294374048664E-3</v>
      </c>
      <c r="HF9" s="8">
        <v>2.051363574810216E-3</v>
      </c>
      <c r="HG9" s="8">
        <v>8.6744406908650807E-3</v>
      </c>
      <c r="HH9" s="8">
        <v>0</v>
      </c>
      <c r="HI9" s="8">
        <v>0</v>
      </c>
      <c r="HJ9" s="8">
        <v>0</v>
      </c>
      <c r="HK9" s="8">
        <v>0</v>
      </c>
    </row>
    <row r="10" spans="1:220" x14ac:dyDescent="0.3">
      <c r="A10" s="13" t="s">
        <v>268</v>
      </c>
      <c r="B10" s="13"/>
      <c r="C10" s="3">
        <v>5782.9979034004646</v>
      </c>
      <c r="D10" s="3">
        <v>9407.9056202690408</v>
      </c>
      <c r="E10" s="3">
        <v>28606.893799685833</v>
      </c>
      <c r="F10" s="3">
        <v>13882.038253528995</v>
      </c>
      <c r="G10" s="3">
        <v>12029.734573409649</v>
      </c>
      <c r="H10" s="3">
        <v>25068.071311534564</v>
      </c>
      <c r="I10" s="3">
        <v>2110.769433281278</v>
      </c>
      <c r="J10" s="3">
        <v>3109.736170391116</v>
      </c>
      <c r="K10" s="3">
        <v>11742.905500519719</v>
      </c>
      <c r="L10" s="3">
        <v>8206.7533236397867</v>
      </c>
      <c r="M10" s="3">
        <v>7073.9996024668653</v>
      </c>
      <c r="N10" s="3">
        <v>7879.9186034202048</v>
      </c>
      <c r="O10" s="3">
        <v>21844.419727019103</v>
      </c>
      <c r="P10" s="3">
        <v>12674.912508252515</v>
      </c>
      <c r="Q10" s="3">
        <v>10486.388917063152</v>
      </c>
      <c r="R10" s="3">
        <v>21203.272807773646</v>
      </c>
      <c r="S10" s="3">
        <v>7268.7343458173646</v>
      </c>
      <c r="T10" s="3">
        <v>15540.349598001631</v>
      </c>
      <c r="U10" s="3">
        <v>21166.667181384219</v>
      </c>
      <c r="V10" s="3">
        <v>8932.2741061589186</v>
      </c>
      <c r="W10" s="3">
        <v>18116.617635641538</v>
      </c>
      <c r="X10" s="3">
        <v>6937.7995033873603</v>
      </c>
      <c r="Y10" s="3">
        <v>8428.0228696930662</v>
      </c>
      <c r="Z10" s="3">
        <v>16604.609203215259</v>
      </c>
      <c r="AA10" s="3">
        <v>30210.406591414776</v>
      </c>
      <c r="AB10" s="3">
        <v>23081.846341213804</v>
      </c>
      <c r="AC10" s="3">
        <v>4755.7389677677002</v>
      </c>
      <c r="AD10" s="3">
        <v>11923.411546333666</v>
      </c>
      <c r="AE10" s="3">
        <v>18072.552585280671</v>
      </c>
      <c r="AF10" s="3">
        <v>10087.769580495053</v>
      </c>
      <c r="AG10" s="3">
        <v>10416.177452932257</v>
      </c>
      <c r="AH10" s="3">
        <v>15433.573287708781</v>
      </c>
      <c r="AI10" s="3">
        <v>8620.8834319313355</v>
      </c>
      <c r="AJ10" s="3">
        <v>12752.485474970321</v>
      </c>
      <c r="AK10" s="3">
        <v>13253.775627375338</v>
      </c>
      <c r="AL10" s="3">
        <v>13450.463670363186</v>
      </c>
      <c r="AM10" s="3">
        <v>3367.2743565231053</v>
      </c>
      <c r="AN10" s="3">
        <v>10600.113799615807</v>
      </c>
      <c r="AO10" s="3">
        <v>36468.481263525733</v>
      </c>
      <c r="AP10" s="3">
        <v>12347.481529826962</v>
      </c>
      <c r="AQ10" s="3">
        <v>20622.925850015174</v>
      </c>
      <c r="AR10" s="3">
        <v>19070.122843793055</v>
      </c>
      <c r="AS10" s="3">
        <v>24349.239157849297</v>
      </c>
      <c r="AT10" s="3">
        <v>22444.25401706413</v>
      </c>
      <c r="AU10" s="3">
        <v>14368.378423386343</v>
      </c>
      <c r="AV10" s="3">
        <v>13570.97272225266</v>
      </c>
      <c r="AW10" s="3">
        <v>31754.457599180481</v>
      </c>
      <c r="AX10" s="3">
        <v>28287.721427803037</v>
      </c>
      <c r="AY10" s="3">
        <v>23495.571394401784</v>
      </c>
      <c r="AZ10" s="3">
        <v>25877.711630339963</v>
      </c>
      <c r="BA10" s="3">
        <v>16922.665674233202</v>
      </c>
      <c r="BB10" s="3">
        <v>23027.660834943381</v>
      </c>
      <c r="BC10" s="3">
        <v>12091.429807405133</v>
      </c>
      <c r="BD10" s="3">
        <v>10359.471630927716</v>
      </c>
      <c r="BE10" s="3">
        <v>11986.476214554224</v>
      </c>
      <c r="BF10" s="3">
        <v>0</v>
      </c>
      <c r="BG10" s="3">
        <v>3992.0709685840175</v>
      </c>
      <c r="BH10" s="3">
        <v>14520.612355549882</v>
      </c>
      <c r="BI10" s="3">
        <v>25304.735210308663</v>
      </c>
      <c r="BJ10" s="3">
        <v>16427.077244738299</v>
      </c>
      <c r="BK10" s="3">
        <v>9333.6806613869594</v>
      </c>
      <c r="BL10" s="3">
        <v>26554.309082136911</v>
      </c>
      <c r="BM10" s="3">
        <v>2908.2416770016862</v>
      </c>
      <c r="BN10" s="3">
        <v>27296.149891911213</v>
      </c>
      <c r="BO10" s="3">
        <v>10665.351174865174</v>
      </c>
      <c r="BP10" s="3">
        <v>6787.5441448344936</v>
      </c>
      <c r="BQ10" s="3">
        <v>10012.645808306284</v>
      </c>
      <c r="BR10" s="3">
        <v>177193.26965280698</v>
      </c>
      <c r="BS10" s="3">
        <v>10075.09706376412</v>
      </c>
      <c r="BT10" s="3">
        <v>8187.6132337690397</v>
      </c>
      <c r="BU10" s="3">
        <v>8867.9450066941754</v>
      </c>
      <c r="BV10" s="3">
        <v>7982.3050565333133</v>
      </c>
      <c r="BW10" s="3">
        <v>2703.9142398170379</v>
      </c>
      <c r="BX10" s="3">
        <v>7916.2841270632462</v>
      </c>
      <c r="BY10" s="3">
        <v>6174.8546817103634</v>
      </c>
      <c r="BZ10" s="3">
        <v>4220.1306056538615</v>
      </c>
      <c r="CA10" s="3">
        <v>2351.4194771929401</v>
      </c>
      <c r="CB10" s="3">
        <v>13483.893506015187</v>
      </c>
      <c r="CC10" s="3">
        <v>25326.483525385895</v>
      </c>
      <c r="CD10" s="3">
        <v>8480.4211275517264</v>
      </c>
      <c r="CE10" s="3">
        <v>6285.932390276419</v>
      </c>
      <c r="CF10" s="3">
        <v>18381.39211441057</v>
      </c>
      <c r="CG10" s="3">
        <v>5244.065098073339</v>
      </c>
      <c r="CH10" s="3">
        <v>11946.211051136364</v>
      </c>
      <c r="CI10" s="3">
        <v>16727.996618794008</v>
      </c>
      <c r="CJ10" s="3">
        <v>18903.823701292265</v>
      </c>
      <c r="CK10" s="3">
        <v>11731.998376928963</v>
      </c>
      <c r="CL10" s="3">
        <v>19291.969967289406</v>
      </c>
      <c r="CM10" s="3">
        <v>11633.280068646791</v>
      </c>
      <c r="CN10" s="3">
        <v>7998.7193422782902</v>
      </c>
      <c r="CO10" s="3">
        <v>13154.489448320985</v>
      </c>
      <c r="CP10" s="3">
        <v>9610.4368959981803</v>
      </c>
      <c r="CQ10" s="3">
        <v>9816.9678085269679</v>
      </c>
      <c r="CR10" s="3">
        <v>7426.9285402072765</v>
      </c>
      <c r="CS10" s="3">
        <v>3721.637683820923</v>
      </c>
      <c r="CT10" s="3">
        <v>14079.445505887639</v>
      </c>
      <c r="CU10" s="3">
        <v>8255.4542556065426</v>
      </c>
      <c r="CV10" s="3">
        <v>4354.7765995680902</v>
      </c>
      <c r="CW10" s="3">
        <v>17073.349469367357</v>
      </c>
      <c r="CX10" s="3">
        <v>6770.8616741505566</v>
      </c>
      <c r="CY10" s="3">
        <v>17098.061798821189</v>
      </c>
      <c r="CZ10" s="3">
        <v>9512.6533584388308</v>
      </c>
      <c r="DA10" s="3">
        <v>23904.617282778359</v>
      </c>
      <c r="DB10" s="3">
        <v>6097.4905610376591</v>
      </c>
      <c r="DC10" s="3">
        <v>10052.072168841998</v>
      </c>
      <c r="DD10" s="3">
        <v>0</v>
      </c>
      <c r="DE10" s="3">
        <v>12559.437616717341</v>
      </c>
      <c r="DF10" s="3">
        <v>11808.731258751492</v>
      </c>
      <c r="DG10" s="3">
        <v>6870.5574869268385</v>
      </c>
      <c r="DH10" s="3">
        <v>16155.014338131199</v>
      </c>
      <c r="DI10" s="3">
        <v>36748.575066722857</v>
      </c>
      <c r="DJ10" s="3">
        <v>508.25191108565264</v>
      </c>
      <c r="DK10" s="3">
        <v>933.81861439421755</v>
      </c>
      <c r="DL10" s="3">
        <v>409.8572805968717</v>
      </c>
      <c r="DM10" s="3">
        <v>1137.0971206384613</v>
      </c>
      <c r="DN10" s="3">
        <v>925.46037711610029</v>
      </c>
      <c r="DO10" s="3">
        <v>2295.7221721908013</v>
      </c>
      <c r="DP10" s="3">
        <v>744.54726160650262</v>
      </c>
      <c r="DQ10" s="3">
        <v>240.00970887302148</v>
      </c>
      <c r="DR10" s="3">
        <v>9912.1489815113218</v>
      </c>
      <c r="DS10" s="3">
        <v>5615.7932933343318</v>
      </c>
      <c r="DT10" s="3">
        <v>30341.884975056335</v>
      </c>
      <c r="DU10" s="3">
        <v>26879.469920535121</v>
      </c>
      <c r="DV10" s="3">
        <v>7280.2341868158919</v>
      </c>
      <c r="DW10" s="3">
        <v>15317.33358376401</v>
      </c>
      <c r="DX10" s="3">
        <v>5872.836317153573</v>
      </c>
      <c r="DY10" s="3">
        <v>27424.284480045953</v>
      </c>
      <c r="DZ10" s="3">
        <v>936.81046677038569</v>
      </c>
      <c r="EA10" s="3">
        <v>361.46458121760332</v>
      </c>
      <c r="EB10" s="3">
        <v>2021.9364230701062</v>
      </c>
      <c r="EC10" s="3">
        <v>313.91599591777674</v>
      </c>
      <c r="ED10" s="3">
        <v>1530.9198966206225</v>
      </c>
      <c r="EE10" s="3">
        <v>350.25478042963414</v>
      </c>
      <c r="EF10" s="3">
        <v>174.38486041455309</v>
      </c>
      <c r="EG10" s="3">
        <v>433.16672138753074</v>
      </c>
      <c r="EH10" s="3">
        <v>790.05933851144255</v>
      </c>
      <c r="EI10" s="3">
        <v>763.99552301649123</v>
      </c>
      <c r="EJ10" s="3">
        <v>11868.475635039395</v>
      </c>
      <c r="EK10" s="3">
        <v>11462.827691962713</v>
      </c>
      <c r="EL10" s="3">
        <v>25782.860484166456</v>
      </c>
      <c r="EM10" s="3">
        <v>10476.489089509914</v>
      </c>
      <c r="EN10" s="3">
        <v>9908.587671108613</v>
      </c>
      <c r="EO10" s="3">
        <v>15592.773923460762</v>
      </c>
      <c r="EP10" s="3">
        <v>17216.498384899656</v>
      </c>
      <c r="EQ10" s="3">
        <v>28714.396034656384</v>
      </c>
      <c r="ER10" s="3">
        <v>16185.576554585004</v>
      </c>
      <c r="ES10" s="3">
        <v>24824.369954256406</v>
      </c>
      <c r="ET10" s="3">
        <v>25660.804591852833</v>
      </c>
      <c r="EU10" s="3">
        <v>23472.740510801297</v>
      </c>
      <c r="EV10" s="3">
        <v>13657.093664193131</v>
      </c>
      <c r="EW10" s="3">
        <v>7230.252951061324</v>
      </c>
      <c r="EX10" s="3">
        <v>20358.215471903077</v>
      </c>
      <c r="EY10" s="3">
        <v>32659.262424799475</v>
      </c>
      <c r="EZ10" s="3">
        <v>17565.392399954955</v>
      </c>
      <c r="FA10" s="3">
        <v>22471.044001429793</v>
      </c>
      <c r="FB10" s="3">
        <v>11668.562962718344</v>
      </c>
      <c r="FC10" s="3">
        <v>14781.958609089645</v>
      </c>
      <c r="FD10" s="3">
        <v>6571.8442743380019</v>
      </c>
      <c r="FE10" s="3">
        <v>8455.7141092951915</v>
      </c>
      <c r="FF10" s="3">
        <v>4899.0497832449228</v>
      </c>
      <c r="FG10" s="3">
        <v>24181.953231521242</v>
      </c>
      <c r="FH10" s="3">
        <v>14921.160816650432</v>
      </c>
      <c r="FI10" s="3">
        <v>7307.1128132328286</v>
      </c>
      <c r="FJ10" s="3">
        <v>5865.4912365444679</v>
      </c>
      <c r="FK10" s="3">
        <v>15183.852085117411</v>
      </c>
      <c r="FL10" s="3">
        <v>17464.154020131646</v>
      </c>
      <c r="FM10" s="3">
        <v>14043.24462936055</v>
      </c>
      <c r="FN10" s="3">
        <v>27797.442425197754</v>
      </c>
      <c r="FO10" s="3">
        <v>12960.4691525782</v>
      </c>
      <c r="FP10" s="3">
        <v>5830.1814201969992</v>
      </c>
      <c r="FQ10" s="3">
        <v>6825.9448338110351</v>
      </c>
      <c r="FR10" s="3">
        <v>12719.54066762247</v>
      </c>
      <c r="FS10" s="3">
        <v>8199.3421888299199</v>
      </c>
      <c r="FT10" s="3">
        <v>10603.445141280743</v>
      </c>
      <c r="FU10" s="3">
        <v>10807.52887387255</v>
      </c>
      <c r="FV10" s="3">
        <v>30332.308214814031</v>
      </c>
      <c r="FW10" s="3">
        <v>18438.462028146507</v>
      </c>
      <c r="FX10" s="3">
        <v>7479.0301646449243</v>
      </c>
      <c r="FY10" s="3">
        <v>8646.7397444425533</v>
      </c>
      <c r="FZ10" s="3">
        <v>7677.5330498511667</v>
      </c>
      <c r="GA10" s="3">
        <v>32459.254639313131</v>
      </c>
      <c r="GB10" s="3">
        <v>15548.888782277034</v>
      </c>
      <c r="GC10" s="3">
        <v>41445.315606704578</v>
      </c>
      <c r="GD10" s="3">
        <v>20289.188221622837</v>
      </c>
      <c r="GE10" s="3">
        <v>19566.437320062163</v>
      </c>
      <c r="GF10" s="3">
        <v>21087.294695557433</v>
      </c>
      <c r="GG10" s="3">
        <v>5259.7054752202775</v>
      </c>
      <c r="GH10" s="3">
        <v>8067.2013096368801</v>
      </c>
      <c r="GI10" s="3">
        <v>1839.2506496792073</v>
      </c>
      <c r="GJ10" s="3">
        <v>21883.831435976077</v>
      </c>
      <c r="GK10" s="3">
        <v>12034.959875818113</v>
      </c>
      <c r="GL10" s="3">
        <v>7530.145982027203</v>
      </c>
      <c r="GM10" s="3">
        <v>11721.307425172679</v>
      </c>
      <c r="GN10" s="3">
        <v>21179.283289537052</v>
      </c>
      <c r="GO10" s="3">
        <v>16543.353089243887</v>
      </c>
      <c r="GP10" s="3">
        <v>9247.0593680329584</v>
      </c>
      <c r="GQ10" s="3">
        <v>16681.131529641836</v>
      </c>
      <c r="GR10" s="3">
        <v>11850.496621734565</v>
      </c>
      <c r="GS10" s="3">
        <v>10940.774909439371</v>
      </c>
      <c r="GT10" s="3">
        <v>33875.088521717305</v>
      </c>
      <c r="GU10" s="3">
        <v>9502.4622697101368</v>
      </c>
      <c r="GV10" s="3">
        <v>17400.293954330911</v>
      </c>
      <c r="GW10" s="3">
        <v>13427.811108685481</v>
      </c>
      <c r="GX10" s="3">
        <v>11253.332337719628</v>
      </c>
      <c r="GY10" s="3">
        <v>21149.888132377175</v>
      </c>
      <c r="GZ10" s="3">
        <v>18706.564368830528</v>
      </c>
      <c r="HA10" s="3">
        <v>23975.072695695068</v>
      </c>
      <c r="HB10" s="3">
        <v>10513.886755826057</v>
      </c>
      <c r="HC10" s="3">
        <v>15854.541226744221</v>
      </c>
      <c r="HD10" s="3">
        <v>-22.245980368016745</v>
      </c>
      <c r="HE10" s="3">
        <v>6523.9054076098173</v>
      </c>
      <c r="HF10" s="3">
        <v>6068.9870134916009</v>
      </c>
      <c r="HG10" s="3">
        <v>25663.450666971017</v>
      </c>
      <c r="HH10" s="3">
        <v>0</v>
      </c>
      <c r="HI10" s="3">
        <v>0</v>
      </c>
      <c r="HJ10" s="3">
        <v>0</v>
      </c>
      <c r="HK10" s="3">
        <v>0</v>
      </c>
    </row>
    <row r="11" spans="1:220" x14ac:dyDescent="0.3">
      <c r="A11" s="13" t="s">
        <v>269</v>
      </c>
      <c r="B11" s="13"/>
      <c r="C11" s="3">
        <v>-559.9844965995344</v>
      </c>
      <c r="D11" s="3">
        <v>-866.25197973096147</v>
      </c>
      <c r="E11" s="3">
        <v>-9854.8117003141633</v>
      </c>
      <c r="F11" s="3">
        <v>-3080.7881464710135</v>
      </c>
      <c r="G11" s="3">
        <v>-631.2788265903655</v>
      </c>
      <c r="H11" s="3">
        <v>-5264.759888465429</v>
      </c>
      <c r="I11" s="3">
        <v>1154.7076332812803</v>
      </c>
      <c r="J11" s="3">
        <v>-226.51302960888324</v>
      </c>
      <c r="K11" s="3">
        <v>-2804.18559948029</v>
      </c>
      <c r="L11" s="3">
        <v>-256.64327636020971</v>
      </c>
      <c r="M11" s="3">
        <v>1008.2972024668743</v>
      </c>
      <c r="N11" s="3">
        <v>-1260.444496579792</v>
      </c>
      <c r="O11" s="3">
        <v>-4143.8754729809116</v>
      </c>
      <c r="P11" s="3">
        <v>-2804.8963917474885</v>
      </c>
      <c r="Q11" s="3">
        <v>-1499.9564829368483</v>
      </c>
      <c r="R11" s="3">
        <v>-2729.2252922263651</v>
      </c>
      <c r="S11" s="3">
        <v>1080.5536458173547</v>
      </c>
      <c r="T11" s="3">
        <v>-2307.8097019983798</v>
      </c>
      <c r="U11" s="3">
        <v>-32.8823186157897</v>
      </c>
      <c r="V11" s="3">
        <v>-1231.3462938410757</v>
      </c>
      <c r="W11" s="3">
        <v>-5330.7746643584833</v>
      </c>
      <c r="X11" s="3">
        <v>1329.4116033873579</v>
      </c>
      <c r="Y11" s="3">
        <v>2363.710569693083</v>
      </c>
      <c r="Z11" s="3">
        <v>-5516.0090967847391</v>
      </c>
      <c r="AA11" s="3">
        <v>-3759.6355085852229</v>
      </c>
      <c r="AB11" s="3">
        <v>-7112.5053587862021</v>
      </c>
      <c r="AC11" s="3">
        <v>2088.0193677677062</v>
      </c>
      <c r="AD11" s="3">
        <v>-1086.0898536663353</v>
      </c>
      <c r="AE11" s="3">
        <v>-3910.5812147193392</v>
      </c>
      <c r="AF11" s="3">
        <v>-80.130319504942236</v>
      </c>
      <c r="AG11" s="3">
        <v>-1447.9474470677342</v>
      </c>
      <c r="AH11" s="3">
        <v>-5448.9953122912539</v>
      </c>
      <c r="AI11" s="3">
        <v>-1015.9462680686702</v>
      </c>
      <c r="AJ11" s="3">
        <v>-1638.0728250296652</v>
      </c>
      <c r="AK11" s="3">
        <v>1383.8005273753352</v>
      </c>
      <c r="AL11" s="3">
        <v>-165.63212963681144</v>
      </c>
      <c r="AM11" s="3">
        <v>2228.379256523101</v>
      </c>
      <c r="AN11" s="3">
        <v>-2733.6141003841967</v>
      </c>
      <c r="AO11" s="3">
        <v>-11989.367736474174</v>
      </c>
      <c r="AP11" s="3">
        <v>1977.2009298269641</v>
      </c>
      <c r="AQ11" s="3">
        <v>-6527.1416499848092</v>
      </c>
      <c r="AR11" s="3">
        <v>-1618.645056206984</v>
      </c>
      <c r="AS11" s="3">
        <v>-4127.5265421507065</v>
      </c>
      <c r="AT11" s="3">
        <v>-5627.3002829358375</v>
      </c>
      <c r="AU11" s="3">
        <v>951.00692338634872</v>
      </c>
      <c r="AV11" s="3">
        <v>-3694.9996777473389</v>
      </c>
      <c r="AW11" s="3">
        <v>-5058.779500819488</v>
      </c>
      <c r="AX11" s="3">
        <v>-9461.5026721969407</v>
      </c>
      <c r="AY11" s="3">
        <v>-4368.8683055982401</v>
      </c>
      <c r="AZ11" s="3">
        <v>-8395.6061696600191</v>
      </c>
      <c r="BA11" s="3">
        <v>-6309.6874257667987</v>
      </c>
      <c r="BB11" s="3">
        <v>-5370.2442650566445</v>
      </c>
      <c r="BC11" s="3">
        <v>-2849.5584925948679</v>
      </c>
      <c r="BD11" s="3">
        <v>-2555.8909690722921</v>
      </c>
      <c r="BE11" s="3">
        <v>-4034.4662854457783</v>
      </c>
      <c r="BF11" s="3">
        <v>7.8100000000000005</v>
      </c>
      <c r="BG11" s="3">
        <v>763.367368584019</v>
      </c>
      <c r="BH11" s="3">
        <v>13643.855455549874</v>
      </c>
      <c r="BI11" s="3">
        <v>-7032.5978896913439</v>
      </c>
      <c r="BJ11" s="3">
        <v>-1516.0346552617484</v>
      </c>
      <c r="BK11" s="3">
        <v>3635.4268613869572</v>
      </c>
      <c r="BL11" s="3">
        <v>-2776.1343178630705</v>
      </c>
      <c r="BM11" s="3">
        <v>1705.1188770016884</v>
      </c>
      <c r="BN11" s="3">
        <v>-9103.009408088772</v>
      </c>
      <c r="BO11" s="3">
        <v>-1467.4479251348257</v>
      </c>
      <c r="BP11" s="3">
        <v>-197.69475516550665</v>
      </c>
      <c r="BQ11" s="3">
        <v>-2222.1308916937178</v>
      </c>
      <c r="BR11" s="3">
        <v>-112969.43364719313</v>
      </c>
      <c r="BS11" s="3">
        <v>-3763.128636235886</v>
      </c>
      <c r="BT11" s="3">
        <v>-1055.0330662309643</v>
      </c>
      <c r="BU11" s="3">
        <v>-1439.1395933058266</v>
      </c>
      <c r="BV11" s="3">
        <v>-1688.2686434666875</v>
      </c>
      <c r="BW11" s="3">
        <v>-70.613860182960252</v>
      </c>
      <c r="BX11" s="3">
        <v>-3016.9400729367599</v>
      </c>
      <c r="BY11" s="3">
        <v>-1994.7375182896312</v>
      </c>
      <c r="BZ11" s="3">
        <v>-398.37289434614013</v>
      </c>
      <c r="CA11" s="3">
        <v>646.34987719293895</v>
      </c>
      <c r="CB11" s="3">
        <v>2686.6715060151673</v>
      </c>
      <c r="CC11" s="3">
        <v>-6452.5535746140995</v>
      </c>
      <c r="CD11" s="3">
        <v>-2056.2884724482719</v>
      </c>
      <c r="CE11" s="3">
        <v>744.12309027641732</v>
      </c>
      <c r="CF11" s="3">
        <v>-5407.7331855894372</v>
      </c>
      <c r="CG11" s="3">
        <v>-635.74500192666164</v>
      </c>
      <c r="CH11" s="3">
        <v>-2112.395848863649</v>
      </c>
      <c r="CI11" s="3">
        <v>-5579.6470812059888</v>
      </c>
      <c r="CJ11" s="3">
        <v>-5346.4665987077351</v>
      </c>
      <c r="CK11" s="3">
        <v>-1252.6874230710491</v>
      </c>
      <c r="CL11" s="3">
        <v>-951.56943271059572</v>
      </c>
      <c r="CM11" s="3">
        <v>-1840.8224313532137</v>
      </c>
      <c r="CN11" s="3">
        <v>-917.47995772170816</v>
      </c>
      <c r="CO11" s="3">
        <v>-2147.5041516790207</v>
      </c>
      <c r="CP11" s="3">
        <v>-826.201904001824</v>
      </c>
      <c r="CQ11" s="3">
        <v>1138.9953085269572</v>
      </c>
      <c r="CR11" s="3">
        <v>1015.505540207253</v>
      </c>
      <c r="CS11" s="3">
        <v>1326.154683820926</v>
      </c>
      <c r="CT11" s="3">
        <v>342.85550588762271</v>
      </c>
      <c r="CU11" s="3">
        <v>-935.38134439346322</v>
      </c>
      <c r="CV11" s="3">
        <v>-210.87470043190842</v>
      </c>
      <c r="CW11" s="3">
        <v>-3009.1172306326407</v>
      </c>
      <c r="CX11" s="3">
        <v>376.11957415055531</v>
      </c>
      <c r="CY11" s="3">
        <v>-1466.8977011788302</v>
      </c>
      <c r="CZ11" s="3">
        <v>-1489.6940415611789</v>
      </c>
      <c r="DA11" s="3">
        <v>-31.702517221649032</v>
      </c>
      <c r="DB11" s="3">
        <v>-419.40293896233561</v>
      </c>
      <c r="DC11" s="3">
        <v>435.96676884199405</v>
      </c>
      <c r="DD11" s="3">
        <v>89.039999999999992</v>
      </c>
      <c r="DE11" s="3">
        <v>1939.9534167173442</v>
      </c>
      <c r="DF11" s="3">
        <v>-2647.8851412485255</v>
      </c>
      <c r="DG11" s="3">
        <v>-1254.7055130731678</v>
      </c>
      <c r="DH11" s="3">
        <v>-2033.0059618687901</v>
      </c>
      <c r="DI11" s="3">
        <v>-9698.9219332770808</v>
      </c>
      <c r="DJ11" s="3">
        <v>224.38511108565251</v>
      </c>
      <c r="DK11" s="3">
        <v>12.498814394217334</v>
      </c>
      <c r="DL11" s="3">
        <v>662.26198059687181</v>
      </c>
      <c r="DM11" s="3">
        <v>-341.08017936153828</v>
      </c>
      <c r="DN11" s="3">
        <v>-270.84262288389959</v>
      </c>
      <c r="DO11" s="3">
        <v>-272.06602780920139</v>
      </c>
      <c r="DP11" s="3">
        <v>-273.32743839349723</v>
      </c>
      <c r="DQ11" s="3">
        <v>429.13840887302138</v>
      </c>
      <c r="DR11" s="3">
        <v>-1386.9573184886794</v>
      </c>
      <c r="DS11" s="3">
        <v>1397.2824933343345</v>
      </c>
      <c r="DT11" s="3">
        <v>-10364.694624943648</v>
      </c>
      <c r="DU11" s="3">
        <v>-8147.5332794648712</v>
      </c>
      <c r="DV11" s="3">
        <v>-345.25781318411282</v>
      </c>
      <c r="DW11" s="3">
        <v>-5068.1481162359905</v>
      </c>
      <c r="DX11" s="3">
        <v>210.38431715357365</v>
      </c>
      <c r="DY11" s="3">
        <v>-10383.429619954066</v>
      </c>
      <c r="DZ11" s="3">
        <v>-94.444633229613942</v>
      </c>
      <c r="EA11" s="3">
        <v>105.80798121760336</v>
      </c>
      <c r="EB11" s="3">
        <v>-509.76257692989429</v>
      </c>
      <c r="EC11" s="3">
        <v>108.70629591777663</v>
      </c>
      <c r="ED11" s="3">
        <v>-876.45150337937798</v>
      </c>
      <c r="EE11" s="3">
        <v>85.520380429634201</v>
      </c>
      <c r="EF11" s="3">
        <v>216.20396041455314</v>
      </c>
      <c r="EG11" s="3">
        <v>32.618521387530791</v>
      </c>
      <c r="EH11" s="3">
        <v>399.10833851144287</v>
      </c>
      <c r="EI11" s="3">
        <v>-126.91127698350874</v>
      </c>
      <c r="EJ11" s="3">
        <v>-2423.9941649606008</v>
      </c>
      <c r="EK11" s="3">
        <v>-2410.3432080372895</v>
      </c>
      <c r="EL11" s="3">
        <v>-2134.7613158335589</v>
      </c>
      <c r="EM11" s="3">
        <v>-3338.047910490086</v>
      </c>
      <c r="EN11" s="3">
        <v>2538.6317711086067</v>
      </c>
      <c r="EO11" s="3">
        <v>-4092.2590765392415</v>
      </c>
      <c r="EP11" s="3">
        <v>-6118.118415100369</v>
      </c>
      <c r="EQ11" s="3">
        <v>-5708.2470653435885</v>
      </c>
      <c r="ER11" s="3">
        <v>-5283.684045415026</v>
      </c>
      <c r="ES11" s="3">
        <v>-7842.7794457436066</v>
      </c>
      <c r="ET11" s="3">
        <v>-3170.2530081471887</v>
      </c>
      <c r="EU11" s="3">
        <v>-1911.466189198698</v>
      </c>
      <c r="EV11" s="3">
        <v>-2712.2808358068905</v>
      </c>
      <c r="EW11" s="3">
        <v>1593.8342510613302</v>
      </c>
      <c r="EX11" s="3">
        <v>-7463.6195280969223</v>
      </c>
      <c r="EY11" s="3">
        <v>-10027.144675200536</v>
      </c>
      <c r="EZ11" s="3">
        <v>7.8602999549475498</v>
      </c>
      <c r="FA11" s="3">
        <v>-6634.061098570226</v>
      </c>
      <c r="FB11" s="3">
        <v>2061.4955627183426</v>
      </c>
      <c r="FC11" s="3">
        <v>-3410.3564909103516</v>
      </c>
      <c r="FD11" s="3">
        <v>1091.9013743379992</v>
      </c>
      <c r="FE11" s="3">
        <v>986.50280929519067</v>
      </c>
      <c r="FF11" s="3">
        <v>967.41998324492715</v>
      </c>
      <c r="FG11" s="3">
        <v>-5367.8613684787779</v>
      </c>
      <c r="FH11" s="3">
        <v>-3094.5790833495612</v>
      </c>
      <c r="FI11" s="3">
        <v>-2636.098986767176</v>
      </c>
      <c r="FJ11" s="3">
        <v>2785.4011365444685</v>
      </c>
      <c r="FK11" s="3">
        <v>-6708.013414882611</v>
      </c>
      <c r="FL11" s="3">
        <v>-2869.8946798683683</v>
      </c>
      <c r="FM11" s="3">
        <v>-27.132070639458107</v>
      </c>
      <c r="FN11" s="3">
        <v>-8313.2357748022259</v>
      </c>
      <c r="FO11" s="3">
        <v>1564.4367525781909</v>
      </c>
      <c r="FP11" s="3">
        <v>3457.1456201969968</v>
      </c>
      <c r="FQ11" s="3">
        <v>-415.23096618896943</v>
      </c>
      <c r="FR11" s="3">
        <v>-2915.4763323775351</v>
      </c>
      <c r="FS11" s="3">
        <v>-2887.0199111700804</v>
      </c>
      <c r="FT11" s="3">
        <v>-2364.6664587192627</v>
      </c>
      <c r="FU11" s="3">
        <v>-724.5783261274446</v>
      </c>
      <c r="FV11" s="3">
        <v>-11017.405085185928</v>
      </c>
      <c r="FW11" s="3">
        <v>-6690.966771853502</v>
      </c>
      <c r="FX11" s="3">
        <v>546.93256464492606</v>
      </c>
      <c r="FY11" s="3">
        <v>-2544.6513555574475</v>
      </c>
      <c r="FZ11" s="3">
        <v>-862.93385014883643</v>
      </c>
      <c r="GA11" s="3">
        <v>-13120.083860686809</v>
      </c>
      <c r="GB11" s="3">
        <v>1820.6470822770189</v>
      </c>
      <c r="GC11" s="3">
        <v>-11917.178493295309</v>
      </c>
      <c r="GD11" s="3">
        <v>-279.65097837715075</v>
      </c>
      <c r="GE11" s="3">
        <v>-5199.6103799378398</v>
      </c>
      <c r="GF11" s="3">
        <v>-4706.9748044425833</v>
      </c>
      <c r="GG11" s="3">
        <v>2539.2143752202792</v>
      </c>
      <c r="GH11" s="3">
        <v>3.0948096368774713</v>
      </c>
      <c r="GI11" s="3">
        <v>-68.47155032079263</v>
      </c>
      <c r="GJ11" s="3">
        <v>-6475.2123640239188</v>
      </c>
      <c r="GK11" s="3">
        <v>-2825.4530241819193</v>
      </c>
      <c r="GL11" s="3">
        <v>524.46128202719592</v>
      </c>
      <c r="GM11" s="3">
        <v>-2477.4101748273206</v>
      </c>
      <c r="GN11" s="3">
        <v>-5434.4437104629615</v>
      </c>
      <c r="GO11" s="3">
        <v>-2812.2382107561243</v>
      </c>
      <c r="GP11" s="3">
        <v>-1226.3603319670437</v>
      </c>
      <c r="GQ11" s="3">
        <v>-5548.0951703581886</v>
      </c>
      <c r="GR11" s="3">
        <v>-3133.349678265442</v>
      </c>
      <c r="GS11" s="3">
        <v>4732.5501094393585</v>
      </c>
      <c r="GT11" s="3">
        <v>-6466.6951782826291</v>
      </c>
      <c r="GU11" s="3">
        <v>2237.6169697101359</v>
      </c>
      <c r="GV11" s="3">
        <v>-2972.0584456690958</v>
      </c>
      <c r="GW11" s="3">
        <v>-1523.4126913145228</v>
      </c>
      <c r="GX11" s="3">
        <v>-1893.2347622803736</v>
      </c>
      <c r="GY11" s="3">
        <v>-5706.0838676228486</v>
      </c>
      <c r="GZ11" s="3">
        <v>-4731.5412311694745</v>
      </c>
      <c r="HA11" s="3">
        <v>-8677.5725043049424</v>
      </c>
      <c r="HB11" s="3">
        <v>-1919.4214441739368</v>
      </c>
      <c r="HC11" s="3">
        <v>-7300.6650732557919</v>
      </c>
      <c r="HD11" s="3">
        <v>9263.1195196319823</v>
      </c>
      <c r="HE11" s="3">
        <v>-1767.5795923901815</v>
      </c>
      <c r="HF11" s="3">
        <v>3441.9310134915841</v>
      </c>
      <c r="HG11" s="3">
        <v>-9551.010233028981</v>
      </c>
      <c r="HH11" s="3">
        <v>178.21880000000002</v>
      </c>
      <c r="HI11" s="3">
        <v>0</v>
      </c>
      <c r="HJ11" s="3">
        <v>294.01</v>
      </c>
      <c r="HK11" s="3">
        <v>117.29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8FE3-A124-4B45-95F9-E006A9C2C36C}">
  <sheetPr>
    <tabColor rgb="FF00B050"/>
  </sheetPr>
  <dimension ref="B2:G205"/>
  <sheetViews>
    <sheetView topLeftCell="A175" workbookViewId="0">
      <selection activeCell="C6" sqref="C6"/>
    </sheetView>
  </sheetViews>
  <sheetFormatPr baseColWidth="10" defaultRowHeight="14.4" x14ac:dyDescent="0.3"/>
  <cols>
    <col min="2" max="2" width="45.33203125" bestFit="1" customWidth="1"/>
    <col min="3" max="3" width="19.5546875" style="3" bestFit="1" customWidth="1"/>
    <col min="4" max="4" width="16.44140625" bestFit="1" customWidth="1"/>
    <col min="5" max="5" width="14" bestFit="1" customWidth="1"/>
    <col min="6" max="6" width="13.33203125" bestFit="1" customWidth="1"/>
    <col min="7" max="7" width="25.44140625" bestFit="1" customWidth="1"/>
  </cols>
  <sheetData>
    <row r="2" spans="2:7" x14ac:dyDescent="0.3">
      <c r="B2" s="15" t="s">
        <v>251</v>
      </c>
      <c r="C2" s="11"/>
    </row>
    <row r="3" spans="2:7" x14ac:dyDescent="0.3">
      <c r="B3" s="15" t="s">
        <v>250</v>
      </c>
      <c r="C3" s="11">
        <v>2025</v>
      </c>
    </row>
    <row r="4" spans="2:7" x14ac:dyDescent="0.3">
      <c r="B4" t="s">
        <v>253</v>
      </c>
      <c r="D4" t="s">
        <v>252</v>
      </c>
    </row>
    <row r="5" spans="2:7" x14ac:dyDescent="0.3">
      <c r="B5" s="13" t="s">
        <v>249</v>
      </c>
      <c r="C5" s="14" t="s">
        <v>14</v>
      </c>
      <c r="D5" s="13" t="e">
        <f>'RSM JULIO'!#REF!</f>
        <v>#REF!</v>
      </c>
      <c r="E5" s="13" t="e">
        <f>'RSM JULIO'!#REF!</f>
        <v>#REF!</v>
      </c>
      <c r="F5" s="13" t="e">
        <f>'RSM JULIO'!#REF!</f>
        <v>#REF!</v>
      </c>
    </row>
    <row r="6" spans="2:7" x14ac:dyDescent="0.3">
      <c r="B6" s="13" t="str">
        <f>'RSM JULIO'!A224</f>
        <v>TOTAL TIENDAS</v>
      </c>
      <c r="C6" s="14">
        <f>'RSM JULIO'!AR224*-1</f>
        <v>1983676.4940000004</v>
      </c>
      <c r="D6" t="s">
        <v>254</v>
      </c>
      <c r="E6" s="3" t="e">
        <f>SUM(E1:E5)</f>
        <v>#REF!</v>
      </c>
      <c r="F6" s="3" t="e">
        <f>SUM(F1:F5)</f>
        <v>#REF!</v>
      </c>
    </row>
    <row r="7" spans="2:7" x14ac:dyDescent="0.3">
      <c r="B7" t="str">
        <f>'RSM JULIO'!A116</f>
        <v>[ MKU ] - MACROCENTRO 1</v>
      </c>
      <c r="C7" s="3">
        <f>'RSM JULIO'!AR116*-1</f>
        <v>5741.5234427152536</v>
      </c>
      <c r="D7">
        <f>'RSM JULIO'!AT125</f>
        <v>0</v>
      </c>
      <c r="E7" s="3" t="e">
        <f>'RSM JULIO'!#REF!</f>
        <v>#REF!</v>
      </c>
      <c r="F7" s="3" t="e">
        <f>'RSM JULIO'!#REF!</f>
        <v>#REF!</v>
      </c>
      <c r="G7" t="s">
        <v>255</v>
      </c>
    </row>
    <row r="8" spans="2:7" x14ac:dyDescent="0.3">
      <c r="B8" t="str">
        <f>'RSM JULIO'!A162</f>
        <v>[ RCO ] - RIO CHICO</v>
      </c>
      <c r="C8" s="3">
        <f>'RSM JULIO'!AR162*-1</f>
        <v>18779.645636119782</v>
      </c>
      <c r="D8">
        <f>'RSM JULIO'!AT173</f>
        <v>0</v>
      </c>
      <c r="E8" s="3" t="e">
        <f>'RSM JULIO'!#REF!</f>
        <v>#REF!</v>
      </c>
      <c r="F8" s="3" t="e">
        <f>'RSM JULIO'!#REF!</f>
        <v>#REF!</v>
      </c>
      <c r="G8" t="s">
        <v>256</v>
      </c>
    </row>
    <row r="9" spans="2:7" x14ac:dyDescent="0.3">
      <c r="B9" s="16" t="str">
        <f>'RSM JULIO'!A59</f>
        <v>[ COE ] - SAN CARLOS</v>
      </c>
      <c r="C9" s="17">
        <f>'RSM JULIO'!AR59*-1</f>
        <v>19362.52150751149</v>
      </c>
      <c r="D9" s="16" t="e">
        <f>'RSM JULIO'!#REF!</f>
        <v>#REF!</v>
      </c>
      <c r="E9" s="17" t="e">
        <f>'RSM JULIO'!#REF!</f>
        <v>#REF!</v>
      </c>
      <c r="F9" s="17" t="e">
        <f>'RSM JULIO'!#REF!</f>
        <v>#REF!</v>
      </c>
      <c r="G9" s="16" t="s">
        <v>257</v>
      </c>
    </row>
    <row r="10" spans="2:7" x14ac:dyDescent="0.3">
      <c r="B10" t="str">
        <f>'RSM JULIO'!A52</f>
        <v>[ CLL ] - CALLAO</v>
      </c>
      <c r="C10" s="3">
        <f>'RSM JULIO'!AR52*-1</f>
        <v>853.05206104955323</v>
      </c>
      <c r="D10" t="e">
        <f>'RSM JULIO'!#REF!</f>
        <v>#REF!</v>
      </c>
      <c r="E10" s="3" t="e">
        <f>'RSM JULIO'!#REF!</f>
        <v>#REF!</v>
      </c>
      <c r="F10" s="3" t="e">
        <f>'RSM JULIO'!#REF!</f>
        <v>#REF!</v>
      </c>
      <c r="G10" t="s">
        <v>258</v>
      </c>
    </row>
    <row r="11" spans="2:7" x14ac:dyDescent="0.3">
      <c r="B11" t="str">
        <f>'RSM JULIO'!A14</f>
        <v>[ ATV ] - ALTA VISTA</v>
      </c>
      <c r="C11" s="3">
        <f>'RSM JULIO'!AR14*-1</f>
        <v>12133.977873601612</v>
      </c>
      <c r="D11">
        <f>'RSM JULIO'!BE18</f>
        <v>0</v>
      </c>
      <c r="E11" s="3" t="e">
        <f>'RSM JULIO'!#REF!</f>
        <v>#REF!</v>
      </c>
      <c r="F11" s="3" t="e">
        <f>'RSM JULIO'!#REF!</f>
        <v>#REF!</v>
      </c>
      <c r="G11" t="s">
        <v>261</v>
      </c>
    </row>
    <row r="12" spans="2:7" x14ac:dyDescent="0.3">
      <c r="B12" t="str">
        <f>'RSM JULIO'!A134</f>
        <v>[ OCT ] - OCUMARE DEL TUY</v>
      </c>
      <c r="C12" s="3">
        <f>'RSM JULIO'!AR134*-1</f>
        <v>18983.130394200562</v>
      </c>
      <c r="D12">
        <f>'RSM JULIO'!AT143</f>
        <v>0</v>
      </c>
      <c r="E12" s="3" t="e">
        <f>'RSM JULIO'!#REF!</f>
        <v>#REF!</v>
      </c>
      <c r="F12" s="3" t="e">
        <f>'RSM JULIO'!#REF!</f>
        <v>#REF!</v>
      </c>
      <c r="G12" t="s">
        <v>262</v>
      </c>
    </row>
    <row r="13" spans="2:7" x14ac:dyDescent="0.3">
      <c r="B13" s="16" t="str">
        <f>'RSM JULIO'!A18</f>
        <v>[ BCD ] - BARINAS CC DORADO</v>
      </c>
      <c r="C13" s="17">
        <f>'RSM JULIO'!AR18*-1</f>
        <v>4829.0604335570006</v>
      </c>
      <c r="D13" s="16" t="str">
        <f>'RSM JULIO'!AU4</f>
        <v>Ganancias Hasta $10,000</v>
      </c>
      <c r="E13" s="17" t="e">
        <f>'RSM JULIO'!#REF!</f>
        <v>#REF!</v>
      </c>
      <c r="F13" s="17" t="e">
        <f>'RSM JULIO'!#REF!</f>
        <v>#REF!</v>
      </c>
      <c r="G13" s="16" t="s">
        <v>261</v>
      </c>
    </row>
    <row r="14" spans="2:7" x14ac:dyDescent="0.3">
      <c r="B14" t="str">
        <f>'RSM JULIO'!A97</f>
        <v>[ GRA ] - GUARENAS</v>
      </c>
      <c r="C14" s="3">
        <f>'RSM JULIO'!AR97*-1</f>
        <v>10199.309786644553</v>
      </c>
      <c r="D14">
        <f>'RSM JULIO'!AT104</f>
        <v>0</v>
      </c>
      <c r="E14" s="3" t="e">
        <f>'RSM JULIO'!#REF!</f>
        <v>#REF!</v>
      </c>
      <c r="F14" s="3" t="e">
        <f>'RSM JULIO'!#REF!</f>
        <v>#REF!</v>
      </c>
      <c r="G14" t="s">
        <v>259</v>
      </c>
    </row>
    <row r="15" spans="2:7" x14ac:dyDescent="0.3">
      <c r="B15" t="str">
        <f>'RSM JULIO'!A81</f>
        <v>[ ELZ ] - ELORZA</v>
      </c>
      <c r="C15" s="3">
        <f>'RSM JULIO'!AR81*-1</f>
        <v>4241.9195517970693</v>
      </c>
      <c r="D15" t="e">
        <f>'RSM JULIO'!#REF!</f>
        <v>#REF!</v>
      </c>
      <c r="E15" s="3" t="e">
        <f>'RSM JULIO'!#REF!</f>
        <v>#REF!</v>
      </c>
      <c r="F15" s="3" t="e">
        <f>'RSM JULIO'!#REF!</f>
        <v>#REF!</v>
      </c>
      <c r="G15" t="s">
        <v>263</v>
      </c>
    </row>
    <row r="16" spans="2:7" x14ac:dyDescent="0.3">
      <c r="B16" s="16" t="str">
        <f>'RSM JULIO'!A5</f>
        <v>[ ACO ] - ANACO</v>
      </c>
      <c r="C16" s="17">
        <f>'RSM JULIO'!AR5*-1</f>
        <v>23041.890606742272</v>
      </c>
      <c r="D16" s="16" t="e">
        <f>'RSM JULIO'!#REF!</f>
        <v>#REF!</v>
      </c>
      <c r="E16" s="17" t="e">
        <f>'RSM JULIO'!#REF!</f>
        <v>#REF!</v>
      </c>
      <c r="F16" s="17" t="e">
        <f>'RSM JULIO'!#REF!</f>
        <v>#REF!</v>
      </c>
      <c r="G16" s="16" t="s">
        <v>262</v>
      </c>
    </row>
    <row r="17" spans="2:7" x14ac:dyDescent="0.3">
      <c r="B17" s="16" t="str">
        <f>'RSM JULIO'!A2</f>
        <v>[ ABM ] - AV BOLIVAR DE MATURIN</v>
      </c>
      <c r="C17" s="17">
        <f>'RSM JULIO'!AR2*-1</f>
        <v>-391.17899999999997</v>
      </c>
      <c r="D17" s="16" t="e">
        <f>'RSM JULIO'!#REF!</f>
        <v>#REF!</v>
      </c>
      <c r="E17" s="17" t="e">
        <f>'RSM JULIO'!#REF!</f>
        <v>#REF!</v>
      </c>
      <c r="F17" s="17" t="e">
        <f>'RSM JULIO'!#REF!</f>
        <v>#REF!</v>
      </c>
      <c r="G17" s="16" t="s">
        <v>264</v>
      </c>
    </row>
    <row r="18" spans="2:7" x14ac:dyDescent="0.3">
      <c r="B18" s="16" t="str">
        <f>'RSM JULIO'!A73</f>
        <v>[ CTT ] - CITY 3</v>
      </c>
      <c r="C18" s="17">
        <f>'RSM JULIO'!AR73*-1</f>
        <v>17695.027358113701</v>
      </c>
      <c r="D18" s="16" t="e">
        <f>'RSM JULIO'!#REF!</f>
        <v>#REF!</v>
      </c>
      <c r="E18" s="17" t="e">
        <f>'RSM JULIO'!#REF!</f>
        <v>#REF!</v>
      </c>
      <c r="F18" s="17" t="e">
        <f>'RSM JULIO'!#REF!</f>
        <v>#REF!</v>
      </c>
      <c r="G18" s="16" t="s">
        <v>260</v>
      </c>
    </row>
    <row r="19" spans="2:7" x14ac:dyDescent="0.3">
      <c r="B19" t="str">
        <f>'RSM JULIO'!A131</f>
        <v xml:space="preserve">[ MVT- LDC ] MOVISTAR LAS DELICIAS </v>
      </c>
      <c r="C19" s="3">
        <f>'RSM JULIO'!AR131*-1</f>
        <v>59.69912168501105</v>
      </c>
      <c r="D19">
        <f>'RSM JULIO'!AT140</f>
        <v>0</v>
      </c>
      <c r="E19" s="3" t="e">
        <f>'RSM JULIO'!#REF!</f>
        <v>#REF!</v>
      </c>
      <c r="F19" s="3" t="e">
        <f>'RSM JULIO'!#REF!</f>
        <v>#REF!</v>
      </c>
    </row>
    <row r="20" spans="2:7" x14ac:dyDescent="0.3">
      <c r="B20" t="str">
        <f>'RSM JULIO'!A156</f>
        <v>[ PTA ] - PUERTO AYACUCHO</v>
      </c>
      <c r="C20" s="3">
        <f>'RSM JULIO'!AR156*-1</f>
        <v>920.97575961471011</v>
      </c>
      <c r="D20">
        <f>'RSM JULIO'!AT166</f>
        <v>0</v>
      </c>
      <c r="E20" s="3" t="e">
        <f>'RSM JULIO'!#REF!</f>
        <v>#REF!</v>
      </c>
      <c r="F20" s="3" t="e">
        <f>'RSM JULIO'!#REF!</f>
        <v>#REF!</v>
      </c>
    </row>
    <row r="21" spans="2:7" x14ac:dyDescent="0.3">
      <c r="B21" t="str">
        <f>'RSM JULIO'!A153</f>
        <v>[ PRG ] - PARIAGUAN</v>
      </c>
      <c r="C21" s="3">
        <f>'RSM JULIO'!AR153*-1</f>
        <v>10143.685772650671</v>
      </c>
      <c r="D21">
        <f>'RSM JULIO'!AT162</f>
        <v>0</v>
      </c>
      <c r="E21" s="3" t="e">
        <f>'RSM JULIO'!#REF!</f>
        <v>#REF!</v>
      </c>
      <c r="F21" s="3" t="e">
        <f>'RSM JULIO'!#REF!</f>
        <v>#REF!</v>
      </c>
    </row>
    <row r="22" spans="2:7" x14ac:dyDescent="0.3">
      <c r="B22" t="str">
        <f>'RSM JULIO'!A143</f>
        <v>[ PDV - LGN ] - PDVSA LAGUNA</v>
      </c>
      <c r="C22" s="3">
        <f>'RSM JULIO'!AR143*-1</f>
        <v>14.718999999999999</v>
      </c>
      <c r="D22">
        <f>'RSM JULIO'!AT152</f>
        <v>0</v>
      </c>
      <c r="E22" s="3" t="e">
        <f>'RSM JULIO'!#REF!</f>
        <v>#REF!</v>
      </c>
      <c r="F22" s="3" t="e">
        <f>'RSM JULIO'!#REF!</f>
        <v>#REF!</v>
      </c>
    </row>
    <row r="23" spans="2:7" x14ac:dyDescent="0.3">
      <c r="B23" t="str">
        <f>'RSM JULIO'!A91</f>
        <v>[ GCA ] - GUACARA</v>
      </c>
      <c r="C23" s="3">
        <f>'RSM JULIO'!AR91*-1</f>
        <v>25443.393174035831</v>
      </c>
      <c r="D23">
        <f>'RSM JULIO'!AT98</f>
        <v>0</v>
      </c>
      <c r="E23" s="3" t="e">
        <f>'RSM JULIO'!#REF!</f>
        <v>#REF!</v>
      </c>
      <c r="F23" s="3" t="e">
        <f>'RSM JULIO'!#REF!</f>
        <v>#REF!</v>
      </c>
    </row>
    <row r="24" spans="2:7" x14ac:dyDescent="0.3">
      <c r="B24" t="str">
        <f>'RSM JULIO'!A8</f>
        <v>[ ADS - TCY ] - AEDOS TOCUYITO</v>
      </c>
      <c r="C24" s="3">
        <f>'RSM JULIO'!AR8*-1</f>
        <v>-18604.056926802125</v>
      </c>
      <c r="D24">
        <f>'RSM JULIO'!BE9</f>
        <v>0</v>
      </c>
      <c r="E24" s="3" t="e">
        <f>'RSM JULIO'!#REF!</f>
        <v>#REF!</v>
      </c>
      <c r="F24" s="3" t="e">
        <f>'RSM JULIO'!#REF!</f>
        <v>#REF!</v>
      </c>
    </row>
    <row r="25" spans="2:7" x14ac:dyDescent="0.3">
      <c r="B25" t="str">
        <f>'RSM JULIO'!A172</f>
        <v>[ SBO ] - EL SOMBRERO</v>
      </c>
      <c r="C25" s="3">
        <f>'RSM JULIO'!AR172*-1</f>
        <v>14541.418756766179</v>
      </c>
      <c r="D25">
        <f>'RSM JULIO'!AT183</f>
        <v>0</v>
      </c>
      <c r="E25" s="3" t="e">
        <f>'RSM JULIO'!#REF!</f>
        <v>#REF!</v>
      </c>
      <c r="F25" s="3" t="e">
        <f>'RSM JULIO'!#REF!</f>
        <v>#REF!</v>
      </c>
    </row>
    <row r="26" spans="2:7" x14ac:dyDescent="0.3">
      <c r="B26" t="str">
        <f>'RSM JULIO'!A88</f>
        <v>[ FOR - PRS ] - FORUM PARAISO</v>
      </c>
      <c r="C26" s="3">
        <f>'RSM JULIO'!AR88*-1</f>
        <v>3525.9529168811932</v>
      </c>
      <c r="D26" t="e">
        <f>'RSM JULIO'!#REF!</f>
        <v>#REF!</v>
      </c>
      <c r="E26" s="3" t="e">
        <f>'RSM JULIO'!#REF!</f>
        <v>#REF!</v>
      </c>
      <c r="F26" s="3" t="e">
        <f>'RSM JULIO'!#REF!</f>
        <v>#REF!</v>
      </c>
    </row>
    <row r="27" spans="2:7" x14ac:dyDescent="0.3">
      <c r="B27" t="str">
        <f>'RSM JULIO'!A193</f>
        <v>[ TCY ] - TOCUYITO</v>
      </c>
      <c r="C27" s="3">
        <f>'RSM JULIO'!AR193*-1</f>
        <v>-329.99795382823868</v>
      </c>
      <c r="D27">
        <f>'RSM JULIO'!AT221</f>
        <v>0</v>
      </c>
      <c r="E27" s="3" t="e">
        <f>'RSM JULIO'!#REF!</f>
        <v>#REF!</v>
      </c>
      <c r="F27" s="3" t="e">
        <f>'RSM JULIO'!#REF!</f>
        <v>#REF!</v>
      </c>
    </row>
    <row r="28" spans="2:7" x14ac:dyDescent="0.3">
      <c r="B28" t="str">
        <f>'RSM JULIO'!A24</f>
        <v>[ BRC ] - BARRANCAS</v>
      </c>
      <c r="C28" s="3">
        <f>'RSM JULIO'!AR24*-1</f>
        <v>4905.7202491036569</v>
      </c>
      <c r="D28" t="str">
        <f>'RSM JULIO'!AU29</f>
        <v>[ ARY ] - AROA YARACUY</v>
      </c>
      <c r="E28" s="3" t="e">
        <f>'RSM JULIO'!#REF!</f>
        <v>#REF!</v>
      </c>
      <c r="F28" s="3" t="e">
        <f>'RSM JULIO'!#REF!</f>
        <v>#REF!</v>
      </c>
    </row>
    <row r="29" spans="2:7" x14ac:dyDescent="0.3">
      <c r="B29" t="str">
        <f>'RSM JULIO'!A148</f>
        <v>[ PFO ] - PUNTO FIJO</v>
      </c>
      <c r="C29" s="3">
        <f>'RSM JULIO'!AR148*-1</f>
        <v>9235.372878911654</v>
      </c>
      <c r="D29">
        <f>'RSM JULIO'!AT157</f>
        <v>0</v>
      </c>
      <c r="E29" s="3" t="e">
        <f>'RSM JULIO'!#REF!</f>
        <v>#REF!</v>
      </c>
      <c r="F29" s="3" t="e">
        <f>'RSM JULIO'!#REF!</f>
        <v>#REF!</v>
      </c>
    </row>
    <row r="30" spans="2:7" x14ac:dyDescent="0.3">
      <c r="B30" t="str">
        <f>'RSM JULIO'!A101</f>
        <v>[ IGD ] - CALLE IGUALDAD</v>
      </c>
      <c r="C30" s="3">
        <f>'RSM JULIO'!AR101*-1</f>
        <v>4173.0171063486523</v>
      </c>
      <c r="D30">
        <f>'RSM JULIO'!AT108</f>
        <v>0</v>
      </c>
      <c r="E30" s="3" t="e">
        <f>'RSM JULIO'!#REF!</f>
        <v>#REF!</v>
      </c>
      <c r="F30" s="3" t="e">
        <f>'RSM JULIO'!#REF!</f>
        <v>#REF!</v>
      </c>
    </row>
    <row r="31" spans="2:7" x14ac:dyDescent="0.3">
      <c r="B31" t="str">
        <f>'RSM JULIO'!A82</f>
        <v>[ EMT ] - EL MANTECO</v>
      </c>
      <c r="C31" s="3">
        <f>'RSM JULIO'!AR82*-1</f>
        <v>-1283.958006646244</v>
      </c>
      <c r="D31" t="e">
        <f>'RSM JULIO'!#REF!</f>
        <v>#REF!</v>
      </c>
      <c r="E31" s="3" t="e">
        <f>'RSM JULIO'!#REF!</f>
        <v>#REF!</v>
      </c>
      <c r="F31" s="3" t="e">
        <f>'RSM JULIO'!#REF!</f>
        <v>#REF!</v>
      </c>
    </row>
    <row r="32" spans="2:7" x14ac:dyDescent="0.3">
      <c r="B32" t="str">
        <f>'RSM JULIO'!A138</f>
        <v>[ PDB ] - PEDRAZA</v>
      </c>
      <c r="C32" s="3">
        <f>'RSM JULIO'!AR138*-1</f>
        <v>1907.910672880178</v>
      </c>
      <c r="D32">
        <f>'RSM JULIO'!AT147</f>
        <v>0</v>
      </c>
      <c r="E32" s="3" t="e">
        <f>'RSM JULIO'!#REF!</f>
        <v>#REF!</v>
      </c>
      <c r="F32" s="3" t="e">
        <f>'RSM JULIO'!#REF!</f>
        <v>#REF!</v>
      </c>
    </row>
    <row r="33" spans="2:6" x14ac:dyDescent="0.3">
      <c r="B33" t="str">
        <f>'RSM JULIO'!A89</f>
        <v>[ FOR - PZV ] - FORUM PLAZA VENEZUELA</v>
      </c>
      <c r="C33" s="3">
        <f>'RSM JULIO'!AR89*-1</f>
        <v>564.30856220736041</v>
      </c>
      <c r="D33" t="e">
        <f>'RSM JULIO'!#REF!</f>
        <v>#REF!</v>
      </c>
      <c r="E33" s="3" t="e">
        <f>'RSM JULIO'!#REF!</f>
        <v>#REF!</v>
      </c>
      <c r="F33" s="3" t="e">
        <f>'RSM JULIO'!#REF!</f>
        <v>#REF!</v>
      </c>
    </row>
    <row r="34" spans="2:6" x14ac:dyDescent="0.3">
      <c r="B34" t="str">
        <f>'RSM JULIO'!A72</f>
        <v>[ CTS ] - CIUDAD TAMANACO SEGUNDO</v>
      </c>
      <c r="C34" s="3">
        <f>'RSM JULIO'!AR72*-1</f>
        <v>7269.9049762345821</v>
      </c>
      <c r="D34" t="e">
        <f>'RSM JULIO'!#REF!</f>
        <v>#REF!</v>
      </c>
      <c r="E34" s="3" t="e">
        <f>'RSM JULIO'!#REF!</f>
        <v>#REF!</v>
      </c>
      <c r="F34" s="3" t="e">
        <f>'RSM JULIO'!#REF!</f>
        <v>#REF!</v>
      </c>
    </row>
    <row r="35" spans="2:6" x14ac:dyDescent="0.3">
      <c r="B35" t="str">
        <f>'RSM JULIO'!A41</f>
        <v>[ CCT ] - CC CIUDAD TAMANACO</v>
      </c>
      <c r="C35" s="3">
        <f>'RSM JULIO'!AR41*-1</f>
        <v>3313.8256404344393</v>
      </c>
      <c r="D35">
        <f>'RSM JULIO'!AT47</f>
        <v>0</v>
      </c>
      <c r="E35" s="3" t="e">
        <f>'RSM JULIO'!#REF!</f>
        <v>#REF!</v>
      </c>
      <c r="F35" s="3" t="e">
        <f>'RSM JULIO'!#REF!</f>
        <v>#REF!</v>
      </c>
    </row>
    <row r="36" spans="2:6" x14ac:dyDescent="0.3">
      <c r="B36" t="str">
        <f>'RSM JULIO'!A191</f>
        <v>[ TCO ] - TOCUYO</v>
      </c>
      <c r="C36" s="3">
        <f>'RSM JULIO'!AR191*-1</f>
        <v>10815.242108698199</v>
      </c>
      <c r="D36">
        <f>'RSM JULIO'!AT219</f>
        <v>0</v>
      </c>
      <c r="E36" s="3" t="e">
        <f>'RSM JULIO'!#REF!</f>
        <v>#REF!</v>
      </c>
      <c r="F36" s="3" t="e">
        <f>'RSM JULIO'!#REF!</f>
        <v>#REF!</v>
      </c>
    </row>
    <row r="37" spans="2:6" x14ac:dyDescent="0.3">
      <c r="B37" t="str">
        <f>'RSM JULIO'!A62</f>
        <v>[ CRN ] - CLARINES</v>
      </c>
      <c r="C37" s="3">
        <f>'RSM JULIO'!AR62*-1</f>
        <v>4382.2646518049205</v>
      </c>
      <c r="D37" t="e">
        <f>'RSM JULIO'!#REF!</f>
        <v>#REF!</v>
      </c>
      <c r="E37" s="3" t="e">
        <f>'RSM JULIO'!#REF!</f>
        <v>#REF!</v>
      </c>
      <c r="F37" s="3" t="e">
        <f>'RSM JULIO'!#REF!</f>
        <v>#REF!</v>
      </c>
    </row>
    <row r="38" spans="2:6" x14ac:dyDescent="0.3">
      <c r="B38" t="str">
        <f>'RSM JULIO'!A183</f>
        <v>[ SNT ] - SABANETA</v>
      </c>
      <c r="C38" s="3">
        <f>'RSM JULIO'!AR183*-1</f>
        <v>-3729.8155927025291</v>
      </c>
      <c r="D38">
        <f>'RSM JULIO'!AT194</f>
        <v>0</v>
      </c>
      <c r="E38" s="3" t="e">
        <f>'RSM JULIO'!#REF!</f>
        <v>#REF!</v>
      </c>
      <c r="F38" s="3" t="e">
        <f>'RSM JULIO'!#REF!</f>
        <v>#REF!</v>
      </c>
    </row>
    <row r="39" spans="2:6" x14ac:dyDescent="0.3">
      <c r="B39" t="str">
        <f>'RSM JULIO'!A147</f>
        <v>[ PDV - STM ] - PDVSA SANTOME</v>
      </c>
      <c r="C39" s="3">
        <f>'RSM JULIO'!AR147*-1</f>
        <v>-51.658000000000001</v>
      </c>
      <c r="D39">
        <f>'RSM JULIO'!AT156</f>
        <v>0</v>
      </c>
      <c r="E39" s="3" t="e">
        <f>'RSM JULIO'!#REF!</f>
        <v>#REF!</v>
      </c>
      <c r="F39" s="3" t="e">
        <f>'RSM JULIO'!#REF!</f>
        <v>#REF!</v>
      </c>
    </row>
    <row r="40" spans="2:6" x14ac:dyDescent="0.3">
      <c r="B40" t="str">
        <f>'RSM JULIO'!A32</f>
        <v>[ CAT ] - CATIA</v>
      </c>
      <c r="C40" s="3">
        <f>'RSM JULIO'!AR32*-1</f>
        <v>27104.790953948454</v>
      </c>
      <c r="D40">
        <f>'RSM JULIO'!AT38</f>
        <v>0</v>
      </c>
      <c r="E40" s="3" t="e">
        <f>'RSM JULIO'!#REF!</f>
        <v>#REF!</v>
      </c>
      <c r="F40" s="3" t="e">
        <f>'RSM JULIO'!#REF!</f>
        <v>#REF!</v>
      </c>
    </row>
    <row r="41" spans="2:6" x14ac:dyDescent="0.3">
      <c r="B41" t="str">
        <f>'RSM JULIO'!A119</f>
        <v>[ MPC ] - MARKET PLACE CANGURO</v>
      </c>
      <c r="C41" s="3">
        <f>'RSM JULIO'!AR119*-1</f>
        <v>-395.46503062824195</v>
      </c>
      <c r="D41" t="e">
        <f>'RSM JULIO'!#REF!</f>
        <v>#REF!</v>
      </c>
      <c r="E41" s="3" t="e">
        <f>'RSM JULIO'!#REF!</f>
        <v>#REF!</v>
      </c>
      <c r="F41" s="3" t="e">
        <f>'RSM JULIO'!#REF!</f>
        <v>#REF!</v>
      </c>
    </row>
    <row r="42" spans="2:6" x14ac:dyDescent="0.3">
      <c r="B42" t="str">
        <f>'RSM JULIO'!A160</f>
        <v>[ QBR ] - QUIBOR</v>
      </c>
      <c r="C42" s="3">
        <f>'RSM JULIO'!AR160*-1</f>
        <v>-20407.364720203477</v>
      </c>
      <c r="D42">
        <f>'RSM JULIO'!AT170</f>
        <v>0</v>
      </c>
      <c r="E42" s="3" t="e">
        <f>'RSM JULIO'!#REF!</f>
        <v>#REF!</v>
      </c>
      <c r="F42" s="3" t="e">
        <f>'RSM JULIO'!#REF!</f>
        <v>#REF!</v>
      </c>
    </row>
    <row r="43" spans="2:6" x14ac:dyDescent="0.3">
      <c r="B43" t="str">
        <f>'RSM JULIO'!A7</f>
        <v>[ ADS - BQT ] - AEDOS BARQUISIMETO</v>
      </c>
      <c r="C43" s="3">
        <f>'RSM JULIO'!AR7*-1</f>
        <v>11.032999999999999</v>
      </c>
      <c r="D43" t="str">
        <f>'RSM JULIO'!BE8</f>
        <v>4- Factor de Ingresos en bs: El impacto que tiene cada tienda sobre el total del ingreso en bolivares del Período</v>
      </c>
      <c r="E43" s="3" t="e">
        <f>'RSM JULIO'!#REF!</f>
        <v>#REF!</v>
      </c>
      <c r="F43" s="3" t="e">
        <f>'RSM JULIO'!#REF!</f>
        <v>#REF!</v>
      </c>
    </row>
    <row r="44" spans="2:6" x14ac:dyDescent="0.3">
      <c r="B44" t="str">
        <f>'RSM JULIO'!A85</f>
        <v>[ FOR - CHV ] - FORUM CHARALLAVE</v>
      </c>
      <c r="C44" s="3">
        <f>'RSM JULIO'!AR85*-1</f>
        <v>5349.5635077631359</v>
      </c>
      <c r="D44" t="e">
        <f>'RSM JULIO'!#REF!</f>
        <v>#REF!</v>
      </c>
      <c r="E44" s="3" t="e">
        <f>'RSM JULIO'!#REF!</f>
        <v>#REF!</v>
      </c>
      <c r="F44" s="3" t="e">
        <f>'RSM JULIO'!#REF!</f>
        <v>#REF!</v>
      </c>
    </row>
    <row r="45" spans="2:6" x14ac:dyDescent="0.3">
      <c r="B45" t="str">
        <f>'RSM JULIO'!A76</f>
        <v>[ CUG ] - CAUCAGUA</v>
      </c>
      <c r="C45" s="3">
        <f>'RSM JULIO'!AR76*-1</f>
        <v>-2919.3887977128925</v>
      </c>
      <c r="D45" t="e">
        <f>'RSM JULIO'!#REF!</f>
        <v>#REF!</v>
      </c>
      <c r="E45" s="3" t="e">
        <f>'RSM JULIO'!#REF!</f>
        <v>#REF!</v>
      </c>
      <c r="F45" s="3" t="e">
        <f>'RSM JULIO'!#REF!</f>
        <v>#REF!</v>
      </c>
    </row>
    <row r="46" spans="2:6" x14ac:dyDescent="0.3">
      <c r="B46" t="str">
        <f>'RSM JULIO'!A15</f>
        <v>[ AVM ] - AVENIDA MARIÑO</v>
      </c>
      <c r="C46" s="3">
        <f>'RSM JULIO'!AR15*-1</f>
        <v>5178.201222422631</v>
      </c>
      <c r="D46">
        <f>'RSM JULIO'!BE19</f>
        <v>0</v>
      </c>
      <c r="E46" s="3" t="e">
        <f>'RSM JULIO'!#REF!</f>
        <v>#REF!</v>
      </c>
      <c r="F46" s="3" t="e">
        <f>'RSM JULIO'!#REF!</f>
        <v>#REF!</v>
      </c>
    </row>
    <row r="47" spans="2:6" x14ac:dyDescent="0.3">
      <c r="B47" t="str">
        <f>'RSM JULIO'!A189</f>
        <v>[ TCC ] - TUCACAS</v>
      </c>
      <c r="C47" s="3">
        <f>'RSM JULIO'!AR189*-1</f>
        <v>4508.9527743261297</v>
      </c>
      <c r="D47">
        <f>'RSM JULIO'!AT217</f>
        <v>0</v>
      </c>
      <c r="E47" s="3" t="e">
        <f>'RSM JULIO'!#REF!</f>
        <v>#REF!</v>
      </c>
      <c r="F47" s="3" t="e">
        <f>'RSM JULIO'!#REF!</f>
        <v>#REF!</v>
      </c>
    </row>
    <row r="48" spans="2:6" x14ac:dyDescent="0.3">
      <c r="B48" t="str">
        <f>'RSM JULIO'!A188</f>
        <v>[ TBD ] - TEMBLADOR</v>
      </c>
      <c r="C48" s="3">
        <f>'RSM JULIO'!AR188*-1</f>
        <v>13613.136258012553</v>
      </c>
      <c r="D48">
        <f>'RSM JULIO'!AT216</f>
        <v>0</v>
      </c>
      <c r="E48" s="3" t="e">
        <f>'RSM JULIO'!#REF!</f>
        <v>#REF!</v>
      </c>
      <c r="F48" s="3" t="e">
        <f>'RSM JULIO'!#REF!</f>
        <v>#REF!</v>
      </c>
    </row>
    <row r="49" spans="2:6" x14ac:dyDescent="0.3">
      <c r="B49" t="str">
        <f>'RSM JULIO'!A92</f>
        <v>[ GIA ] - GUIRIA</v>
      </c>
      <c r="C49" s="3">
        <f>'RSM JULIO'!AR92*-1</f>
        <v>6735.202527909707</v>
      </c>
      <c r="D49">
        <f>'RSM JULIO'!AT99</f>
        <v>0</v>
      </c>
      <c r="E49" s="3" t="e">
        <f>'RSM JULIO'!#REF!</f>
        <v>#REF!</v>
      </c>
      <c r="F49" s="3" t="e">
        <f>'RSM JULIO'!#REF!</f>
        <v>#REF!</v>
      </c>
    </row>
    <row r="50" spans="2:6" x14ac:dyDescent="0.3">
      <c r="B50" t="str">
        <f>'RSM JULIO'!A84</f>
        <v>[ FMD ] - FREEMARKET 2</v>
      </c>
      <c r="C50" s="3">
        <f>'RSM JULIO'!AR84*-1</f>
        <v>6265.790607109544</v>
      </c>
      <c r="D50" t="e">
        <f>'RSM JULIO'!#REF!</f>
        <v>#REF!</v>
      </c>
      <c r="E50" s="3" t="e">
        <f>'RSM JULIO'!#REF!</f>
        <v>#REF!</v>
      </c>
      <c r="F50" s="3" t="e">
        <f>'RSM JULIO'!#REF!</f>
        <v>#REF!</v>
      </c>
    </row>
    <row r="51" spans="2:6" x14ac:dyDescent="0.3">
      <c r="B51" t="str">
        <f>'RSM JULIO'!A192</f>
        <v>[ TCP ] - TUCUPITA</v>
      </c>
      <c r="C51" s="3">
        <f>'RSM JULIO'!AR192*-1</f>
        <v>22798.75187806756</v>
      </c>
      <c r="D51">
        <f>'RSM JULIO'!AT220</f>
        <v>0</v>
      </c>
      <c r="E51" s="3" t="e">
        <f>'RSM JULIO'!#REF!</f>
        <v>#REF!</v>
      </c>
      <c r="F51" s="3" t="e">
        <f>'RSM JULIO'!#REF!</f>
        <v>#REF!</v>
      </c>
    </row>
    <row r="52" spans="2:6" x14ac:dyDescent="0.3">
      <c r="B52" t="str">
        <f>'RSM JULIO'!A159</f>
        <v>[ PTU ] - PETARE 1</v>
      </c>
      <c r="C52" s="3">
        <f>'RSM JULIO'!AR159*-1</f>
        <v>21945.638985414422</v>
      </c>
      <c r="D52">
        <f>'RSM JULIO'!AT169</f>
        <v>0</v>
      </c>
      <c r="E52" s="3" t="e">
        <f>'RSM JULIO'!#REF!</f>
        <v>#REF!</v>
      </c>
      <c r="F52" s="3" t="e">
        <f>'RSM JULIO'!#REF!</f>
        <v>#REF!</v>
      </c>
    </row>
    <row r="53" spans="2:6" x14ac:dyDescent="0.3">
      <c r="B53" t="str">
        <f>'RSM JULIO'!A66</f>
        <v>[ CSZ ] - CAJA SECA ZULIA</v>
      </c>
      <c r="C53" s="3">
        <f>'RSM JULIO'!AR66*-1</f>
        <v>3438.5382614881746</v>
      </c>
      <c r="D53" t="e">
        <f>'RSM JULIO'!#REF!</f>
        <v>#REF!</v>
      </c>
      <c r="E53" s="3" t="e">
        <f>'RSM JULIO'!#REF!</f>
        <v>#REF!</v>
      </c>
      <c r="F53" s="3" t="e">
        <f>'RSM JULIO'!#REF!</f>
        <v>#REF!</v>
      </c>
    </row>
    <row r="54" spans="2:6" x14ac:dyDescent="0.3">
      <c r="B54" t="str">
        <f>'RSM JULIO'!A176</f>
        <v>[ SEU ] - SANTA ELENA DE UAIREN</v>
      </c>
      <c r="C54" s="3">
        <f>'RSM JULIO'!AR176*-1</f>
        <v>15338.819289872707</v>
      </c>
      <c r="D54">
        <f>'RSM JULIO'!AT187</f>
        <v>0</v>
      </c>
      <c r="E54" s="3" t="e">
        <f>'RSM JULIO'!#REF!</f>
        <v>#REF!</v>
      </c>
      <c r="F54" s="3" t="e">
        <f>'RSM JULIO'!#REF!</f>
        <v>#REF!</v>
      </c>
    </row>
    <row r="55" spans="2:6" x14ac:dyDescent="0.3">
      <c r="B55" t="str">
        <f>'RSM JULIO'!A186</f>
        <v>[ STR ] - SANTA RITA ARAGUA</v>
      </c>
      <c r="C55" s="3">
        <f>'RSM JULIO'!AR186*-1</f>
        <v>16820.518115212417</v>
      </c>
      <c r="D55">
        <f>'RSM JULIO'!AT197</f>
        <v>0</v>
      </c>
      <c r="E55" s="3" t="e">
        <f>'RSM JULIO'!#REF!</f>
        <v>#REF!</v>
      </c>
      <c r="F55" s="3" t="e">
        <f>'RSM JULIO'!#REF!</f>
        <v>#REF!</v>
      </c>
    </row>
    <row r="56" spans="2:6" x14ac:dyDescent="0.3">
      <c r="B56" t="str">
        <f>'RSM JULIO'!A40</f>
        <v>[ CCO ] - CAICARA DEL ORINOCO</v>
      </c>
      <c r="C56" s="3">
        <f>'RSM JULIO'!AR40*-1</f>
        <v>6623.4771645586225</v>
      </c>
      <c r="D56">
        <f>'RSM JULIO'!AT46</f>
        <v>0</v>
      </c>
      <c r="E56" s="3" t="e">
        <f>'RSM JULIO'!#REF!</f>
        <v>#REF!</v>
      </c>
      <c r="F56" s="3" t="e">
        <f>'RSM JULIO'!#REF!</f>
        <v>#REF!</v>
      </c>
    </row>
    <row r="57" spans="2:6" x14ac:dyDescent="0.3">
      <c r="B57" t="str">
        <f>'RSM JULIO'!A95</f>
        <v>[ GNT ] - GUANTA</v>
      </c>
      <c r="C57" s="3">
        <f>'RSM JULIO'!AR95*-1</f>
        <v>6393.7455890631481</v>
      </c>
      <c r="D57">
        <f>'RSM JULIO'!AT102</f>
        <v>0</v>
      </c>
      <c r="E57" s="3" t="e">
        <f>'RSM JULIO'!#REF!</f>
        <v>#REF!</v>
      </c>
      <c r="F57" s="3" t="e">
        <f>'RSM JULIO'!#REF!</f>
        <v>#REF!</v>
      </c>
    </row>
    <row r="58" spans="2:6" x14ac:dyDescent="0.3">
      <c r="B58" t="str">
        <f>'RSM JULIO'!A60</f>
        <v>[ COR ] - CORO</v>
      </c>
      <c r="C58" s="3">
        <f>'RSM JULIO'!AR60*-1</f>
        <v>17913.283164418775</v>
      </c>
      <c r="D58" t="e">
        <f>'RSM JULIO'!#REF!</f>
        <v>#REF!</v>
      </c>
      <c r="E58" s="3" t="e">
        <f>'RSM JULIO'!#REF!</f>
        <v>#REF!</v>
      </c>
      <c r="F58" s="3" t="e">
        <f>'RSM JULIO'!#REF!</f>
        <v>#REF!</v>
      </c>
    </row>
    <row r="59" spans="2:6" x14ac:dyDescent="0.3">
      <c r="B59" t="str">
        <f>'RSM JULIO'!A98</f>
        <v>[ GTE ] - GUATIRE</v>
      </c>
      <c r="C59" s="3">
        <f>'RSM JULIO'!AR98*-1</f>
        <v>20482.526590702568</v>
      </c>
      <c r="D59">
        <f>'RSM JULIO'!AT105</f>
        <v>0</v>
      </c>
      <c r="E59" s="3" t="e">
        <f>'RSM JULIO'!#REF!</f>
        <v>#REF!</v>
      </c>
      <c r="F59" s="3" t="e">
        <f>'RSM JULIO'!#REF!</f>
        <v>#REF!</v>
      </c>
    </row>
    <row r="60" spans="2:6" x14ac:dyDescent="0.3">
      <c r="B60" t="str">
        <f>'RSM JULIO'!A139</f>
        <v>[ PDM ] - PUNTA DE MATA</v>
      </c>
      <c r="C60" s="3">
        <f>'RSM JULIO'!AR139*-1</f>
        <v>24933.152655943311</v>
      </c>
      <c r="D60">
        <f>'RSM JULIO'!AT148</f>
        <v>0</v>
      </c>
      <c r="E60" s="3" t="e">
        <f>'RSM JULIO'!#REF!</f>
        <v>#REF!</v>
      </c>
      <c r="F60" s="3" t="e">
        <f>'RSM JULIO'!#REF!</f>
        <v>#REF!</v>
      </c>
    </row>
    <row r="61" spans="2:6" x14ac:dyDescent="0.3">
      <c r="B61" t="str">
        <f>'RSM JULIO'!A4</f>
        <v>[ ACG ] - ACHAGUAS</v>
      </c>
      <c r="C61" s="3">
        <f>'RSM JULIO'!AR4*-1</f>
        <v>9032.6385404061166</v>
      </c>
      <c r="D61">
        <f>'RSM JULIO'!BE5</f>
        <v>0</v>
      </c>
      <c r="E61" s="3" t="e">
        <f>'RSM JULIO'!#REF!</f>
        <v>#REF!</v>
      </c>
      <c r="F61" s="3" t="e">
        <f>'RSM JULIO'!#REF!</f>
        <v>#REF!</v>
      </c>
    </row>
    <row r="62" spans="2:6" x14ac:dyDescent="0.3">
      <c r="B62" t="str">
        <f>'RSM JULIO'!A34</f>
        <v>[ CBQ ] - CHABASQUEN</v>
      </c>
      <c r="C62" s="3">
        <f>'RSM JULIO'!AR34*-1</f>
        <v>1877.9926930815891</v>
      </c>
      <c r="D62">
        <f>'RSM JULIO'!AT40</f>
        <v>0</v>
      </c>
      <c r="E62" s="3" t="e">
        <f>'RSM JULIO'!#REF!</f>
        <v>#REF!</v>
      </c>
      <c r="F62" s="3" t="e">
        <f>'RSM JULIO'!#REF!</f>
        <v>#REF!</v>
      </c>
    </row>
    <row r="63" spans="2:6" x14ac:dyDescent="0.3">
      <c r="B63" t="str">
        <f>'RSM JULIO'!A71</f>
        <v>[ CTO ] - CEMENTERIO</v>
      </c>
      <c r="C63" s="3">
        <f>'RSM JULIO'!AR71*-1</f>
        <v>7615.5090281159792</v>
      </c>
      <c r="D63" t="e">
        <f>'RSM JULIO'!#REF!</f>
        <v>#REF!</v>
      </c>
      <c r="E63" s="3" t="e">
        <f>'RSM JULIO'!#REF!</f>
        <v>#REF!</v>
      </c>
      <c r="F63" s="3" t="e">
        <f>'RSM JULIO'!#REF!</f>
        <v>#REF!</v>
      </c>
    </row>
    <row r="64" spans="2:6" x14ac:dyDescent="0.3">
      <c r="B64" t="str">
        <f>'RSM JULIO'!A90</f>
        <v>[ FRM ] - FREEMARKET</v>
      </c>
      <c r="C64" s="3">
        <f>'RSM JULIO'!AR90*-1</f>
        <v>15643.634006712389</v>
      </c>
      <c r="D64" t="e">
        <f>'RSM JULIO'!#REF!</f>
        <v>#REF!</v>
      </c>
      <c r="E64" s="3" t="e">
        <f>'RSM JULIO'!#REF!</f>
        <v>#REF!</v>
      </c>
      <c r="F64" s="3" t="e">
        <f>'RSM JULIO'!#REF!</f>
        <v>#REF!</v>
      </c>
    </row>
    <row r="65" spans="2:6" x14ac:dyDescent="0.3">
      <c r="B65" t="str">
        <f>'RSM JULIO'!A158</f>
        <v>[ PTT ] - PETARE 3</v>
      </c>
      <c r="C65" s="3">
        <f>'RSM JULIO'!AR158*-1</f>
        <v>19875.404047798969</v>
      </c>
      <c r="D65">
        <f>'RSM JULIO'!AT168</f>
        <v>0</v>
      </c>
      <c r="E65" s="3" t="e">
        <f>'RSM JULIO'!#REF!</f>
        <v>#REF!</v>
      </c>
      <c r="F65" s="3" t="e">
        <f>'RSM JULIO'!#REF!</f>
        <v>#REF!</v>
      </c>
    </row>
    <row r="66" spans="2:6" x14ac:dyDescent="0.3">
      <c r="B66" t="str">
        <f>'RSM JULIO'!A128</f>
        <v>[ MVT - LVÑ ] MOVISTAR LA VIÑA</v>
      </c>
      <c r="C66" s="3">
        <f>'RSM JULIO'!AR128*-1</f>
        <v>-368.14476281112047</v>
      </c>
      <c r="D66">
        <f>'RSM JULIO'!AT137</f>
        <v>0</v>
      </c>
      <c r="E66" s="3" t="e">
        <f>'RSM JULIO'!#REF!</f>
        <v>#REF!</v>
      </c>
      <c r="F66" s="3" t="e">
        <f>'RSM JULIO'!#REF!</f>
        <v>#REF!</v>
      </c>
    </row>
    <row r="67" spans="2:6" x14ac:dyDescent="0.3">
      <c r="B67" t="str">
        <f>'RSM JULIO'!A166</f>
        <v>[ SAM - MGT ] - SAMBIL MARGARITA</v>
      </c>
      <c r="C67" s="3">
        <f>'RSM JULIO'!AR166*-1</f>
        <v>7687.8789455588685</v>
      </c>
      <c r="D67">
        <f>'RSM JULIO'!AT177</f>
        <v>0</v>
      </c>
      <c r="E67" s="3" t="e">
        <f>'RSM JULIO'!#REF!</f>
        <v>#REF!</v>
      </c>
      <c r="F67" s="3" t="e">
        <f>'RSM JULIO'!#REF!</f>
        <v>#REF!</v>
      </c>
    </row>
    <row r="68" spans="2:6" x14ac:dyDescent="0.3">
      <c r="B68" t="str">
        <f>'RSM JULIO'!A6</f>
        <v>[ ADO ] - ALTAGRACIA DEL ORITUCO</v>
      </c>
      <c r="C68" s="3">
        <f>'RSM JULIO'!AR6*-1</f>
        <v>16947.04285769719</v>
      </c>
      <c r="D68" t="e">
        <f>'RSM JULIO'!#REF!</f>
        <v>#REF!</v>
      </c>
      <c r="E68" s="3" t="e">
        <f>'RSM JULIO'!#REF!</f>
        <v>#REF!</v>
      </c>
      <c r="F68" s="3" t="e">
        <f>'RSM JULIO'!#REF!</f>
        <v>#REF!</v>
      </c>
    </row>
    <row r="69" spans="2:6" x14ac:dyDescent="0.3">
      <c r="B69" t="str">
        <f>'RSM JULIO'!A10</f>
        <v>[ APU ] - APURE</v>
      </c>
      <c r="C69" s="3">
        <f>'RSM JULIO'!AR10*-1</f>
        <v>14146.321008924577</v>
      </c>
      <c r="D69">
        <f>'RSM JULIO'!BE15</f>
        <v>0</v>
      </c>
      <c r="E69" s="3" t="e">
        <f>'RSM JULIO'!#REF!</f>
        <v>#REF!</v>
      </c>
      <c r="F69" s="3" t="e">
        <f>'RSM JULIO'!#REF!</f>
        <v>#REF!</v>
      </c>
    </row>
    <row r="70" spans="2:6" x14ac:dyDescent="0.3">
      <c r="B70" t="str">
        <f>'RSM JULIO'!A167</f>
        <v>[ SAM - PFO ] - SAMBIL PUNTO FIJO</v>
      </c>
      <c r="C70" s="3">
        <f>'RSM JULIO'!AR167*-1</f>
        <v>8233.0923207126543</v>
      </c>
      <c r="D70">
        <f>'RSM JULIO'!AT178</f>
        <v>0</v>
      </c>
      <c r="E70" s="3" t="e">
        <f>'RSM JULIO'!#REF!</f>
        <v>#REF!</v>
      </c>
      <c r="F70" s="3" t="e">
        <f>'RSM JULIO'!#REF!</f>
        <v>#REF!</v>
      </c>
    </row>
    <row r="71" spans="2:6" x14ac:dyDescent="0.3">
      <c r="B71" t="str">
        <f>'RSM JULIO'!A11</f>
        <v>[ ARO - INT ] - AEROPUERTO INTERNACIONAL</v>
      </c>
      <c r="C71" s="3">
        <f>'RSM JULIO'!AR11*-1</f>
        <v>-1625.87</v>
      </c>
      <c r="D71" t="str">
        <f>'RSM JULIO'!AU16</f>
        <v>Gastos entre $3001 hasta $6000</v>
      </c>
      <c r="E71" s="3" t="e">
        <f>'RSM JULIO'!#REF!</f>
        <v>#REF!</v>
      </c>
      <c r="F71" s="3" t="e">
        <f>'RSM JULIO'!#REF!</f>
        <v>#REF!</v>
      </c>
    </row>
    <row r="72" spans="2:6" x14ac:dyDescent="0.3">
      <c r="B72" t="str">
        <f>'RSM JULIO'!A63</f>
        <v>[ CRP ] - CARIPE</v>
      </c>
      <c r="C72" s="3">
        <f>'RSM JULIO'!AR63*-1</f>
        <v>16204.101095367427</v>
      </c>
      <c r="D72" t="e">
        <f>'RSM JULIO'!#REF!</f>
        <v>#REF!</v>
      </c>
      <c r="E72" s="3" t="e">
        <f>'RSM JULIO'!#REF!</f>
        <v>#REF!</v>
      </c>
      <c r="F72" s="3" t="e">
        <f>'RSM JULIO'!#REF!</f>
        <v>#REF!</v>
      </c>
    </row>
    <row r="73" spans="2:6" x14ac:dyDescent="0.3">
      <c r="B73" t="str">
        <f>'RSM JULIO'!A117</f>
        <v>[ MNT ] - MONAY TRUJILLO</v>
      </c>
      <c r="C73" s="3">
        <f>'RSM JULIO'!AR117*-1</f>
        <v>7702.5862664410652</v>
      </c>
      <c r="D73" t="e">
        <f>'RSM JULIO'!#REF!</f>
        <v>#REF!</v>
      </c>
      <c r="E73" s="3" t="e">
        <f>'RSM JULIO'!#REF!</f>
        <v>#REF!</v>
      </c>
      <c r="F73" s="3" t="e">
        <f>'RSM JULIO'!#REF!</f>
        <v>#REF!</v>
      </c>
    </row>
    <row r="74" spans="2:6" x14ac:dyDescent="0.3">
      <c r="B74" t="str">
        <f>'RSM JULIO'!A55</f>
        <v>[ CMC ] - CUA</v>
      </c>
      <c r="C74" s="3">
        <f>'RSM JULIO'!AR55*-1</f>
        <v>21220.118728011264</v>
      </c>
      <c r="D74" t="e">
        <f>'RSM JULIO'!#REF!</f>
        <v>#REF!</v>
      </c>
      <c r="E74" s="3" t="e">
        <f>'RSM JULIO'!#REF!</f>
        <v>#REF!</v>
      </c>
      <c r="F74" s="3" t="e">
        <f>'RSM JULIO'!#REF!</f>
        <v>#REF!</v>
      </c>
    </row>
    <row r="75" spans="2:6" x14ac:dyDescent="0.3">
      <c r="B75" t="str">
        <f>'RSM JULIO'!A78</f>
        <v>[ ECJ ] - EL CUJI</v>
      </c>
      <c r="C75" s="3">
        <f>'RSM JULIO'!AR78*-1</f>
        <v>8597.0886004516506</v>
      </c>
      <c r="D75" t="e">
        <f>'RSM JULIO'!#REF!</f>
        <v>#REF!</v>
      </c>
      <c r="E75" s="3" t="e">
        <f>'RSM JULIO'!#REF!</f>
        <v>#REF!</v>
      </c>
      <c r="F75" s="3" t="e">
        <f>'RSM JULIO'!#REF!</f>
        <v>#REF!</v>
      </c>
    </row>
    <row r="76" spans="2:6" x14ac:dyDescent="0.3">
      <c r="B76" t="str">
        <f>'RSM JULIO'!A103</f>
        <v>[ LCH ] - LECHERIA</v>
      </c>
      <c r="C76" s="3">
        <f>'RSM JULIO'!AR103*-1</f>
        <v>5859.4768290564753</v>
      </c>
      <c r="D76">
        <f>'RSM JULIO'!AT111</f>
        <v>0</v>
      </c>
      <c r="E76" s="3" t="e">
        <f>'RSM JULIO'!#REF!</f>
        <v>#REF!</v>
      </c>
      <c r="F76" s="3" t="e">
        <f>'RSM JULIO'!#REF!</f>
        <v>#REF!</v>
      </c>
    </row>
    <row r="77" spans="2:6" x14ac:dyDescent="0.3">
      <c r="B77" t="str">
        <f>'RSM JULIO'!A175</f>
        <v>[ SCP ] - SOCOPO</v>
      </c>
      <c r="C77" s="3">
        <f>'RSM JULIO'!AR175*-1</f>
        <v>622.06525974500164</v>
      </c>
      <c r="D77">
        <f>'RSM JULIO'!AT186</f>
        <v>0</v>
      </c>
      <c r="E77" s="3" t="e">
        <f>'RSM JULIO'!#REF!</f>
        <v>#REF!</v>
      </c>
      <c r="F77" s="3" t="e">
        <f>'RSM JULIO'!#REF!</f>
        <v>#REF!</v>
      </c>
    </row>
    <row r="78" spans="2:6" x14ac:dyDescent="0.3">
      <c r="B78" t="str">
        <f>'RSM JULIO'!A149</f>
        <v>[ PLN ] - PALO NEGRO</v>
      </c>
      <c r="C78" s="3">
        <f>'RSM JULIO'!AR149*-1</f>
        <v>7511.6631605818147</v>
      </c>
      <c r="D78">
        <f>'RSM JULIO'!AT158</f>
        <v>0</v>
      </c>
      <c r="E78" s="3" t="e">
        <f>'RSM JULIO'!#REF!</f>
        <v>#REF!</v>
      </c>
      <c r="F78" s="3" t="e">
        <f>'RSM JULIO'!#REF!</f>
        <v>#REF!</v>
      </c>
    </row>
    <row r="79" spans="2:6" x14ac:dyDescent="0.3">
      <c r="B79" t="str">
        <f>'RSM JULIO'!A29</f>
        <v>[ BZT ] - BAZAR 3</v>
      </c>
      <c r="C79" s="3">
        <f>'RSM JULIO'!AR29*-1</f>
        <v>4704.849977106509</v>
      </c>
      <c r="D79">
        <f>'RSM JULIO'!AT35</f>
        <v>0</v>
      </c>
      <c r="E79" s="3" t="e">
        <f>'RSM JULIO'!#REF!</f>
        <v>#REF!</v>
      </c>
      <c r="F79" s="3" t="e">
        <f>'RSM JULIO'!#REF!</f>
        <v>#REF!</v>
      </c>
    </row>
    <row r="80" spans="2:6" x14ac:dyDescent="0.3">
      <c r="B80" t="str">
        <f>'RSM JULIO'!A70</f>
        <v>[ CTM ] - CATIA LA MAR</v>
      </c>
      <c r="C80" s="3">
        <f>'RSM JULIO'!AR70*-1</f>
        <v>-20148.508674397028</v>
      </c>
      <c r="D80" t="e">
        <f>'RSM JULIO'!#REF!</f>
        <v>#REF!</v>
      </c>
      <c r="E80" s="3" t="e">
        <f>'RSM JULIO'!#REF!</f>
        <v>#REF!</v>
      </c>
      <c r="F80" s="3" t="e">
        <f>'RSM JULIO'!#REF!</f>
        <v>#REF!</v>
      </c>
    </row>
    <row r="81" spans="2:6" x14ac:dyDescent="0.3">
      <c r="B81" t="str">
        <f>'RSM JULIO'!A109</f>
        <v>[ MDB ] - MINAS DE BARUTA</v>
      </c>
      <c r="C81" s="3">
        <f>'RSM JULIO'!AR109*-1</f>
        <v>5667.8016893441054</v>
      </c>
      <c r="D81">
        <f>'RSM JULIO'!AT117</f>
        <v>0</v>
      </c>
      <c r="E81" s="3" t="e">
        <f>'RSM JULIO'!#REF!</f>
        <v>#REF!</v>
      </c>
      <c r="F81" s="3" t="e">
        <f>'RSM JULIO'!#REF!</f>
        <v>#REF!</v>
      </c>
    </row>
    <row r="82" spans="2:6" x14ac:dyDescent="0.3">
      <c r="B82" t="str">
        <f>'RSM JULIO'!A140</f>
        <v>[ PDV - GCA ] - PDVSA GUACARA</v>
      </c>
      <c r="C82" s="3">
        <f>'RSM JULIO'!AR140*-1</f>
        <v>0</v>
      </c>
      <c r="D82">
        <f>'RSM JULIO'!AT149</f>
        <v>0</v>
      </c>
      <c r="E82" s="3" t="e">
        <f>'RSM JULIO'!#REF!</f>
        <v>#REF!</v>
      </c>
      <c r="F82" s="3" t="e">
        <f>'RSM JULIO'!#REF!</f>
        <v>#REF!</v>
      </c>
    </row>
    <row r="83" spans="2:6" x14ac:dyDescent="0.3">
      <c r="B83" t="str">
        <f>'RSM JULIO'!A27</f>
        <v>[ BZC ] - BAZAR 4</v>
      </c>
      <c r="C83" s="3">
        <f>'RSM JULIO'!AR27*-1</f>
        <v>6178.7610157304334</v>
      </c>
      <c r="D83">
        <f>'RSM JULIO'!AT32</f>
        <v>0</v>
      </c>
      <c r="E83" s="3" t="e">
        <f>'RSM JULIO'!#REF!</f>
        <v>#REF!</v>
      </c>
      <c r="F83" s="3" t="e">
        <f>'RSM JULIO'!#REF!</f>
        <v>#REF!</v>
      </c>
    </row>
    <row r="84" spans="2:6" x14ac:dyDescent="0.3">
      <c r="B84" t="str">
        <f>'RSM JULIO'!A26</f>
        <v>[ BVC ] - BAZAR VALENCIA CANGURO</v>
      </c>
      <c r="C84" s="3">
        <f>'RSM JULIO'!AR26*-1</f>
        <v>17975.098879002264</v>
      </c>
      <c r="D84" t="str">
        <f>'RSM JULIO'!AU31</f>
        <v>[ TVR ] - TOVAR MERIDA</v>
      </c>
      <c r="E84" s="3" t="e">
        <f>'RSM JULIO'!#REF!</f>
        <v>#REF!</v>
      </c>
      <c r="F84" s="3" t="e">
        <f>'RSM JULIO'!#REF!</f>
        <v>#REF!</v>
      </c>
    </row>
    <row r="85" spans="2:6" x14ac:dyDescent="0.3">
      <c r="B85" t="str">
        <f>'RSM JULIO'!A67</f>
        <v>[ CTA ] - CANTAURA</v>
      </c>
      <c r="C85" s="3">
        <f>'RSM JULIO'!AR67*-1</f>
        <v>9320.455602491973</v>
      </c>
      <c r="D85" t="e">
        <f>'RSM JULIO'!#REF!</f>
        <v>#REF!</v>
      </c>
      <c r="E85" s="3" t="e">
        <f>'RSM JULIO'!#REF!</f>
        <v>#REF!</v>
      </c>
      <c r="F85" s="3" t="e">
        <f>'RSM JULIO'!#REF!</f>
        <v>#REF!</v>
      </c>
    </row>
    <row r="86" spans="2:6" x14ac:dyDescent="0.3">
      <c r="B86" t="str">
        <f>'RSM JULIO'!A108</f>
        <v>[ MCY ] - MARACAY</v>
      </c>
      <c r="C86" s="3">
        <f>'RSM JULIO'!AR108*-1</f>
        <v>14417.996308048707</v>
      </c>
      <c r="D86">
        <f>'RSM JULIO'!AT116</f>
        <v>0</v>
      </c>
      <c r="E86" s="3" t="e">
        <f>'RSM JULIO'!#REF!</f>
        <v>#REF!</v>
      </c>
      <c r="F86" s="3" t="e">
        <f>'RSM JULIO'!#REF!</f>
        <v>#REF!</v>
      </c>
    </row>
    <row r="87" spans="2:6" x14ac:dyDescent="0.3">
      <c r="B87" t="str">
        <f>'RSM JULIO'!A58</f>
        <v>[ COD ] - COSMOS SHOP</v>
      </c>
      <c r="C87" s="3">
        <f>'RSM JULIO'!AR58*-1</f>
        <v>23959.366264056887</v>
      </c>
      <c r="D87" t="e">
        <f>'RSM JULIO'!#REF!</f>
        <v>#REF!</v>
      </c>
      <c r="E87" s="3" t="e">
        <f>'RSM JULIO'!#REF!</f>
        <v>#REF!</v>
      </c>
      <c r="F87" s="3" t="e">
        <f>'RSM JULIO'!#REF!</f>
        <v>#REF!</v>
      </c>
    </row>
    <row r="88" spans="2:6" x14ac:dyDescent="0.3">
      <c r="B88" t="str">
        <f>'RSM JULIO'!A122</f>
        <v>[ MTP ] - METROPOLIS</v>
      </c>
      <c r="C88" s="3">
        <f>'RSM JULIO'!AR122*-1</f>
        <v>12675.305975137862</v>
      </c>
      <c r="D88">
        <f>'RSM JULIO'!AT128</f>
        <v>0</v>
      </c>
      <c r="E88" s="3" t="e">
        <f>'RSM JULIO'!#REF!</f>
        <v>#REF!</v>
      </c>
      <c r="F88" s="3" t="e">
        <f>'RSM JULIO'!#REF!</f>
        <v>#REF!</v>
      </c>
    </row>
    <row r="89" spans="2:6" x14ac:dyDescent="0.3">
      <c r="B89" t="e">
        <f>'RSM JULIO'!#REF!</f>
        <v>#REF!</v>
      </c>
      <c r="C89" s="3" t="e">
        <f>'RSM JULIO'!#REF!*-1</f>
        <v>#REF!</v>
      </c>
      <c r="D89">
        <f>'RSM JULIO'!AT130</f>
        <v>0</v>
      </c>
      <c r="E89" s="3" t="e">
        <f>'RSM JULIO'!#REF!</f>
        <v>#REF!</v>
      </c>
      <c r="F89" s="3" t="e">
        <f>'RSM JULIO'!#REF!</f>
        <v>#REF!</v>
      </c>
    </row>
    <row r="90" spans="2:6" x14ac:dyDescent="0.3">
      <c r="B90" t="str">
        <f>'RSM JULIO'!A163</f>
        <v>[ SAM - CDL ] - SAMBIL CANDELARIA</v>
      </c>
      <c r="C90" s="3">
        <f>'RSM JULIO'!AR163*-1</f>
        <v>25770.426269820127</v>
      </c>
      <c r="D90">
        <f>'RSM JULIO'!AT174</f>
        <v>0</v>
      </c>
      <c r="E90" s="3" t="e">
        <f>'RSM JULIO'!#REF!</f>
        <v>#REF!</v>
      </c>
      <c r="F90" s="3" t="e">
        <f>'RSM JULIO'!#REF!</f>
        <v>#REF!</v>
      </c>
    </row>
    <row r="91" spans="2:6" x14ac:dyDescent="0.3">
      <c r="B91" t="str">
        <f>'RSM JULIO'!A86</f>
        <v>[ FOR - GTE ] - FORUM GUATIRE</v>
      </c>
      <c r="C91" s="3">
        <f>'RSM JULIO'!AR86*-1</f>
        <v>9240.9314079732394</v>
      </c>
      <c r="D91" t="e">
        <f>'RSM JULIO'!#REF!</f>
        <v>#REF!</v>
      </c>
      <c r="E91" s="3" t="e">
        <f>'RSM JULIO'!#REF!</f>
        <v>#REF!</v>
      </c>
      <c r="F91" s="3" t="e">
        <f>'RSM JULIO'!#REF!</f>
        <v>#REF!</v>
      </c>
    </row>
    <row r="92" spans="2:6" x14ac:dyDescent="0.3">
      <c r="B92" t="str">
        <f>'RSM JULIO'!A107</f>
        <v>[ MCQ ] - MACHIQUES</v>
      </c>
      <c r="C92" s="3">
        <f>'RSM JULIO'!AR107*-1</f>
        <v>-1031.1145654220727</v>
      </c>
      <c r="D92">
        <f>'RSM JULIO'!AT115</f>
        <v>0</v>
      </c>
      <c r="E92" s="3" t="e">
        <f>'RSM JULIO'!#REF!</f>
        <v>#REF!</v>
      </c>
      <c r="F92" s="3" t="e">
        <f>'RSM JULIO'!#REF!</f>
        <v>#REF!</v>
      </c>
    </row>
    <row r="93" spans="2:6" x14ac:dyDescent="0.3">
      <c r="B93" t="str">
        <f>'RSM JULIO'!A21</f>
        <v>[ BJM ] - BEJUMA</v>
      </c>
      <c r="C93" s="3">
        <f>'RSM JULIO'!AR21*-1</f>
        <v>6159.4327066132428</v>
      </c>
      <c r="D93">
        <f>'RSM JULIO'!AT26</f>
        <v>0</v>
      </c>
      <c r="E93" s="3" t="e">
        <f>'RSM JULIO'!#REF!</f>
        <v>#REF!</v>
      </c>
      <c r="F93" s="3" t="e">
        <f>'RSM JULIO'!#REF!</f>
        <v>#REF!</v>
      </c>
    </row>
    <row r="94" spans="2:6" x14ac:dyDescent="0.3">
      <c r="B94" t="str">
        <f>'RSM JULIO'!A177</f>
        <v>[ SFX ] - SAN FELIX</v>
      </c>
      <c r="C94" s="3">
        <f>'RSM JULIO'!AR177*-1</f>
        <v>16371.426655356991</v>
      </c>
      <c r="D94">
        <f>'RSM JULIO'!AT188</f>
        <v>0</v>
      </c>
      <c r="E94" s="3" t="e">
        <f>'RSM JULIO'!#REF!</f>
        <v>#REF!</v>
      </c>
      <c r="F94" s="3" t="e">
        <f>'RSM JULIO'!#REF!</f>
        <v>#REF!</v>
      </c>
    </row>
    <row r="95" spans="2:6" x14ac:dyDescent="0.3">
      <c r="B95" t="e">
        <f>'RSM JULIO'!#REF!</f>
        <v>#REF!</v>
      </c>
      <c r="C95" s="3" t="e">
        <f>'RSM JULIO'!#REF!*-1</f>
        <v>#REF!</v>
      </c>
      <c r="D95">
        <f>'RSM JULIO'!AT132</f>
        <v>0</v>
      </c>
      <c r="E95" s="3" t="e">
        <f>'RSM JULIO'!#REF!</f>
        <v>#REF!</v>
      </c>
      <c r="F95" s="3" t="e">
        <f>'RSM JULIO'!#REF!</f>
        <v>#REF!</v>
      </c>
    </row>
    <row r="96" spans="2:6" x14ac:dyDescent="0.3">
      <c r="B96" t="str">
        <f>'RSM JULIO'!A54</f>
        <v>[ CLT ] - COLONIA TOVAR</v>
      </c>
      <c r="C96" s="3">
        <f>'RSM JULIO'!AR54*-1</f>
        <v>-5103.2533542939855</v>
      </c>
      <c r="D96" t="e">
        <f>'RSM JULIO'!#REF!</f>
        <v>#REF!</v>
      </c>
      <c r="E96" s="3" t="e">
        <f>'RSM JULIO'!#REF!</f>
        <v>#REF!</v>
      </c>
      <c r="F96" s="3" t="e">
        <f>'RSM JULIO'!#REF!</f>
        <v>#REF!</v>
      </c>
    </row>
    <row r="97" spans="2:6" x14ac:dyDescent="0.3">
      <c r="B97" t="str">
        <f>'RSM JULIO'!A113</f>
        <v>[ MID ] - MERIDA SHOP</v>
      </c>
      <c r="C97" s="3">
        <f>'RSM JULIO'!AR113*-1</f>
        <v>13088.70307511837</v>
      </c>
      <c r="D97">
        <f>'RSM JULIO'!AT121</f>
        <v>0</v>
      </c>
      <c r="E97" s="3" t="e">
        <f>'RSM JULIO'!#REF!</f>
        <v>#REF!</v>
      </c>
      <c r="F97" s="3" t="e">
        <f>'RSM JULIO'!#REF!</f>
        <v>#REF!</v>
      </c>
    </row>
    <row r="98" spans="2:6" x14ac:dyDescent="0.3">
      <c r="B98" t="str">
        <f>'RSM JULIO'!A38</f>
        <v>[ CCB ] - CALLE CAMEJO BARINAS</v>
      </c>
      <c r="C98" s="3">
        <f>'RSM JULIO'!AR38*-1</f>
        <v>6473.2162256508127</v>
      </c>
      <c r="D98">
        <f>'RSM JULIO'!AT44</f>
        <v>0</v>
      </c>
      <c r="E98" s="3" t="e">
        <f>'RSM JULIO'!#REF!</f>
        <v>#REF!</v>
      </c>
      <c r="F98" s="3" t="e">
        <f>'RSM JULIO'!#REF!</f>
        <v>#REF!</v>
      </c>
    </row>
    <row r="99" spans="2:6" x14ac:dyDescent="0.3">
      <c r="B99" t="str">
        <f>'RSM JULIO'!A106</f>
        <v>[ LPG ] - LA PARAGUA</v>
      </c>
      <c r="C99" s="3">
        <f>'RSM JULIO'!AR106*-1</f>
        <v>3683.1654537213544</v>
      </c>
      <c r="D99">
        <f>'RSM JULIO'!AT114</f>
        <v>0</v>
      </c>
      <c r="E99" s="3" t="e">
        <f>'RSM JULIO'!#REF!</f>
        <v>#REF!</v>
      </c>
      <c r="F99" s="3" t="e">
        <f>'RSM JULIO'!#REF!</f>
        <v>#REF!</v>
      </c>
    </row>
    <row r="100" spans="2:6" x14ac:dyDescent="0.3">
      <c r="B100" t="str">
        <f>'RSM JULIO'!A19</f>
        <v>[ BCN ] - BARCELONA</v>
      </c>
      <c r="C100" s="3">
        <f>'RSM JULIO'!AR19*-1</f>
        <v>14217.33541984536</v>
      </c>
      <c r="D100" t="str">
        <f>'RSM JULIO'!AU5</f>
        <v>Ganancia Mayor A $10,000</v>
      </c>
      <c r="E100" s="3" t="e">
        <f>'RSM JULIO'!#REF!</f>
        <v>#REF!</v>
      </c>
      <c r="F100" s="3" t="e">
        <f>'RSM JULIO'!#REF!</f>
        <v>#REF!</v>
      </c>
    </row>
    <row r="101" spans="2:6" x14ac:dyDescent="0.3">
      <c r="B101" t="str">
        <f>'RSM JULIO'!A124</f>
        <v xml:space="preserve">[ MVT - BVT ] MOVISTAR BELLA VISTA </v>
      </c>
      <c r="C101" s="3">
        <f>'RSM JULIO'!AR124*-1</f>
        <v>-242.81075098870315</v>
      </c>
      <c r="D101">
        <f>'RSM JULIO'!AT133</f>
        <v>0</v>
      </c>
      <c r="E101" s="3" t="e">
        <f>'RSM JULIO'!#REF!</f>
        <v>#REF!</v>
      </c>
      <c r="F101" s="3" t="e">
        <f>'RSM JULIO'!#REF!</f>
        <v>#REF!</v>
      </c>
    </row>
    <row r="102" spans="2:6" x14ac:dyDescent="0.3">
      <c r="B102" t="str">
        <f>'RSM JULIO'!A100</f>
        <v>[ HGT ] - HIGUEROTE</v>
      </c>
      <c r="C102" s="3">
        <f>'RSM JULIO'!AR100*-1</f>
        <v>19886.543598289747</v>
      </c>
      <c r="D102">
        <f>'RSM JULIO'!AT107</f>
        <v>0</v>
      </c>
      <c r="E102" s="3" t="e">
        <f>'RSM JULIO'!#REF!</f>
        <v>#REF!</v>
      </c>
      <c r="F102" s="3" t="e">
        <f>'RSM JULIO'!#REF!</f>
        <v>#REF!</v>
      </c>
    </row>
    <row r="103" spans="2:6" x14ac:dyDescent="0.3">
      <c r="B103" t="str">
        <f>'RSM JULIO'!A35</f>
        <v>[ CBR ] - CABUDARE</v>
      </c>
      <c r="C103" s="3">
        <f>'RSM JULIO'!AR35*-1</f>
        <v>7568.2468257907112</v>
      </c>
      <c r="D103">
        <f>'RSM JULIO'!AT41</f>
        <v>0</v>
      </c>
      <c r="E103" s="3" t="e">
        <f>'RSM JULIO'!#REF!</f>
        <v>#REF!</v>
      </c>
      <c r="F103" s="3" t="e">
        <f>'RSM JULIO'!#REF!</f>
        <v>#REF!</v>
      </c>
    </row>
    <row r="104" spans="2:6" x14ac:dyDescent="0.3">
      <c r="B104" t="str">
        <f>'RSM JULIO'!A114</f>
        <v>[ MJN ] - MOJAN</v>
      </c>
      <c r="C104" s="3">
        <f>'RSM JULIO'!AR114*-1</f>
        <v>3501.638728150705</v>
      </c>
      <c r="D104">
        <f>'RSM JULIO'!AT122</f>
        <v>0</v>
      </c>
      <c r="E104" s="3" t="e">
        <f>'RSM JULIO'!#REF!</f>
        <v>#REF!</v>
      </c>
      <c r="F104" s="3" t="e">
        <f>'RSM JULIO'!#REF!</f>
        <v>#REF!</v>
      </c>
    </row>
    <row r="105" spans="2:6" x14ac:dyDescent="0.3">
      <c r="B105" t="str">
        <f>'RSM JULIO'!A13</f>
        <v>[ ARY ] - AROA YARACUY</v>
      </c>
      <c r="C105" s="3">
        <f>'RSM JULIO'!AR13*-1</f>
        <v>15.447999999999997</v>
      </c>
      <c r="D105" t="str">
        <f>'RSM JULIO'!BE17</f>
        <v xml:space="preserve">Los ingresos, costos y gastos del cendis se distribuyen al igual que los gastos del corporativo entre las tiendas en funcion de la venta. </v>
      </c>
      <c r="E105" s="3" t="e">
        <f>'RSM JULIO'!#REF!</f>
        <v>#REF!</v>
      </c>
      <c r="F105" s="3" t="e">
        <f>'RSM JULIO'!#REF!</f>
        <v>#REF!</v>
      </c>
    </row>
    <row r="106" spans="2:6" x14ac:dyDescent="0.3">
      <c r="B106" t="str">
        <f>'RSM JULIO'!A22</f>
        <v>[ BLS ] - BAILADORES</v>
      </c>
      <c r="C106" s="3">
        <f>'RSM JULIO'!AR22*-1</f>
        <v>432.22603294216378</v>
      </c>
      <c r="D106" t="str">
        <f>'RSM JULIO'!AU27</f>
        <v xml:space="preserve">TIENDAS NUEVAS </v>
      </c>
      <c r="E106" s="3" t="e">
        <f>'RSM JULIO'!#REF!</f>
        <v>#REF!</v>
      </c>
      <c r="F106" s="3" t="e">
        <f>'RSM JULIO'!#REF!</f>
        <v>#REF!</v>
      </c>
    </row>
    <row r="107" spans="2:6" x14ac:dyDescent="0.3">
      <c r="B107" t="str">
        <f>'RSM JULIO'!A181</f>
        <v>[ SMZ ] - SIERRA MAESTRA</v>
      </c>
      <c r="C107" s="3">
        <f>'RSM JULIO'!AR181*-1</f>
        <v>5345.3854204432573</v>
      </c>
      <c r="D107">
        <f>'RSM JULIO'!AT192</f>
        <v>0</v>
      </c>
      <c r="E107" s="3" t="e">
        <f>'RSM JULIO'!#REF!</f>
        <v>#REF!</v>
      </c>
      <c r="F107" s="3" t="e">
        <f>'RSM JULIO'!#REF!</f>
        <v>#REF!</v>
      </c>
    </row>
    <row r="108" spans="2:6" x14ac:dyDescent="0.3">
      <c r="B108" t="str">
        <f>'RSM JULIO'!A112</f>
        <v>[ MGZ ] - MENE GRANDE ZULIA</v>
      </c>
      <c r="C108" s="3">
        <f>'RSM JULIO'!AR112*-1</f>
        <v>6056.0375633595322</v>
      </c>
      <c r="D108">
        <f>'RSM JULIO'!AT120</f>
        <v>0</v>
      </c>
      <c r="E108" s="3" t="e">
        <f>'RSM JULIO'!#REF!</f>
        <v>#REF!</v>
      </c>
      <c r="F108" s="3" t="e">
        <f>'RSM JULIO'!#REF!</f>
        <v>#REF!</v>
      </c>
    </row>
    <row r="109" spans="2:6" x14ac:dyDescent="0.3">
      <c r="B109" t="str">
        <f>'RSM JULIO'!A9</f>
        <v>[ ANT ] - ANTIMANO</v>
      </c>
      <c r="C109" s="3">
        <f>'RSM JULIO'!AR9*-1</f>
        <v>-3576.7214020283741</v>
      </c>
      <c r="D109" t="str">
        <f>'RSM JULIO'!BE14</f>
        <v xml:space="preserve">7- Resultado de la tienda  ( total general + gasto aplicado) </v>
      </c>
      <c r="E109" s="3" t="e">
        <f>'RSM JULIO'!#REF!</f>
        <v>#REF!</v>
      </c>
      <c r="F109" s="3" t="e">
        <f>'RSM JULIO'!#REF!</f>
        <v>#REF!</v>
      </c>
    </row>
    <row r="110" spans="2:6" x14ac:dyDescent="0.3">
      <c r="B110" t="str">
        <f>'RSM JULIO'!A69</f>
        <v>[ CTL ] - CARTANAL</v>
      </c>
      <c r="C110" s="3">
        <f>'RSM JULIO'!AR69*-1</f>
        <v>19922.024869699846</v>
      </c>
      <c r="D110" t="e">
        <f>'RSM JULIO'!#REF!</f>
        <v>#REF!</v>
      </c>
      <c r="E110" s="3" t="e">
        <f>'RSM JULIO'!#REF!</f>
        <v>#REF!</v>
      </c>
      <c r="F110" s="3" t="e">
        <f>'RSM JULIO'!#REF!</f>
        <v>#REF!</v>
      </c>
    </row>
    <row r="111" spans="2:6" x14ac:dyDescent="0.3">
      <c r="B111" t="str">
        <f>'RSM JULIO'!A126</f>
        <v>[ MVT - GRZ ] - MOVISTAR LAS GARZAS</v>
      </c>
      <c r="C111" s="3">
        <f>'RSM JULIO'!AR126*-1</f>
        <v>35.572205207049819</v>
      </c>
      <c r="D111">
        <f>'RSM JULIO'!AT135</f>
        <v>0</v>
      </c>
      <c r="E111" s="3" t="e">
        <f>'RSM JULIO'!#REF!</f>
        <v>#REF!</v>
      </c>
      <c r="F111" s="3" t="e">
        <f>'RSM JULIO'!#REF!</f>
        <v>#REF!</v>
      </c>
    </row>
    <row r="112" spans="2:6" x14ac:dyDescent="0.3">
      <c r="B112" t="str">
        <f>'RSM JULIO'!A125</f>
        <v>[ MVT - CCT ] - MOVISTAR CIUDAD TAMANACO</v>
      </c>
      <c r="C112" s="3">
        <f>'RSM JULIO'!AR125*-1</f>
        <v>-218.70586564902351</v>
      </c>
      <c r="D112" t="e">
        <f>'RSM JULIO'!#REF!</f>
        <v>#REF!</v>
      </c>
      <c r="E112" s="3" t="e">
        <f>'RSM JULIO'!#REF!</f>
        <v>#REF!</v>
      </c>
      <c r="F112" s="3" t="e">
        <f>'RSM JULIO'!#REF!</f>
        <v>#REF!</v>
      </c>
    </row>
    <row r="113" spans="2:6" x14ac:dyDescent="0.3">
      <c r="B113" t="str">
        <f>'RSM JULIO'!A111</f>
        <v>[ MGT ] - MARGARITA SHOP</v>
      </c>
      <c r="C113" s="3">
        <f>'RSM JULIO'!AR111*-1</f>
        <v>7385.6739210903324</v>
      </c>
      <c r="D113">
        <f>'RSM JULIO'!AT119</f>
        <v>0</v>
      </c>
      <c r="E113" s="3" t="e">
        <f>'RSM JULIO'!#REF!</f>
        <v>#REF!</v>
      </c>
      <c r="F113" s="3" t="e">
        <f>'RSM JULIO'!#REF!</f>
        <v>#REF!</v>
      </c>
    </row>
    <row r="114" spans="2:6" x14ac:dyDescent="0.3">
      <c r="B114" t="str">
        <f>'RSM JULIO'!A110</f>
        <v>[ MEC ] - MARACAY ESTACION CENTRAL</v>
      </c>
      <c r="C114" s="3">
        <f>'RSM JULIO'!AR110*-1</f>
        <v>5226.7831753489227</v>
      </c>
      <c r="D114">
        <f>'RSM JULIO'!AT118</f>
        <v>0</v>
      </c>
      <c r="E114" s="3" t="e">
        <f>'RSM JULIO'!#REF!</f>
        <v>#REF!</v>
      </c>
      <c r="F114" s="3" t="e">
        <f>'RSM JULIO'!#REF!</f>
        <v>#REF!</v>
      </c>
    </row>
    <row r="115" spans="2:6" x14ac:dyDescent="0.3">
      <c r="B115" t="str">
        <f>'RSM JULIO'!A121</f>
        <v>[ MTC ] - MANTECAL</v>
      </c>
      <c r="C115" s="3">
        <f>'RSM JULIO'!AR121*-1</f>
        <v>-1865.1030579519502</v>
      </c>
      <c r="D115">
        <f>'RSM JULIO'!AT127</f>
        <v>0</v>
      </c>
      <c r="E115" s="3" t="e">
        <f>'RSM JULIO'!#REF!</f>
        <v>#REF!</v>
      </c>
      <c r="F115" s="3" t="e">
        <f>'RSM JULIO'!#REF!</f>
        <v>#REF!</v>
      </c>
    </row>
    <row r="116" spans="2:6" x14ac:dyDescent="0.3">
      <c r="B116" t="str">
        <f>'RSM JULIO'!A179</f>
        <v>[ SJM ] - SAN JUAN DE LOS MORROS</v>
      </c>
      <c r="C116" s="3">
        <f>'RSM JULIO'!AR179*-1</f>
        <v>20847.22517942894</v>
      </c>
      <c r="D116">
        <f>'RSM JULIO'!AT190</f>
        <v>0</v>
      </c>
      <c r="E116" s="3" t="e">
        <f>'RSM JULIO'!#REF!</f>
        <v>#REF!</v>
      </c>
      <c r="F116" s="3" t="e">
        <f>'RSM JULIO'!#REF!</f>
        <v>#REF!</v>
      </c>
    </row>
    <row r="117" spans="2:6" x14ac:dyDescent="0.3">
      <c r="B117" t="e">
        <f>'RSM JULIO'!#REF!</f>
        <v>#REF!</v>
      </c>
      <c r="C117" s="3" t="e">
        <f>'RSM JULIO'!#REF!*-1</f>
        <v>#REF!</v>
      </c>
      <c r="D117" t="e">
        <f>'RSM JULIO'!#REF!</f>
        <v>#REF!</v>
      </c>
      <c r="E117" s="3" t="e">
        <f>'RSM JULIO'!#REF!</f>
        <v>#REF!</v>
      </c>
      <c r="F117" s="3" t="e">
        <f>'RSM JULIO'!#REF!</f>
        <v>#REF!</v>
      </c>
    </row>
    <row r="118" spans="2:6" x14ac:dyDescent="0.3">
      <c r="B118" t="str">
        <f>'RSM JULIO'!A171</f>
        <v>[ SBC ] - SABANA CITY</v>
      </c>
      <c r="C118" s="3">
        <f>'RSM JULIO'!AR171*-1</f>
        <v>19599.909196206499</v>
      </c>
      <c r="D118">
        <f>'RSM JULIO'!AT182</f>
        <v>0</v>
      </c>
      <c r="E118" s="3" t="e">
        <f>'RSM JULIO'!#REF!</f>
        <v>#REF!</v>
      </c>
      <c r="F118" s="3" t="e">
        <f>'RSM JULIO'!#REF!</f>
        <v>#REF!</v>
      </c>
    </row>
    <row r="119" spans="2:6" x14ac:dyDescent="0.3">
      <c r="B119" t="str">
        <f>'RSM JULIO'!A180</f>
        <v>[ SMT ] - SABANA MENDOZA</v>
      </c>
      <c r="C119" s="3">
        <f>'RSM JULIO'!AR180*-1</f>
        <v>4764.0737044464513</v>
      </c>
      <c r="D119">
        <f>'RSM JULIO'!AT191</f>
        <v>0</v>
      </c>
      <c r="E119" s="3" t="e">
        <f>'RSM JULIO'!#REF!</f>
        <v>#REF!</v>
      </c>
      <c r="F119" s="3" t="e">
        <f>'RSM JULIO'!#REF!</f>
        <v>#REF!</v>
      </c>
    </row>
    <row r="120" spans="2:6" x14ac:dyDescent="0.3">
      <c r="B120" t="str">
        <f>'RSM JULIO'!A12</f>
        <v>[ ARO - NAC ] - AEROPUERTO NACIONAL</v>
      </c>
      <c r="C120" s="3">
        <f>'RSM JULIO'!AR12*-1</f>
        <v>-9872.1049999999996</v>
      </c>
      <c r="D120" t="str">
        <f>'RSM JULIO'!BE16</f>
        <v xml:space="preserve">OBSERVACION </v>
      </c>
      <c r="E120" s="3" t="e">
        <f>'RSM JULIO'!#REF!</f>
        <v>#REF!</v>
      </c>
      <c r="F120" s="3" t="e">
        <f>'RSM JULIO'!#REF!</f>
        <v>#REF!</v>
      </c>
    </row>
    <row r="121" spans="2:6" x14ac:dyDescent="0.3">
      <c r="B121" t="str">
        <f>'RSM JULIO'!A33</f>
        <v>[ CBM ] - CABIMAS</v>
      </c>
      <c r="C121" s="3">
        <f>'RSM JULIO'!AR33*-1</f>
        <v>14607.710260912812</v>
      </c>
      <c r="D121">
        <f>'RSM JULIO'!AT39</f>
        <v>0</v>
      </c>
      <c r="E121" s="3" t="e">
        <f>'RSM JULIO'!#REF!</f>
        <v>#REF!</v>
      </c>
      <c r="F121" s="3" t="e">
        <f>'RSM JULIO'!#REF!</f>
        <v>#REF!</v>
      </c>
    </row>
    <row r="122" spans="2:6" x14ac:dyDescent="0.3">
      <c r="B122" t="str">
        <f>'RSM JULIO'!A17</f>
        <v>[ BCC ] - BISCUCUY</v>
      </c>
      <c r="C122" s="3">
        <f>'RSM JULIO'!AR17*-1</f>
        <v>-456.97867074218811</v>
      </c>
      <c r="D122" t="str">
        <f>'RSM JULIO'!AU22</f>
        <v>Gastos entre $4001 hasta $7000</v>
      </c>
      <c r="E122" s="3" t="e">
        <f>'RSM JULIO'!#REF!</f>
        <v>#REF!</v>
      </c>
      <c r="F122" s="3" t="e">
        <f>'RSM JULIO'!#REF!</f>
        <v>#REF!</v>
      </c>
    </row>
    <row r="123" spans="2:6" x14ac:dyDescent="0.3">
      <c r="B123" t="str">
        <f>'RSM JULIO'!A99</f>
        <v>[ GTN ] - GATO NEGRO</v>
      </c>
      <c r="C123" s="3">
        <f>'RSM JULIO'!AR99*-1</f>
        <v>11025.520935652145</v>
      </c>
      <c r="D123">
        <f>'RSM JULIO'!AT106</f>
        <v>0</v>
      </c>
      <c r="E123" s="3" t="e">
        <f>'RSM JULIO'!#REF!</f>
        <v>#REF!</v>
      </c>
      <c r="F123" s="3" t="e">
        <f>'RSM JULIO'!#REF!</f>
        <v>#REF!</v>
      </c>
    </row>
    <row r="124" spans="2:6" x14ac:dyDescent="0.3">
      <c r="B124" t="str">
        <f>'RSM JULIO'!A42</f>
        <v>[ CDL ] - LA CANDELARIA</v>
      </c>
      <c r="C124" s="3">
        <f>'RSM JULIO'!AR42*-1</f>
        <v>5027.7063060221371</v>
      </c>
      <c r="D124" t="e">
        <f>'RSM JULIO'!#REF!</f>
        <v>#REF!</v>
      </c>
      <c r="E124" s="3" t="e">
        <f>'RSM JULIO'!#REF!</f>
        <v>#REF!</v>
      </c>
      <c r="F124" s="3" t="e">
        <f>'RSM JULIO'!#REF!</f>
        <v>#REF!</v>
      </c>
    </row>
    <row r="125" spans="2:6" x14ac:dyDescent="0.3">
      <c r="B125" t="str">
        <f>'RSM JULIO'!A194</f>
        <v>[ TED ] - LOS TEQUES DOS</v>
      </c>
      <c r="C125" s="3">
        <f>'RSM JULIO'!AR194*-1</f>
        <v>46148.465066261349</v>
      </c>
      <c r="D125">
        <f>'RSM JULIO'!AT222</f>
        <v>0</v>
      </c>
      <c r="E125" s="3" t="e">
        <f>'RSM JULIO'!#REF!</f>
        <v>#REF!</v>
      </c>
      <c r="F125" s="3" t="e">
        <f>'RSM JULIO'!#REF!</f>
        <v>#REF!</v>
      </c>
    </row>
    <row r="126" spans="2:6" x14ac:dyDescent="0.3">
      <c r="B126" t="str">
        <f>'RSM JULIO'!A104</f>
        <v>[ LLN ] - LLANERO</v>
      </c>
      <c r="C126" s="3">
        <f>'RSM JULIO'!AR104*-1</f>
        <v>5155.9159373643688</v>
      </c>
      <c r="D126">
        <f>'RSM JULIO'!AT112</f>
        <v>0</v>
      </c>
      <c r="E126" s="3" t="e">
        <f>'RSM JULIO'!#REF!</f>
        <v>#REF!</v>
      </c>
      <c r="F126" s="3" t="e">
        <f>'RSM JULIO'!#REF!</f>
        <v>#REF!</v>
      </c>
    </row>
    <row r="127" spans="2:6" x14ac:dyDescent="0.3">
      <c r="B127" t="str">
        <f>'RSM JULIO'!A123</f>
        <v>[ MUN ] - MATURIN SHOP</v>
      </c>
      <c r="C127" s="3">
        <f>'RSM JULIO'!AR123*-1</f>
        <v>29941.021483663768</v>
      </c>
      <c r="D127">
        <f>'RSM JULIO'!AT129</f>
        <v>0</v>
      </c>
      <c r="E127" s="3" t="e">
        <f>'RSM JULIO'!#REF!</f>
        <v>#REF!</v>
      </c>
      <c r="F127" s="3" t="e">
        <f>'RSM JULIO'!#REF!</f>
        <v>#REF!</v>
      </c>
    </row>
    <row r="128" spans="2:6" x14ac:dyDescent="0.3">
      <c r="B128" t="str">
        <f>'RSM JULIO'!A36</f>
        <v>[ CBV ] - CIUDAD BOLIVAR</v>
      </c>
      <c r="C128" s="3">
        <f>'RSM JULIO'!AR36*-1</f>
        <v>11466.120861478666</v>
      </c>
      <c r="D128">
        <f>'RSM JULIO'!AT42</f>
        <v>0</v>
      </c>
      <c r="E128" s="3" t="e">
        <f>'RSM JULIO'!#REF!</f>
        <v>#REF!</v>
      </c>
      <c r="F128" s="3" t="e">
        <f>'RSM JULIO'!#REF!</f>
        <v>#REF!</v>
      </c>
    </row>
    <row r="129" spans="2:6" x14ac:dyDescent="0.3">
      <c r="B129" t="str">
        <f>'RSM JULIO'!A127</f>
        <v>[ MVT - LNS ] MOVISTAR LOS LEONES</v>
      </c>
      <c r="C129" s="3">
        <f>'RSM JULIO'!AR127*-1</f>
        <v>602.46338473570631</v>
      </c>
      <c r="D129">
        <f>'RSM JULIO'!AT136</f>
        <v>0</v>
      </c>
      <c r="E129" s="3" t="e">
        <f>'RSM JULIO'!#REF!</f>
        <v>#REF!</v>
      </c>
      <c r="F129" s="3" t="e">
        <f>'RSM JULIO'!#REF!</f>
        <v>#REF!</v>
      </c>
    </row>
    <row r="130" spans="2:6" x14ac:dyDescent="0.3">
      <c r="B130" t="str">
        <f>'RSM JULIO'!A93</f>
        <v>[ GNO ] - GUANARITO</v>
      </c>
      <c r="C130" s="3">
        <f>'RSM JULIO'!AR93*-1</f>
        <v>2584.4617870847105</v>
      </c>
      <c r="D130">
        <f>'RSM JULIO'!AT100</f>
        <v>0</v>
      </c>
      <c r="E130" s="3" t="e">
        <f>'RSM JULIO'!#REF!</f>
        <v>#REF!</v>
      </c>
      <c r="F130" s="3" t="e">
        <f>'RSM JULIO'!#REF!</f>
        <v>#REF!</v>
      </c>
    </row>
    <row r="131" spans="2:6" x14ac:dyDescent="0.3">
      <c r="B131" t="str">
        <f>'RSM JULIO'!A187</f>
        <v>[ STT ] - SANTA TERESA DEL TUY</v>
      </c>
      <c r="C131" s="3">
        <f>'RSM JULIO'!AR187*-1</f>
        <v>22087.984872253823</v>
      </c>
      <c r="D131">
        <f>'RSM JULIO'!AT215</f>
        <v>0</v>
      </c>
      <c r="E131" s="3" t="e">
        <f>'RSM JULIO'!#REF!</f>
        <v>#REF!</v>
      </c>
      <c r="F131" s="3" t="e">
        <f>'RSM JULIO'!#REF!</f>
        <v>#REF!</v>
      </c>
    </row>
    <row r="132" spans="2:6" x14ac:dyDescent="0.3">
      <c r="B132" t="str">
        <f>'RSM JULIO'!A144</f>
        <v>[ PDV - MUN ] - PDVSA MATURIN</v>
      </c>
      <c r="C132" s="3">
        <f>'RSM JULIO'!AR144*-1</f>
        <v>5.0540000000000003</v>
      </c>
      <c r="D132">
        <f>'RSM JULIO'!AT153</f>
        <v>0</v>
      </c>
      <c r="E132" s="3" t="e">
        <f>'RSM JULIO'!#REF!</f>
        <v>#REF!</v>
      </c>
      <c r="F132" s="3" t="e">
        <f>'RSM JULIO'!#REF!</f>
        <v>#REF!</v>
      </c>
    </row>
    <row r="133" spans="2:6" x14ac:dyDescent="0.3">
      <c r="B133" t="str">
        <f>'RSM JULIO'!A146</f>
        <v>[ PDV - PT ] - PDVSA PETROPIAR</v>
      </c>
      <c r="C133" s="3">
        <f>'RSM JULIO'!AR146*-1</f>
        <v>9.718</v>
      </c>
      <c r="D133">
        <f>'RSM JULIO'!AT155</f>
        <v>0</v>
      </c>
      <c r="E133" s="3" t="e">
        <f>'RSM JULIO'!#REF!</f>
        <v>#REF!</v>
      </c>
      <c r="F133" s="3" t="e">
        <f>'RSM JULIO'!#REF!</f>
        <v>#REF!</v>
      </c>
    </row>
    <row r="134" spans="2:6" x14ac:dyDescent="0.3">
      <c r="B134" t="str">
        <f>'RSM JULIO'!A65</f>
        <v>[ CRT ] - CARIPITO</v>
      </c>
      <c r="C134" s="3">
        <f>'RSM JULIO'!AR65*-1</f>
        <v>11766.977437364931</v>
      </c>
      <c r="D134" t="e">
        <f>'RSM JULIO'!#REF!</f>
        <v>#REF!</v>
      </c>
      <c r="E134" s="3" t="e">
        <f>'RSM JULIO'!#REF!</f>
        <v>#REF!</v>
      </c>
      <c r="F134" s="3" t="e">
        <f>'RSM JULIO'!#REF!</f>
        <v>#REF!</v>
      </c>
    </row>
    <row r="135" spans="2:6" x14ac:dyDescent="0.3">
      <c r="B135" t="str">
        <f>'RSM JULIO'!A87</f>
        <v>[ FOR - ISF ] - FORUM IPSFA</v>
      </c>
      <c r="C135" s="3">
        <f>'RSM JULIO'!AR87*-1</f>
        <v>5798.369049627976</v>
      </c>
      <c r="D135" t="e">
        <f>'RSM JULIO'!#REF!</f>
        <v>#REF!</v>
      </c>
      <c r="E135" s="3" t="e">
        <f>'RSM JULIO'!#REF!</f>
        <v>#REF!</v>
      </c>
      <c r="F135" s="3" t="e">
        <f>'RSM JULIO'!#REF!</f>
        <v>#REF!</v>
      </c>
    </row>
    <row r="136" spans="2:6" x14ac:dyDescent="0.3">
      <c r="B136" t="str">
        <f>'RSM JULIO'!A137</f>
        <v>[ ORK ] - ORINOKIA</v>
      </c>
      <c r="C136" s="3">
        <f>'RSM JULIO'!AR137*-1</f>
        <v>14077.399183230529</v>
      </c>
      <c r="D136">
        <f>'RSM JULIO'!AT146</f>
        <v>0</v>
      </c>
      <c r="E136" s="3" t="e">
        <f>'RSM JULIO'!#REF!</f>
        <v>#REF!</v>
      </c>
      <c r="F136" s="3" t="e">
        <f>'RSM JULIO'!#REF!</f>
        <v>#REF!</v>
      </c>
    </row>
    <row r="137" spans="2:6" x14ac:dyDescent="0.3">
      <c r="B137" t="str">
        <f>'RSM JULIO'!A152</f>
        <v>[ PPT ] - PROPATRIA</v>
      </c>
      <c r="C137" s="3">
        <f>'RSM JULIO'!AR152*-1</f>
        <v>7364.349151897708</v>
      </c>
      <c r="D137">
        <f>'RSM JULIO'!AT161</f>
        <v>0</v>
      </c>
      <c r="E137" s="3" t="e">
        <f>'RSM JULIO'!#REF!</f>
        <v>#REF!</v>
      </c>
      <c r="F137" s="3" t="e">
        <f>'RSM JULIO'!#REF!</f>
        <v>#REF!</v>
      </c>
    </row>
    <row r="138" spans="2:6" x14ac:dyDescent="0.3">
      <c r="B138" t="str">
        <f>'RSM JULIO'!A23</f>
        <v>[ BNS ] - BARINAS SHOP</v>
      </c>
      <c r="C138" s="3">
        <f>'RSM JULIO'!AR23*-1</f>
        <v>16563.420590606009</v>
      </c>
      <c r="D138" t="str">
        <f>'RSM JULIO'!AU28</f>
        <v>[ ADS - BQT ] - AEDOS BARQUISIMETO</v>
      </c>
      <c r="E138" s="3" t="e">
        <f>'RSM JULIO'!#REF!</f>
        <v>#REF!</v>
      </c>
      <c r="F138" s="3" t="e">
        <f>'RSM JULIO'!#REF!</f>
        <v>#REF!</v>
      </c>
    </row>
    <row r="139" spans="2:6" x14ac:dyDescent="0.3">
      <c r="B139" t="str">
        <f>'RSM JULIO'!A170</f>
        <v>[ SBB ] - SANTA BARBARA</v>
      </c>
      <c r="C139" s="3">
        <f>'RSM JULIO'!AR170*-1</f>
        <v>3718.1600723447864</v>
      </c>
      <c r="D139">
        <f>'RSM JULIO'!AT181</f>
        <v>0</v>
      </c>
      <c r="E139" s="3" t="e">
        <f>'RSM JULIO'!#REF!</f>
        <v>#REF!</v>
      </c>
      <c r="F139" s="3" t="e">
        <f>'RSM JULIO'!#REF!</f>
        <v>#REF!</v>
      </c>
    </row>
    <row r="140" spans="2:6" x14ac:dyDescent="0.3">
      <c r="B140" t="str">
        <f>'RSM JULIO'!A47</f>
        <v>[ CHC ] - CHICHIRIVICHE</v>
      </c>
      <c r="C140" s="3">
        <f>'RSM JULIO'!AR47*-1</f>
        <v>1503.6907354215436</v>
      </c>
      <c r="D140" t="e">
        <f>'RSM JULIO'!#REF!</f>
        <v>#REF!</v>
      </c>
      <c r="E140" s="3" t="e">
        <f>'RSM JULIO'!#REF!</f>
        <v>#REF!</v>
      </c>
      <c r="F140" s="3" t="e">
        <f>'RSM JULIO'!#REF!</f>
        <v>#REF!</v>
      </c>
    </row>
    <row r="141" spans="2:6" x14ac:dyDescent="0.3">
      <c r="B141" t="str">
        <f>'RSM JULIO'!A39</f>
        <v>[ CCM ] - CENTRO COMERCIAL METROCENTER</v>
      </c>
      <c r="C141" s="3">
        <f>'RSM JULIO'!AR39*-1</f>
        <v>9535.4323348249964</v>
      </c>
      <c r="D141">
        <f>'RSM JULIO'!AT45</f>
        <v>0</v>
      </c>
      <c r="E141" s="3" t="e">
        <f>'RSM JULIO'!#REF!</f>
        <v>#REF!</v>
      </c>
      <c r="F141" s="3" t="e">
        <f>'RSM JULIO'!#REF!</f>
        <v>#REF!</v>
      </c>
    </row>
    <row r="142" spans="2:6" x14ac:dyDescent="0.3">
      <c r="B142" t="str">
        <f>'RSM JULIO'!A75</f>
        <v>[ CUA ] - CUMANA SHOP</v>
      </c>
      <c r="C142" s="3">
        <f>'RSM JULIO'!AR75*-1</f>
        <v>20236.38366262924</v>
      </c>
      <c r="D142" t="e">
        <f>'RSM JULIO'!#REF!</f>
        <v>#REF!</v>
      </c>
      <c r="E142" s="3" t="e">
        <f>'RSM JULIO'!#REF!</f>
        <v>#REF!</v>
      </c>
      <c r="F142" s="3" t="e">
        <f>'RSM JULIO'!#REF!</f>
        <v>#REF!</v>
      </c>
    </row>
    <row r="143" spans="2:6" x14ac:dyDescent="0.3">
      <c r="B143" t="str">
        <f>'RSM JULIO'!A57</f>
        <v>[ CNA ] - CUMANACOA</v>
      </c>
      <c r="C143" s="3">
        <f>'RSM JULIO'!AR57*-1</f>
        <v>11620.058339829462</v>
      </c>
      <c r="D143" t="e">
        <f>'RSM JULIO'!#REF!</f>
        <v>#REF!</v>
      </c>
      <c r="E143" s="3" t="e">
        <f>'RSM JULIO'!#REF!</f>
        <v>#REF!</v>
      </c>
      <c r="F143" s="3" t="e">
        <f>'RSM JULIO'!#REF!</f>
        <v>#REF!</v>
      </c>
    </row>
    <row r="144" spans="2:6" x14ac:dyDescent="0.3">
      <c r="B144" t="e">
        <f>'RSM JULIO'!#REF!</f>
        <v>#REF!</v>
      </c>
      <c r="C144" s="3" t="e">
        <f>'RSM JULIO'!#REF!*-1</f>
        <v>#REF!</v>
      </c>
      <c r="D144">
        <f>'RSM JULIO'!AT131</f>
        <v>0</v>
      </c>
      <c r="E144" s="3" t="e">
        <f>'RSM JULIO'!#REF!</f>
        <v>#REF!</v>
      </c>
      <c r="F144" s="3" t="e">
        <f>'RSM JULIO'!#REF!</f>
        <v>#REF!</v>
      </c>
    </row>
    <row r="145" spans="2:6" x14ac:dyDescent="0.3">
      <c r="B145" t="str">
        <f>'RSM JULIO'!A168</f>
        <v>[ SAM - VLC ] - SAMBIL VALENCIA</v>
      </c>
      <c r="C145" s="3">
        <f>'RSM JULIO'!AR168*-1</f>
        <v>5480.071624700573</v>
      </c>
      <c r="D145">
        <f>'RSM JULIO'!AT179</f>
        <v>0</v>
      </c>
      <c r="E145" s="3" t="e">
        <f>'RSM JULIO'!#REF!</f>
        <v>#REF!</v>
      </c>
      <c r="F145" s="3" t="e">
        <f>'RSM JULIO'!#REF!</f>
        <v>#REF!</v>
      </c>
    </row>
    <row r="146" spans="2:6" x14ac:dyDescent="0.3">
      <c r="B146" t="str">
        <f>'RSM JULIO'!A161</f>
        <v>[ QTC ] - QUINTA CRESPO</v>
      </c>
      <c r="C146" s="3">
        <f>'RSM JULIO'!AR161*-1</f>
        <v>3532.1821946757482</v>
      </c>
      <c r="D146">
        <f>'RSM JULIO'!AT172</f>
        <v>0</v>
      </c>
      <c r="E146" s="3" t="e">
        <f>'RSM JULIO'!#REF!</f>
        <v>#REF!</v>
      </c>
      <c r="F146" s="3" t="e">
        <f>'RSM JULIO'!#REF!</f>
        <v>#REF!</v>
      </c>
    </row>
    <row r="147" spans="2:6" x14ac:dyDescent="0.3">
      <c r="B147" t="str">
        <f>'RSM JULIO'!A195</f>
        <v>[ TEQ ] - LOS TEQUES SHOP</v>
      </c>
      <c r="C147" s="3">
        <f>'RSM JULIO'!AR195*-1</f>
        <v>12142.435295243857</v>
      </c>
      <c r="D147">
        <f>'RSM JULIO'!AT223</f>
        <v>0</v>
      </c>
      <c r="E147" s="3" t="e">
        <f>'RSM JULIO'!#REF!</f>
        <v>#REF!</v>
      </c>
      <c r="F147" s="3" t="e">
        <f>'RSM JULIO'!#REF!</f>
        <v>#REF!</v>
      </c>
    </row>
    <row r="148" spans="2:6" x14ac:dyDescent="0.3">
      <c r="B148" t="str">
        <f>'RSM JULIO'!A129</f>
        <v>[ MVT - PCC ] - MOVISTAR PARQUE CENTRAL CANAIMA</v>
      </c>
      <c r="C148" s="3">
        <f>'RSM JULIO'!AR129*-1</f>
        <v>-922.91</v>
      </c>
      <c r="D148">
        <f>'RSM JULIO'!AT138</f>
        <v>0</v>
      </c>
      <c r="E148" s="3" t="e">
        <f>'RSM JULIO'!#REF!</f>
        <v>#REF!</v>
      </c>
      <c r="F148" s="3" t="e">
        <f>'RSM JULIO'!#REF!</f>
        <v>#REF!</v>
      </c>
    </row>
    <row r="149" spans="2:6" x14ac:dyDescent="0.3">
      <c r="B149" t="str">
        <f>'RSM JULIO'!A178</f>
        <v>[ SGO ] - SABANA GRANDE OUTLET</v>
      </c>
      <c r="C149" s="3">
        <f>'RSM JULIO'!AR178*-1</f>
        <v>7836.795641075847</v>
      </c>
      <c r="D149">
        <f>'RSM JULIO'!AT189</f>
        <v>0</v>
      </c>
      <c r="E149" s="3" t="e">
        <f>'RSM JULIO'!#REF!</f>
        <v>#REF!</v>
      </c>
      <c r="F149" s="3" t="e">
        <f>'RSM JULIO'!#REF!</f>
        <v>#REF!</v>
      </c>
    </row>
    <row r="150" spans="2:6" x14ac:dyDescent="0.3">
      <c r="B150" t="str">
        <f>'RSM JULIO'!A80</f>
        <v>[ EJD ] - EJIDO</v>
      </c>
      <c r="C150" s="3">
        <f>'RSM JULIO'!AR80*-1</f>
        <v>7033.2780093567089</v>
      </c>
      <c r="D150" t="e">
        <f>'RSM JULIO'!#REF!</f>
        <v>#REF!</v>
      </c>
      <c r="E150" s="3" t="e">
        <f>'RSM JULIO'!#REF!</f>
        <v>#REF!</v>
      </c>
      <c r="F150" s="3" t="e">
        <f>'RSM JULIO'!#REF!</f>
        <v>#REF!</v>
      </c>
    </row>
    <row r="151" spans="2:6" x14ac:dyDescent="0.3">
      <c r="B151" t="str">
        <f>'RSM JULIO'!A77</f>
        <v>[ DCA ] - DUACA</v>
      </c>
      <c r="C151" s="3">
        <f>'RSM JULIO'!AR77*-1</f>
        <v>7116.2076643506571</v>
      </c>
      <c r="D151" t="e">
        <f>'RSM JULIO'!#REF!</f>
        <v>#REF!</v>
      </c>
      <c r="E151" s="3" t="e">
        <f>'RSM JULIO'!#REF!</f>
        <v>#REF!</v>
      </c>
      <c r="F151" s="3" t="e">
        <f>'RSM JULIO'!#REF!</f>
        <v>#REF!</v>
      </c>
    </row>
    <row r="152" spans="2:6" x14ac:dyDescent="0.3">
      <c r="B152" t="str">
        <f>'RSM JULIO'!A102</f>
        <v>[ LBD ] - LA BANDERA</v>
      </c>
      <c r="C152" s="3">
        <f>'RSM JULIO'!AR102*-1</f>
        <v>4435.7771741455163</v>
      </c>
      <c r="D152">
        <f>'RSM JULIO'!AT110</f>
        <v>0</v>
      </c>
      <c r="E152" s="3" t="e">
        <f>'RSM JULIO'!#REF!</f>
        <v>#REF!</v>
      </c>
      <c r="F152" s="3" t="e">
        <f>'RSM JULIO'!#REF!</f>
        <v>#REF!</v>
      </c>
    </row>
    <row r="153" spans="2:6" x14ac:dyDescent="0.3">
      <c r="B153" t="str">
        <f>'RSM JULIO'!A174</f>
        <v>[ SCM ] - SAN CASIMIRO</v>
      </c>
      <c r="C153" s="3">
        <f>'RSM JULIO'!AR174*-1</f>
        <v>5253.7770504430082</v>
      </c>
      <c r="D153">
        <f>'RSM JULIO'!AT185</f>
        <v>0</v>
      </c>
      <c r="E153" s="3" t="e">
        <f>'RSM JULIO'!#REF!</f>
        <v>#REF!</v>
      </c>
      <c r="F153" s="3" t="e">
        <f>'RSM JULIO'!#REF!</f>
        <v>#REF!</v>
      </c>
    </row>
    <row r="154" spans="2:6" x14ac:dyDescent="0.3">
      <c r="B154" t="str">
        <f>'RSM JULIO'!A31</f>
        <v>[ CAG ] - CAGUA</v>
      </c>
      <c r="C154" s="3">
        <f>'RSM JULIO'!AR31*-1</f>
        <v>15290.767601791489</v>
      </c>
      <c r="D154">
        <f>'RSM JULIO'!AT37</f>
        <v>0</v>
      </c>
      <c r="E154" s="3" t="e">
        <f>'RSM JULIO'!#REF!</f>
        <v>#REF!</v>
      </c>
      <c r="F154" s="3" t="e">
        <f>'RSM JULIO'!#REF!</f>
        <v>#REF!</v>
      </c>
    </row>
    <row r="155" spans="2:6" x14ac:dyDescent="0.3">
      <c r="B155" t="str">
        <f>'RSM JULIO'!A141</f>
        <v>[ PDV - GUO ] - PDVSA GUARAGUO</v>
      </c>
      <c r="C155" s="3">
        <f>'RSM JULIO'!AR141*-1</f>
        <v>-183.98099999999999</v>
      </c>
      <c r="D155">
        <f>'RSM JULIO'!AT150</f>
        <v>0</v>
      </c>
      <c r="E155" s="3" t="e">
        <f>'RSM JULIO'!#REF!</f>
        <v>#REF!</v>
      </c>
      <c r="F155" s="3" t="e">
        <f>'RSM JULIO'!#REF!</f>
        <v>#REF!</v>
      </c>
    </row>
    <row r="156" spans="2:6" x14ac:dyDescent="0.3">
      <c r="B156" t="str">
        <f>'RSM JULIO'!A96</f>
        <v>[ GPT ] - GUASIPATI</v>
      </c>
      <c r="C156" s="3">
        <f>'RSM JULIO'!AR96*-1</f>
        <v>6524.1752395520707</v>
      </c>
      <c r="D156">
        <f>'RSM JULIO'!AT103</f>
        <v>0</v>
      </c>
      <c r="E156" s="3" t="e">
        <f>'RSM JULIO'!#REF!</f>
        <v>#REF!</v>
      </c>
      <c r="F156" s="3" t="e">
        <f>'RSM JULIO'!#REF!</f>
        <v>#REF!</v>
      </c>
    </row>
    <row r="157" spans="2:6" x14ac:dyDescent="0.3">
      <c r="B157" t="str">
        <f>'RSM JULIO'!A74</f>
        <v>[ CTU ] - CITY 1</v>
      </c>
      <c r="C157" s="3">
        <f>'RSM JULIO'!AR74*-1</f>
        <v>907.2794995998338</v>
      </c>
      <c r="D157" t="e">
        <f>'RSM JULIO'!#REF!</f>
        <v>#REF!</v>
      </c>
      <c r="E157" s="3" t="e">
        <f>'RSM JULIO'!#REF!</f>
        <v>#REF!</v>
      </c>
      <c r="F157" s="3" t="e">
        <f>'RSM JULIO'!#REF!</f>
        <v>#REF!</v>
      </c>
    </row>
    <row r="158" spans="2:6" x14ac:dyDescent="0.3">
      <c r="B158" t="str">
        <f>'RSM JULIO'!A130</f>
        <v>[ MVT - SCB ] MOVISTAR SAN CRISTÓBAL</v>
      </c>
      <c r="C158" s="3">
        <f>'RSM JULIO'!AR130*-1</f>
        <v>-385.77782808917232</v>
      </c>
      <c r="D158">
        <f>'RSM JULIO'!AT139</f>
        <v>0</v>
      </c>
      <c r="E158" s="3" t="e">
        <f>'RSM JULIO'!#REF!</f>
        <v>#REF!</v>
      </c>
      <c r="F158" s="3" t="e">
        <f>'RSM JULIO'!#REF!</f>
        <v>#REF!</v>
      </c>
    </row>
    <row r="159" spans="2:6" x14ac:dyDescent="0.3">
      <c r="B159" t="str">
        <f>'RSM JULIO'!A145</f>
        <v>[ PDV - PCD ] - PDVSA PETROCEDEÑO</v>
      </c>
      <c r="C159" s="3">
        <f>'RSM JULIO'!AR145*-1</f>
        <v>-64.493000000000009</v>
      </c>
      <c r="D159">
        <f>'RSM JULIO'!AT154</f>
        <v>0</v>
      </c>
      <c r="E159" s="3" t="e">
        <f>'RSM JULIO'!#REF!</f>
        <v>#REF!</v>
      </c>
      <c r="F159" s="3" t="e">
        <f>'RSM JULIO'!#REF!</f>
        <v>#REF!</v>
      </c>
    </row>
    <row r="160" spans="2:6" x14ac:dyDescent="0.3">
      <c r="B160" t="str">
        <f>'RSM JULIO'!A53</f>
        <v>[ CLP ] - CATIA LIFE PHONE</v>
      </c>
      <c r="C160" s="3">
        <f>'RSM JULIO'!AR53*-1</f>
        <v>12556.254910368225</v>
      </c>
      <c r="D160" t="e">
        <f>'RSM JULIO'!#REF!</f>
        <v>#REF!</v>
      </c>
      <c r="E160" s="3" t="e">
        <f>'RSM JULIO'!#REF!</f>
        <v>#REF!</v>
      </c>
      <c r="F160" s="3" t="e">
        <f>'RSM JULIO'!#REF!</f>
        <v>#REF!</v>
      </c>
    </row>
    <row r="161" spans="2:6" x14ac:dyDescent="0.3">
      <c r="B161" t="str">
        <f>'RSM JULIO'!A56</f>
        <v>[ CMO ] - COMERCIO</v>
      </c>
      <c r="C161" s="3">
        <f>'RSM JULIO'!AR56*-1</f>
        <v>6321.5576365978977</v>
      </c>
      <c r="D161" t="e">
        <f>'RSM JULIO'!#REF!</f>
        <v>#REF!</v>
      </c>
      <c r="E161" s="3" t="e">
        <f>'RSM JULIO'!#REF!</f>
        <v>#REF!</v>
      </c>
      <c r="F161" s="3" t="e">
        <f>'RSM JULIO'!#REF!</f>
        <v>#REF!</v>
      </c>
    </row>
    <row r="162" spans="2:6" x14ac:dyDescent="0.3">
      <c r="B162" t="str">
        <f>'RSM JULIO'!A94</f>
        <v>[ GNR ] - GUANARE</v>
      </c>
      <c r="C162" s="3">
        <f>'RSM JULIO'!AR94*-1</f>
        <v>12250.224348449679</v>
      </c>
      <c r="D162">
        <f>'RSM JULIO'!AT101</f>
        <v>0</v>
      </c>
      <c r="E162" s="3" t="e">
        <f>'RSM JULIO'!#REF!</f>
        <v>#REF!</v>
      </c>
      <c r="F162" s="3" t="e">
        <f>'RSM JULIO'!#REF!</f>
        <v>#REF!</v>
      </c>
    </row>
    <row r="163" spans="2:6" x14ac:dyDescent="0.3">
      <c r="B163" t="str">
        <f>'RSM JULIO'!A150</f>
        <v>[ PLS ] - PUERTO LA CRUZ SHOP</v>
      </c>
      <c r="C163" s="3">
        <f>'RSM JULIO'!AR150*-1</f>
        <v>15245.295661130483</v>
      </c>
      <c r="D163">
        <f>'RSM JULIO'!AT159</f>
        <v>0</v>
      </c>
      <c r="E163" s="3" t="e">
        <f>'RSM JULIO'!#REF!</f>
        <v>#REF!</v>
      </c>
      <c r="F163" s="3" t="e">
        <f>'RSM JULIO'!#REF!</f>
        <v>#REF!</v>
      </c>
    </row>
    <row r="164" spans="2:6" x14ac:dyDescent="0.3">
      <c r="B164" t="str">
        <f>'RSM JULIO'!A157</f>
        <v>[ PTC ] - PUERTO CABELLO</v>
      </c>
      <c r="C164" s="3">
        <f>'RSM JULIO'!AR157*-1</f>
        <v>22001.408666027237</v>
      </c>
      <c r="D164">
        <f>'RSM JULIO'!AT167</f>
        <v>0</v>
      </c>
      <c r="E164" s="3" t="e">
        <f>'RSM JULIO'!#REF!</f>
        <v>#REF!</v>
      </c>
      <c r="F164" s="3" t="e">
        <f>'RSM JULIO'!#REF!</f>
        <v>#REF!</v>
      </c>
    </row>
    <row r="165" spans="2:6" x14ac:dyDescent="0.3">
      <c r="B165" t="str">
        <f>'RSM JULIO'!A50</f>
        <v>[ CJP ] - CINCO DE JULIO</v>
      </c>
      <c r="C165" s="3">
        <f>'RSM JULIO'!AR50*-1</f>
        <v>10550.81294560033</v>
      </c>
      <c r="D165" t="e">
        <f>'RSM JULIO'!#REF!</f>
        <v>#REF!</v>
      </c>
      <c r="E165" s="3" t="e">
        <f>'RSM JULIO'!#REF!</f>
        <v>#REF!</v>
      </c>
      <c r="F165" s="3" t="e">
        <f>'RSM JULIO'!#REF!</f>
        <v>#REF!</v>
      </c>
    </row>
    <row r="166" spans="2:6" x14ac:dyDescent="0.3">
      <c r="B166" t="str">
        <f>'RSM JULIO'!A16</f>
        <v>[ BAC ] - BUENOS AIRES CANGURO</v>
      </c>
      <c r="C166" s="3">
        <f>'RSM JULIO'!AR16*-1</f>
        <v>6772.1969428220909</v>
      </c>
      <c r="D166" t="str">
        <f>'RSM JULIO'!AU21</f>
        <v>Gastos superiores a $7000</v>
      </c>
      <c r="E166" s="3" t="e">
        <f>'RSM JULIO'!#REF!</f>
        <v>#REF!</v>
      </c>
      <c r="F166" s="3" t="e">
        <f>'RSM JULIO'!#REF!</f>
        <v>#REF!</v>
      </c>
    </row>
    <row r="167" spans="2:6" x14ac:dyDescent="0.3">
      <c r="B167" t="str">
        <f>'RSM JULIO'!A184</f>
        <v>[ SRO ] - SAN RAFAEL DE ONOTO</v>
      </c>
      <c r="C167" s="3">
        <f>'RSM JULIO'!AR184*-1</f>
        <v>3760.353027707617</v>
      </c>
      <c r="D167">
        <f>'RSM JULIO'!AT195</f>
        <v>0</v>
      </c>
      <c r="E167" s="3" t="e">
        <f>'RSM JULIO'!#REF!</f>
        <v>#REF!</v>
      </c>
      <c r="F167" s="3" t="e">
        <f>'RSM JULIO'!#REF!</f>
        <v>#REF!</v>
      </c>
    </row>
    <row r="168" spans="2:6" x14ac:dyDescent="0.3">
      <c r="B168" t="str">
        <f>'RSM JULIO'!A155</f>
        <v>[ PSA ] - ACARIGUA</v>
      </c>
      <c r="C168" s="3">
        <f>'RSM JULIO'!AR155*-1</f>
        <v>13404.602285681474</v>
      </c>
      <c r="D168">
        <f>'RSM JULIO'!AT165</f>
        <v>0</v>
      </c>
      <c r="E168" s="3" t="e">
        <f>'RSM JULIO'!#REF!</f>
        <v>#REF!</v>
      </c>
      <c r="F168" s="3" t="e">
        <f>'RSM JULIO'!#REF!</f>
        <v>#REF!</v>
      </c>
    </row>
    <row r="169" spans="2:6" x14ac:dyDescent="0.3">
      <c r="B169" t="str">
        <f>'RSM JULIO'!A133</f>
        <v>[ NGT ] - NAIGUATA</v>
      </c>
      <c r="C169" s="3">
        <f>'RSM JULIO'!AR133*-1</f>
        <v>2706.038074329188</v>
      </c>
      <c r="D169">
        <f>'RSM JULIO'!AT142</f>
        <v>0</v>
      </c>
      <c r="E169" s="3" t="e">
        <f>'RSM JULIO'!#REF!</f>
        <v>#REF!</v>
      </c>
      <c r="F169" s="3" t="e">
        <f>'RSM JULIO'!#REF!</f>
        <v>#REF!</v>
      </c>
    </row>
    <row r="170" spans="2:6" x14ac:dyDescent="0.3">
      <c r="B170" t="str">
        <f>'RSM JULIO'!A68</f>
        <v>[ CTD ] - CITY 2</v>
      </c>
      <c r="C170" s="3">
        <f>'RSM JULIO'!AR68*-1</f>
        <v>3131.5779954957325</v>
      </c>
      <c r="D170" t="e">
        <f>'RSM JULIO'!#REF!</f>
        <v>#REF!</v>
      </c>
      <c r="E170" s="3" t="e">
        <f>'RSM JULIO'!#REF!</f>
        <v>#REF!</v>
      </c>
      <c r="F170" s="3" t="e">
        <f>'RSM JULIO'!#REF!</f>
        <v>#REF!</v>
      </c>
    </row>
    <row r="171" spans="2:6" x14ac:dyDescent="0.3">
      <c r="B171" t="str">
        <f>'RSM JULIO'!A43</f>
        <v>[ CDO ] - CEDENO</v>
      </c>
      <c r="C171" s="3">
        <f>'RSM JULIO'!AR43*-1</f>
        <v>12569.86875172205</v>
      </c>
      <c r="D171" t="e">
        <f>'RSM JULIO'!#REF!</f>
        <v>#REF!</v>
      </c>
      <c r="E171" s="3" t="e">
        <f>'RSM JULIO'!#REF!</f>
        <v>#REF!</v>
      </c>
      <c r="F171" s="3" t="e">
        <f>'RSM JULIO'!#REF!</f>
        <v>#REF!</v>
      </c>
    </row>
    <row r="172" spans="2:6" x14ac:dyDescent="0.3">
      <c r="B172" t="str">
        <f>'RSM JULIO'!A64</f>
        <v>[ CRR ] - CARORA</v>
      </c>
      <c r="C172" s="3">
        <f>'RSM JULIO'!AR64*-1</f>
        <v>21530.043380751493</v>
      </c>
      <c r="D172" t="e">
        <f>'RSM JULIO'!#REF!</f>
        <v>#REF!</v>
      </c>
      <c r="E172" s="3" t="e">
        <f>'RSM JULIO'!#REF!</f>
        <v>#REF!</v>
      </c>
      <c r="F172" s="3" t="e">
        <f>'RSM JULIO'!#REF!</f>
        <v>#REF!</v>
      </c>
    </row>
    <row r="173" spans="2:6" x14ac:dyDescent="0.3">
      <c r="B173" t="str">
        <f>'RSM JULIO'!A135</f>
        <v>[ ODA ] - CIUDAD OJEDA</v>
      </c>
      <c r="C173" s="3">
        <f>'RSM JULIO'!AR135*-1</f>
        <v>17860.259047317886</v>
      </c>
      <c r="D173">
        <f>'RSM JULIO'!AT144</f>
        <v>0</v>
      </c>
      <c r="E173" s="3" t="e">
        <f>'RSM JULIO'!#REF!</f>
        <v>#REF!</v>
      </c>
      <c r="F173" s="3" t="e">
        <f>'RSM JULIO'!#REF!</f>
        <v>#REF!</v>
      </c>
    </row>
    <row r="174" spans="2:6" x14ac:dyDescent="0.3">
      <c r="B174" t="str">
        <f>'RSM JULIO'!A37</f>
        <v>[ CCA ] - CENTRO COMERCIAL AVIADORES</v>
      </c>
      <c r="C174" s="3">
        <f>'RSM JULIO'!AR37*-1</f>
        <v>7963.5258623380741</v>
      </c>
      <c r="D174">
        <f>'RSM JULIO'!AT43</f>
        <v>0</v>
      </c>
      <c r="E174" s="3" t="e">
        <f>'RSM JULIO'!#REF!</f>
        <v>#REF!</v>
      </c>
      <c r="F174" s="3" t="e">
        <f>'RSM JULIO'!#REF!</f>
        <v>#REF!</v>
      </c>
    </row>
    <row r="175" spans="2:6" x14ac:dyDescent="0.3">
      <c r="B175" t="str">
        <f>'RSM JULIO'!A185</f>
        <v>[ STL ] - SANTA LUCIA</v>
      </c>
      <c r="C175" s="3">
        <f>'RSM JULIO'!AR185*-1</f>
        <v>9630.5799632559956</v>
      </c>
      <c r="D175">
        <f>'RSM JULIO'!AT196</f>
        <v>0</v>
      </c>
      <c r="E175" s="3" t="e">
        <f>'RSM JULIO'!#REF!</f>
        <v>#REF!</v>
      </c>
      <c r="F175" s="3" t="e">
        <f>'RSM JULIO'!#REF!</f>
        <v>#REF!</v>
      </c>
    </row>
    <row r="176" spans="2:6" x14ac:dyDescent="0.3">
      <c r="B176" t="str">
        <f>'RSM JULIO'!A61</f>
        <v>[ CPN ] - CARUPANO</v>
      </c>
      <c r="C176" s="3">
        <f>'RSM JULIO'!AR61*-1</f>
        <v>22583.263542992223</v>
      </c>
      <c r="D176" t="e">
        <f>'RSM JULIO'!#REF!</f>
        <v>#REF!</v>
      </c>
      <c r="E176" s="3" t="e">
        <f>'RSM JULIO'!#REF!</f>
        <v>#REF!</v>
      </c>
      <c r="F176" s="3" t="e">
        <f>'RSM JULIO'!#REF!</f>
        <v>#REF!</v>
      </c>
    </row>
    <row r="177" spans="2:6" x14ac:dyDescent="0.3">
      <c r="B177" t="str">
        <f>'RSM JULIO'!A83</f>
        <v>[ FAM ] - FLOR AMARILLO</v>
      </c>
      <c r="C177" s="3">
        <f>'RSM JULIO'!AR83*-1</f>
        <v>8613.8985340804884</v>
      </c>
      <c r="D177" t="e">
        <f>'RSM JULIO'!#REF!</f>
        <v>#REF!</v>
      </c>
      <c r="E177" s="3" t="e">
        <f>'RSM JULIO'!#REF!</f>
        <v>#REF!</v>
      </c>
      <c r="F177" s="3" t="e">
        <f>'RSM JULIO'!#REF!</f>
        <v>#REF!</v>
      </c>
    </row>
    <row r="178" spans="2:6" x14ac:dyDescent="0.3">
      <c r="B178" t="str">
        <f>'RSM JULIO'!A132</f>
        <v>[ NGA ] - NIRGUA</v>
      </c>
      <c r="C178" s="3">
        <f>'RSM JULIO'!AR132*-1</f>
        <v>11436.953788049846</v>
      </c>
      <c r="D178">
        <f>'RSM JULIO'!AT141</f>
        <v>0</v>
      </c>
      <c r="E178" s="3" t="e">
        <f>'RSM JULIO'!#REF!</f>
        <v>#REF!</v>
      </c>
      <c r="F178" s="3" t="e">
        <f>'RSM JULIO'!#REF!</f>
        <v>#REF!</v>
      </c>
    </row>
    <row r="179" spans="2:6" x14ac:dyDescent="0.3">
      <c r="B179" t="str">
        <f>'RSM JULIO'!A79</f>
        <v>[ ECM ] ECOMMERCE</v>
      </c>
      <c r="C179" s="3">
        <f>'RSM JULIO'!AR79*-1</f>
        <v>31945.587721529664</v>
      </c>
      <c r="D179" t="e">
        <f>'RSM JULIO'!#REF!</f>
        <v>#REF!</v>
      </c>
      <c r="E179" s="3" t="e">
        <f>'RSM JULIO'!#REF!</f>
        <v>#REF!</v>
      </c>
      <c r="F179" s="3" t="e">
        <f>'RSM JULIO'!#REF!</f>
        <v>#REF!</v>
      </c>
    </row>
    <row r="180" spans="2:6" x14ac:dyDescent="0.3">
      <c r="B180" t="str">
        <f>'RSM JULIO'!A3</f>
        <v>[ ACB ] - AV LIBERTADOR CIUDAD BOLIVAR</v>
      </c>
      <c r="C180" s="3">
        <f>'RSM JULIO'!AR3*-1</f>
        <v>5479.7111453401722</v>
      </c>
      <c r="D180" t="str">
        <f>'RSM JULIO'!BE6</f>
        <v>3- Monto ingresos en bs: Son todos los metodos de pago recibidos en VES (pago movil, biopago, efectivo bs , punto de venta, etc)  este dado es suministrado por la Gerencia de Cuentas por Pagar</v>
      </c>
      <c r="E180" s="3" t="e">
        <f>'RSM JULIO'!#REF!</f>
        <v>#REF!</v>
      </c>
      <c r="F180" s="3" t="e">
        <f>'RSM JULIO'!#REF!</f>
        <v>#REF!</v>
      </c>
    </row>
    <row r="181" spans="2:6" x14ac:dyDescent="0.3">
      <c r="B181" t="str">
        <f>'RSM JULIO'!A30</f>
        <v>[ BZU ] - BAZAR 1</v>
      </c>
      <c r="C181" s="3">
        <f>'RSM JULIO'!AR30*-1</f>
        <v>9686.6077403901581</v>
      </c>
      <c r="D181">
        <f>'RSM JULIO'!AT36</f>
        <v>0</v>
      </c>
      <c r="E181" s="3" t="e">
        <f>'RSM JULIO'!#REF!</f>
        <v>#REF!</v>
      </c>
      <c r="F181" s="3" t="e">
        <f>'RSM JULIO'!#REF!</f>
        <v>#REF!</v>
      </c>
    </row>
    <row r="182" spans="2:6" x14ac:dyDescent="0.3">
      <c r="B182" t="str">
        <f>'RSM JULIO'!A25</f>
        <v>[ BTA ] - BARUTA</v>
      </c>
      <c r="C182" s="3">
        <f>'RSM JULIO'!AR25*-1</f>
        <v>7632.0680696501877</v>
      </c>
      <c r="D182" t="str">
        <f>'RSM JULIO'!AU30</f>
        <v>[ BLS ] - BAILADORES</v>
      </c>
      <c r="E182" s="3" t="e">
        <f>'RSM JULIO'!#REF!</f>
        <v>#REF!</v>
      </c>
      <c r="F182" s="3" t="e">
        <f>'RSM JULIO'!#REF!</f>
        <v>#REF!</v>
      </c>
    </row>
    <row r="183" spans="2:6" x14ac:dyDescent="0.3">
      <c r="B183" t="str">
        <f>'RSM JULIO'!A51</f>
        <v>[ CLB ] - CALABOZO</v>
      </c>
      <c r="C183" s="3">
        <f>'RSM JULIO'!AR51*-1</f>
        <v>21558.907983121437</v>
      </c>
      <c r="D183" t="e">
        <f>'RSM JULIO'!#REF!</f>
        <v>#REF!</v>
      </c>
      <c r="E183" s="3" t="e">
        <f>'RSM JULIO'!#REF!</f>
        <v>#REF!</v>
      </c>
      <c r="F183" s="3" t="e">
        <f>'RSM JULIO'!#REF!</f>
        <v>#REF!</v>
      </c>
    </row>
    <row r="184" spans="2:6" x14ac:dyDescent="0.3">
      <c r="B184" t="str">
        <f>'RSM JULIO'!A182</f>
        <v>[ SNR ] - SANARE</v>
      </c>
      <c r="C184" s="3">
        <f>'RSM JULIO'!AR182*-1</f>
        <v>4347.461318767977</v>
      </c>
      <c r="D184">
        <f>'RSM JULIO'!AT193</f>
        <v>0</v>
      </c>
      <c r="E184" s="3" t="e">
        <f>'RSM JULIO'!#REF!</f>
        <v>#REF!</v>
      </c>
      <c r="F184" s="3" t="e">
        <f>'RSM JULIO'!#REF!</f>
        <v>#REF!</v>
      </c>
    </row>
    <row r="185" spans="2:6" x14ac:dyDescent="0.3">
      <c r="B185" t="str">
        <f>'RSM JULIO'!A165</f>
        <v>[ SAM - LAR ] - SAMBIL LARA</v>
      </c>
      <c r="C185" s="3">
        <f>'RSM JULIO'!AR165*-1</f>
        <v>19264.110284984803</v>
      </c>
      <c r="D185">
        <f>'RSM JULIO'!AT176</f>
        <v>0</v>
      </c>
      <c r="E185" s="3" t="e">
        <f>'RSM JULIO'!#REF!</f>
        <v>#REF!</v>
      </c>
      <c r="F185" s="3" t="e">
        <f>'RSM JULIO'!#REF!</f>
        <v>#REF!</v>
      </c>
    </row>
    <row r="186" spans="2:6" x14ac:dyDescent="0.3">
      <c r="B186" t="str">
        <f>'RSM JULIO'!A173</f>
        <v>[ SBZ ] - SANTA BARBARA DE ZULIA</v>
      </c>
      <c r="C186" s="3">
        <f>'RSM JULIO'!AR173*-1</f>
        <v>-315.95</v>
      </c>
      <c r="D186">
        <f>'RSM JULIO'!AT184</f>
        <v>0</v>
      </c>
      <c r="E186" s="3" t="e">
        <f>'RSM JULIO'!#REF!</f>
        <v>#REF!</v>
      </c>
      <c r="F186" s="3" t="e">
        <f>'RSM JULIO'!#REF!</f>
        <v>#REF!</v>
      </c>
    </row>
    <row r="187" spans="2:6" x14ac:dyDescent="0.3">
      <c r="B187" t="str">
        <f>'RSM JULIO'!A49</f>
        <v>[ CHV ] - CHARALLAVE</v>
      </c>
      <c r="C187" s="3">
        <f>'RSM JULIO'!AR49*-1</f>
        <v>26768.260356220737</v>
      </c>
      <c r="D187" t="e">
        <f>'RSM JULIO'!#REF!</f>
        <v>#REF!</v>
      </c>
      <c r="E187" s="3" t="e">
        <f>'RSM JULIO'!#REF!</f>
        <v>#REF!</v>
      </c>
      <c r="F187" s="3" t="e">
        <f>'RSM JULIO'!#REF!</f>
        <v>#REF!</v>
      </c>
    </row>
    <row r="188" spans="2:6" x14ac:dyDescent="0.3">
      <c r="B188" t="str">
        <f>'RSM JULIO'!A48</f>
        <v>[ CHI ] - CHIVACOA</v>
      </c>
      <c r="C188" s="3">
        <f>'RSM JULIO'!AR48*-1</f>
        <v>12565.229912186493</v>
      </c>
      <c r="D188" t="e">
        <f>'RSM JULIO'!#REF!</f>
        <v>#REF!</v>
      </c>
      <c r="E188" s="3" t="e">
        <f>'RSM JULIO'!#REF!</f>
        <v>#REF!</v>
      </c>
      <c r="F188" s="3" t="e">
        <f>'RSM JULIO'!#REF!</f>
        <v>#REF!</v>
      </c>
    </row>
    <row r="189" spans="2:6" x14ac:dyDescent="0.3">
      <c r="B189" t="str">
        <f>'RSM JULIO'!A28</f>
        <v>[ BZD ] - BAZAR 2</v>
      </c>
      <c r="C189" s="3">
        <f>'RSM JULIO'!AR28*-1</f>
        <v>19079.243889295769</v>
      </c>
      <c r="D189">
        <f>'RSM JULIO'!AT33</f>
        <v>0</v>
      </c>
      <c r="E189" s="3" t="e">
        <f>'RSM JULIO'!#REF!</f>
        <v>#REF!</v>
      </c>
      <c r="F189" s="3" t="e">
        <f>'RSM JULIO'!#REF!</f>
        <v>#REF!</v>
      </c>
    </row>
    <row r="190" spans="2:6" x14ac:dyDescent="0.3">
      <c r="B190" t="str">
        <f>'RSM JULIO'!A151</f>
        <v>[ PML ] - PLAZA MAYOR LECHERIA</v>
      </c>
      <c r="C190" s="3">
        <f>'RSM JULIO'!AR151*-1</f>
        <v>9496.5133917529165</v>
      </c>
      <c r="D190">
        <f>'RSM JULIO'!AT160</f>
        <v>0</v>
      </c>
      <c r="E190" s="3" t="e">
        <f>'RSM JULIO'!#REF!</f>
        <v>#REF!</v>
      </c>
      <c r="F190" s="3" t="e">
        <f>'RSM JULIO'!#REF!</f>
        <v>#REF!</v>
      </c>
    </row>
    <row r="191" spans="2:6" x14ac:dyDescent="0.3">
      <c r="B191" t="str">
        <f>'RSM JULIO'!A164</f>
        <v>[ SAM - CHA ] - SAMBIL CHACAO</v>
      </c>
      <c r="C191" s="3">
        <f>'RSM JULIO'!AR164*-1</f>
        <v>11637.010846047786</v>
      </c>
      <c r="D191">
        <f>'RSM JULIO'!AT175</f>
        <v>0</v>
      </c>
      <c r="E191" s="3" t="e">
        <f>'RSM JULIO'!#REF!</f>
        <v>#REF!</v>
      </c>
      <c r="F191" s="3" t="e">
        <f>'RSM JULIO'!#REF!</f>
        <v>#REF!</v>
      </c>
    </row>
    <row r="192" spans="2:6" x14ac:dyDescent="0.3">
      <c r="B192" t="str">
        <f>'RSM JULIO'!A105</f>
        <v>[ LMU ] - LA MARRON 1</v>
      </c>
      <c r="C192" s="3">
        <f>'RSM JULIO'!AR105*-1</f>
        <v>21959.044789841802</v>
      </c>
      <c r="D192">
        <f>'RSM JULIO'!AT113</f>
        <v>0</v>
      </c>
      <c r="E192" s="3" t="e">
        <f>'RSM JULIO'!#REF!</f>
        <v>#REF!</v>
      </c>
      <c r="F192" s="3" t="e">
        <f>'RSM JULIO'!#REF!</f>
        <v>#REF!</v>
      </c>
    </row>
    <row r="193" spans="2:6" x14ac:dyDescent="0.3">
      <c r="B193" t="str">
        <f>'RSM JULIO'!A115</f>
        <v>[ MKD ] - MACROCENTRO 2 SHOP</v>
      </c>
      <c r="C193" s="3">
        <f>'RSM JULIO'!AR115*-1</f>
        <v>15270.412424205784</v>
      </c>
      <c r="D193">
        <f>'RSM JULIO'!AT123</f>
        <v>0</v>
      </c>
      <c r="E193" s="3" t="e">
        <f>'RSM JULIO'!#REF!</f>
        <v>#REF!</v>
      </c>
      <c r="F193" s="3" t="e">
        <f>'RSM JULIO'!#REF!</f>
        <v>#REF!</v>
      </c>
    </row>
    <row r="194" spans="2:6" x14ac:dyDescent="0.3">
      <c r="B194" t="e">
        <f>'RSM JULIO'!#REF!</f>
        <v>#REF!</v>
      </c>
      <c r="C194" s="3" t="e">
        <f>'RSM JULIO'!#REF!*-1</f>
        <v>#REF!</v>
      </c>
      <c r="D194" t="e">
        <f>'RSM JULIO'!#REF!</f>
        <v>#REF!</v>
      </c>
      <c r="E194" s="3" t="e">
        <f>'RSM JULIO'!#REF!</f>
        <v>#REF!</v>
      </c>
      <c r="F194" s="3" t="e">
        <f>'RSM JULIO'!#REF!</f>
        <v>#REF!</v>
      </c>
    </row>
    <row r="195" spans="2:6" x14ac:dyDescent="0.3">
      <c r="B195" t="str">
        <f>'RSM JULIO'!A44</f>
        <v>[ CEN - MYR ] - CENDIS MAYOR</v>
      </c>
      <c r="C195" s="3">
        <f>'RSM JULIO'!AR44*-1</f>
        <v>1911.5352695293354</v>
      </c>
      <c r="D195" t="e">
        <f>'RSM JULIO'!#REF!</f>
        <v>#REF!</v>
      </c>
      <c r="E195" s="3" t="e">
        <f>'RSM JULIO'!#REF!</f>
        <v>#REF!</v>
      </c>
      <c r="F195" s="3" t="e">
        <f>'RSM JULIO'!#REF!</f>
        <v>#REF!</v>
      </c>
    </row>
    <row r="196" spans="2:6" x14ac:dyDescent="0.3">
      <c r="B196" t="str">
        <f>'RSM JULIO'!A20</f>
        <v>[ BCO ] - BOCONO</v>
      </c>
      <c r="C196" s="3">
        <f>'RSM JULIO'!AR20*-1</f>
        <v>5429.4547211085337</v>
      </c>
      <c r="D196">
        <f>'RSM JULIO'!AT25</f>
        <v>0</v>
      </c>
      <c r="E196" s="3" t="e">
        <f>'RSM JULIO'!#REF!</f>
        <v>#REF!</v>
      </c>
      <c r="F196" s="3" t="e">
        <f>'RSM JULIO'!#REF!</f>
        <v>#REF!</v>
      </c>
    </row>
    <row r="197" spans="2:6" x14ac:dyDescent="0.3">
      <c r="B197" t="str">
        <f>'RSM JULIO'!A136</f>
        <v>[ OPO ] - OSPINO</v>
      </c>
      <c r="C197" s="3">
        <f>'RSM JULIO'!AR136*-1</f>
        <v>3060.0151188458949</v>
      </c>
      <c r="D197">
        <f>'RSM JULIO'!AT145</f>
        <v>0</v>
      </c>
      <c r="E197" s="3" t="e">
        <f>'RSM JULIO'!#REF!</f>
        <v>#REF!</v>
      </c>
      <c r="F197" s="3" t="e">
        <f>'RSM JULIO'!#REF!</f>
        <v>#REF!</v>
      </c>
    </row>
    <row r="198" spans="2:6" x14ac:dyDescent="0.3">
      <c r="B198" t="str">
        <f>'RSM JULIO'!A45</f>
        <v>[ CEN - SWM ] - CENDIS SHOWROOM</v>
      </c>
      <c r="C198" s="3">
        <f>'RSM JULIO'!AR45*-1</f>
        <v>695.89594466537028</v>
      </c>
      <c r="D198" t="e">
        <f>'RSM JULIO'!#REF!</f>
        <v>#REF!</v>
      </c>
      <c r="E198" s="3" t="e">
        <f>'RSM JULIO'!#REF!</f>
        <v>#REF!</v>
      </c>
      <c r="F198" s="3" t="e">
        <f>'RSM JULIO'!#REF!</f>
        <v>#REF!</v>
      </c>
    </row>
    <row r="199" spans="2:6" x14ac:dyDescent="0.3">
      <c r="B199" t="str">
        <f>'RSM JULIO'!A190</f>
        <v>[ TCD ] - TUCUPIDO</v>
      </c>
      <c r="C199" s="3">
        <f>'RSM JULIO'!AR190*-1</f>
        <v>9662.9017414341888</v>
      </c>
      <c r="D199">
        <f>'RSM JULIO'!AT218</f>
        <v>0</v>
      </c>
      <c r="E199" s="3" t="e">
        <f>'RSM JULIO'!#REF!</f>
        <v>#REF!</v>
      </c>
      <c r="F199" s="3" t="e">
        <f>'RSM JULIO'!#REF!</f>
        <v>#REF!</v>
      </c>
    </row>
    <row r="200" spans="2:6" x14ac:dyDescent="0.3">
      <c r="B200" t="str">
        <f>'RSM JULIO'!A142</f>
        <v>[ PDV - LCP ] - PDVSA LA CAMPIÑA</v>
      </c>
      <c r="C200" s="3">
        <f>'RSM JULIO'!AR142*-1</f>
        <v>0</v>
      </c>
      <c r="D200">
        <f>'RSM JULIO'!AT151</f>
        <v>0</v>
      </c>
      <c r="E200" s="3" t="e">
        <f>'RSM JULIO'!#REF!</f>
        <v>#REF!</v>
      </c>
      <c r="F200" s="3" t="e">
        <f>'RSM JULIO'!#REF!</f>
        <v>#REF!</v>
      </c>
    </row>
    <row r="201" spans="2:6" x14ac:dyDescent="0.3">
      <c r="B201" t="str">
        <f>'RSM JULIO'!A46</f>
        <v>[ CHA ] - CHACAO</v>
      </c>
      <c r="C201" s="3">
        <f>'RSM JULIO'!AR46*-1</f>
        <v>11314.060853298497</v>
      </c>
      <c r="D201" t="e">
        <f>'RSM JULIO'!#REF!</f>
        <v>#REF!</v>
      </c>
      <c r="E201" s="3" t="e">
        <f>'RSM JULIO'!#REF!</f>
        <v>#REF!</v>
      </c>
      <c r="F201" s="3" t="e">
        <f>'RSM JULIO'!#REF!</f>
        <v>#REF!</v>
      </c>
    </row>
    <row r="202" spans="2:6" x14ac:dyDescent="0.3">
      <c r="B202" t="str">
        <f>'RSM JULIO'!A118</f>
        <v>[ MOC ] - CANGURO MOVIL</v>
      </c>
      <c r="C202" s="3">
        <f>'RSM JULIO'!AR118*-1</f>
        <v>-73.849999999999994</v>
      </c>
      <c r="D202" t="e">
        <f>'RSM JULIO'!#REF!</f>
        <v>#REF!</v>
      </c>
      <c r="E202" s="3" t="e">
        <f>'RSM JULIO'!#REF!</f>
        <v>#REF!</v>
      </c>
      <c r="F202" s="3" t="e">
        <f>'RSM JULIO'!#REF!</f>
        <v>#REF!</v>
      </c>
    </row>
    <row r="203" spans="2:6" x14ac:dyDescent="0.3">
      <c r="B203" t="str">
        <f>'RSM JULIO'!A169</f>
        <v>[ SAM - ZUL ] - SAMBIL ZULIA</v>
      </c>
      <c r="C203" s="3">
        <f>'RSM JULIO'!AR169*-1</f>
        <v>6011.5506648510927</v>
      </c>
      <c r="D203">
        <f>'RSM JULIO'!AT180</f>
        <v>0</v>
      </c>
      <c r="E203" s="3" t="e">
        <f>'RSM JULIO'!#REF!</f>
        <v>#REF!</v>
      </c>
      <c r="F203" s="3" t="e">
        <f>'RSM JULIO'!#REF!</f>
        <v>#REF!</v>
      </c>
    </row>
    <row r="204" spans="2:6" x14ac:dyDescent="0.3">
      <c r="B204" t="str">
        <f>'RSM JULIO'!A120</f>
        <v>[ MRN ] - MORON</v>
      </c>
      <c r="C204" s="3">
        <f>'RSM JULIO'!AR120*-1</f>
        <v>10598.372409890973</v>
      </c>
      <c r="D204">
        <f>'RSM JULIO'!AT126</f>
        <v>0</v>
      </c>
      <c r="E204" s="3" t="e">
        <f>'RSM JULIO'!#REF!</f>
        <v>#REF!</v>
      </c>
      <c r="F204" s="3" t="e">
        <f>'RSM JULIO'!#REF!</f>
        <v>#REF!</v>
      </c>
    </row>
    <row r="205" spans="2:6" x14ac:dyDescent="0.3">
      <c r="B205" t="str">
        <f>'RSM JULIO'!A154</f>
        <v>[ PRT ] - PUERTO PIRITU</v>
      </c>
      <c r="C205" s="3">
        <f>'RSM JULIO'!AR154*-1</f>
        <v>11551.687472475653</v>
      </c>
      <c r="D205">
        <f>'RSM JULIO'!AT163</f>
        <v>0</v>
      </c>
      <c r="E205" s="3" t="e">
        <f>'RSM JULIO'!#REF!</f>
        <v>#REF!</v>
      </c>
      <c r="F205" s="3" t="e">
        <f>'RSM JULIO'!#REF!</f>
        <v>#REF!</v>
      </c>
    </row>
  </sheetData>
  <autoFilter ref="B5:F5" xr:uid="{590A8FE3-A124-4B45-95F9-E006A9C2C36C}">
    <sortState xmlns:xlrd2="http://schemas.microsoft.com/office/spreadsheetml/2017/richdata2" ref="B6:F205">
      <sortCondition ref="C5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500A-9D98-48C2-873E-0A69C4289FBF}">
  <dimension ref="A3:HH11"/>
  <sheetViews>
    <sheetView workbookViewId="0">
      <selection activeCell="C10" sqref="C10"/>
    </sheetView>
  </sheetViews>
  <sheetFormatPr baseColWidth="10" defaultRowHeight="14.4" x14ac:dyDescent="0.3"/>
  <cols>
    <col min="1" max="1" width="26.33203125" bestFit="1" customWidth="1"/>
    <col min="2" max="2" width="26.33203125" customWidth="1"/>
    <col min="3" max="3" width="29.33203125" bestFit="1" customWidth="1"/>
    <col min="4" max="4" width="25.5546875" bestFit="1" customWidth="1"/>
    <col min="5" max="5" width="43.6640625" bestFit="1" customWidth="1"/>
    <col min="6" max="6" width="28.44140625" bestFit="1" customWidth="1"/>
    <col min="7" max="7" width="24.5546875" bestFit="1" customWidth="1"/>
    <col min="8" max="8" width="51.6640625" bestFit="1" customWidth="1"/>
    <col min="9" max="9" width="47.33203125" bestFit="1" customWidth="1"/>
    <col min="10" max="10" width="35.33203125" bestFit="1" customWidth="1"/>
    <col min="11" max="11" width="42.33203125" bestFit="1" customWidth="1"/>
    <col min="12" max="12" width="28.5546875" bestFit="1" customWidth="1"/>
    <col min="13" max="13" width="39.33203125" bestFit="1" customWidth="1"/>
    <col min="14" max="14" width="30.33203125" bestFit="1" customWidth="1"/>
    <col min="15" max="15" width="28" bestFit="1" customWidth="1"/>
    <col min="16" max="16" width="25.44140625" bestFit="1" customWidth="1"/>
    <col min="17" max="17" width="32.33203125" bestFit="1" customWidth="1"/>
    <col min="18" max="18" width="30.33203125" bestFit="1" customWidth="1"/>
    <col min="19" max="19" width="25.33203125" bestFit="1" customWidth="1"/>
    <col min="20" max="20" width="44.33203125" bestFit="1" customWidth="1"/>
    <col min="21" max="22" width="25.6640625" bestFit="1" customWidth="1"/>
    <col min="23" max="23" width="25.33203125" bestFit="1" customWidth="1"/>
    <col min="24" max="24" width="25.5546875" bestFit="1" customWidth="1"/>
    <col min="25" max="25" width="25.44140625" bestFit="1" customWidth="1"/>
    <col min="26" max="26" width="23.6640625" bestFit="1" customWidth="1"/>
    <col min="27" max="27" width="27.33203125" bestFit="1" customWidth="1"/>
    <col min="28" max="28" width="31.6640625" bestFit="1" customWidth="1"/>
    <col min="29" max="29" width="29" bestFit="1" customWidth="1"/>
    <col min="30" max="30" width="34.44140625" bestFit="1" customWidth="1"/>
    <col min="31" max="32" width="41.33203125" bestFit="1" customWidth="1"/>
    <col min="33" max="33" width="40.5546875" bestFit="1" customWidth="1"/>
    <col min="34" max="34" width="33.44140625" bestFit="1" customWidth="1"/>
    <col min="35" max="35" width="27.33203125" bestFit="1" customWidth="1"/>
    <col min="36" max="36" width="27" bestFit="1" customWidth="1"/>
    <col min="37" max="37" width="34" bestFit="1" customWidth="1"/>
    <col min="38" max="38" width="28.33203125" bestFit="1" customWidth="1"/>
    <col min="39" max="39" width="31" bestFit="1" customWidth="1"/>
    <col min="40" max="40" width="33.33203125" bestFit="1" customWidth="1"/>
    <col min="41" max="41" width="28.44140625" bestFit="1" customWidth="1"/>
    <col min="42" max="42" width="25.5546875" bestFit="1" customWidth="1"/>
    <col min="43" max="43" width="35.33203125" bestFit="1" customWidth="1"/>
    <col min="44" max="44" width="23.33203125" bestFit="1" customWidth="1"/>
    <col min="45" max="45" width="29.6640625" bestFit="1" customWidth="1"/>
    <col min="46" max="46" width="31.33203125" bestFit="1" customWidth="1"/>
    <col min="47" max="47" width="33.33203125" bestFit="1" customWidth="1"/>
    <col min="48" max="48" width="30.6640625" bestFit="1" customWidth="1"/>
    <col min="49" max="49" width="24.6640625" bestFit="1" customWidth="1"/>
    <col min="50" max="50" width="29.44140625" bestFit="1" customWidth="1"/>
    <col min="51" max="51" width="25.5546875" bestFit="1" customWidth="1"/>
    <col min="52" max="52" width="26.6640625" bestFit="1" customWidth="1"/>
    <col min="53" max="53" width="27.33203125" bestFit="1" customWidth="1"/>
    <col min="54" max="54" width="34" bestFit="1" customWidth="1"/>
    <col min="55" max="55" width="28.5546875" bestFit="1" customWidth="1"/>
    <col min="56" max="57" width="24.44140625" bestFit="1" customWidth="1"/>
    <col min="58" max="58" width="28" bestFit="1" customWidth="1"/>
    <col min="59" max="59" width="31.44140625" bestFit="1" customWidth="1"/>
    <col min="60" max="60" width="31.33203125" bestFit="1" customWidth="1"/>
    <col min="61" max="61" width="24" bestFit="1" customWidth="1"/>
    <col min="62" max="62" width="24.33203125" bestFit="1" customWidth="1"/>
    <col min="63" max="63" width="32.5546875" bestFit="1" customWidth="1"/>
    <col min="64" max="64" width="29.5546875" bestFit="1" customWidth="1"/>
    <col min="65" max="65" width="25.44140625" bestFit="1" customWidth="1"/>
    <col min="66" max="66" width="30.33203125" bestFit="1" customWidth="1"/>
    <col min="67" max="67" width="23.5546875" bestFit="1" customWidth="1"/>
    <col min="68" max="68" width="25.33203125" bestFit="1" customWidth="1"/>
    <col min="69" max="69" width="33.33203125" bestFit="1" customWidth="1"/>
    <col min="70" max="70" width="32.44140625" bestFit="1" customWidth="1"/>
    <col min="71" max="71" width="43.6640625" bestFit="1" customWidth="1"/>
    <col min="72" max="72" width="37.6640625" bestFit="1" customWidth="1"/>
    <col min="73" max="73" width="35.33203125" bestFit="1" customWidth="1"/>
    <col min="74" max="74" width="39.33203125" bestFit="1" customWidth="1"/>
    <col min="75" max="75" width="47.44140625" bestFit="1" customWidth="1"/>
    <col min="76" max="76" width="30.6640625" bestFit="1" customWidth="1"/>
    <col min="77" max="77" width="27.6640625" bestFit="1" customWidth="1"/>
    <col min="78" max="78" width="26" bestFit="1" customWidth="1"/>
    <col min="79" max="79" width="30.33203125" bestFit="1" customWidth="1"/>
    <col min="80" max="80" width="28" bestFit="1" customWidth="1"/>
    <col min="81" max="81" width="26.33203125" bestFit="1" customWidth="1"/>
    <col min="82" max="82" width="28" bestFit="1" customWidth="1"/>
    <col min="83" max="83" width="29" bestFit="1" customWidth="1"/>
    <col min="84" max="84" width="26.44140625" bestFit="1" customWidth="1"/>
    <col min="85" max="85" width="31.33203125" bestFit="1" customWidth="1"/>
    <col min="86" max="86" width="29.6640625" bestFit="1" customWidth="1"/>
    <col min="87" max="87" width="34.33203125" bestFit="1" customWidth="1"/>
    <col min="88" max="88" width="30" bestFit="1" customWidth="1"/>
    <col min="89" max="89" width="28" bestFit="1" customWidth="1"/>
    <col min="90" max="90" width="26.6640625" bestFit="1" customWidth="1"/>
    <col min="91" max="91" width="31.33203125" bestFit="1" customWidth="1"/>
    <col min="92" max="92" width="29.6640625" bestFit="1" customWidth="1"/>
    <col min="93" max="93" width="30.6640625" bestFit="1" customWidth="1"/>
    <col min="94" max="94" width="28" bestFit="1" customWidth="1"/>
    <col min="95" max="95" width="35.6640625" bestFit="1" customWidth="1"/>
    <col min="96" max="96" width="47.33203125" bestFit="1" customWidth="1"/>
    <col min="97" max="97" width="35.44140625" bestFit="1" customWidth="1"/>
    <col min="98" max="98" width="38.33203125" bestFit="1" customWidth="1"/>
    <col min="99" max="99" width="33.6640625" bestFit="1" customWidth="1"/>
    <col min="100" max="100" width="25" bestFit="1" customWidth="1"/>
    <col min="101" max="101" width="41.33203125" bestFit="1" customWidth="1"/>
    <col min="102" max="103" width="35.33203125" bestFit="1" customWidth="1"/>
    <col min="104" max="104" width="43" bestFit="1" customWidth="1"/>
    <col min="105" max="105" width="26.44140625" bestFit="1" customWidth="1"/>
    <col min="106" max="106" width="29" bestFit="1" customWidth="1"/>
    <col min="107" max="107" width="30.5546875" bestFit="1" customWidth="1"/>
    <col min="108" max="108" width="33.44140625" bestFit="1" customWidth="1"/>
    <col min="109" max="109" width="44" bestFit="1" customWidth="1"/>
    <col min="110" max="110" width="52.5546875" bestFit="1" customWidth="1"/>
    <col min="111" max="111" width="44" bestFit="1" customWidth="1"/>
    <col min="112" max="112" width="44.33203125" bestFit="1" customWidth="1"/>
    <col min="113" max="113" width="40.33203125" bestFit="1" customWidth="1"/>
    <col min="114" max="114" width="60.33203125" bestFit="1" customWidth="1"/>
    <col min="115" max="115" width="48.33203125" bestFit="1" customWidth="1"/>
    <col min="116" max="116" width="45.44140625" bestFit="1" customWidth="1"/>
    <col min="117" max="117" width="28" bestFit="1" customWidth="1"/>
    <col min="118" max="118" width="36.33203125" bestFit="1" customWidth="1"/>
    <col min="119" max="119" width="32.6640625" bestFit="1" customWidth="1"/>
    <col min="120" max="120" width="26.33203125" bestFit="1" customWidth="1"/>
    <col min="121" max="121" width="27.6640625" bestFit="1" customWidth="1"/>
    <col min="122" max="122" width="27" bestFit="1" customWidth="1"/>
    <col min="123" max="123" width="33.6640625" bestFit="1" customWidth="1"/>
    <col min="124" max="124" width="40" bestFit="1" customWidth="1"/>
    <col min="125" max="125" width="41.6640625" bestFit="1" customWidth="1"/>
    <col min="126" max="126" width="42" bestFit="1" customWidth="1"/>
    <col min="127" max="127" width="38.33203125" bestFit="1" customWidth="1"/>
    <col min="128" max="128" width="39.6640625" bestFit="1" customWidth="1"/>
    <col min="129" max="129" width="45.5546875" bestFit="1" customWidth="1"/>
    <col min="130" max="130" width="39.44140625" bestFit="1" customWidth="1"/>
    <col min="131" max="131" width="39.6640625" bestFit="1" customWidth="1"/>
    <col min="132" max="132" width="35.33203125" bestFit="1" customWidth="1"/>
    <col min="133" max="133" width="29.33203125" bestFit="1" customWidth="1"/>
    <col min="134" max="134" width="30.5546875" bestFit="1" customWidth="1"/>
    <col min="135" max="135" width="39.5546875" bestFit="1" customWidth="1"/>
    <col min="136" max="136" width="41.33203125" bestFit="1" customWidth="1"/>
    <col min="137" max="137" width="28.5546875" bestFit="1" customWidth="1"/>
    <col min="138" max="138" width="29.5546875" bestFit="1" customWidth="1"/>
    <col min="139" max="139" width="32.33203125" bestFit="1" customWidth="1"/>
    <col min="140" max="140" width="27.6640625" bestFit="1" customWidth="1"/>
    <col min="141" max="141" width="36.6640625" bestFit="1" customWidth="1"/>
    <col min="142" max="142" width="34.6640625" bestFit="1" customWidth="1"/>
    <col min="143" max="143" width="26.44140625" bestFit="1" customWidth="1"/>
    <col min="144" max="144" width="26.6640625" bestFit="1" customWidth="1"/>
    <col min="145" max="145" width="26" bestFit="1" customWidth="1"/>
    <col min="146" max="146" width="34" bestFit="1" customWidth="1"/>
    <col min="147" max="147" width="29.33203125" bestFit="1" customWidth="1"/>
    <col min="148" max="148" width="43.44140625" bestFit="1" customWidth="1"/>
    <col min="149" max="149" width="39.6640625" bestFit="1" customWidth="1"/>
    <col min="150" max="150" width="35.6640625" bestFit="1" customWidth="1"/>
    <col min="151" max="151" width="42.44140625" bestFit="1" customWidth="1"/>
    <col min="152" max="152" width="41.6640625" bestFit="1" customWidth="1"/>
    <col min="153" max="153" width="40.44140625" bestFit="1" customWidth="1"/>
    <col min="154" max="154" width="36" bestFit="1" customWidth="1"/>
    <col min="155" max="155" width="33.33203125" bestFit="1" customWidth="1"/>
    <col min="156" max="156" width="30.5546875" bestFit="1" customWidth="1"/>
    <col min="157" max="157" width="31.6640625" bestFit="1" customWidth="1"/>
    <col min="158" max="158" width="33.6640625" bestFit="1" customWidth="1"/>
    <col min="159" max="159" width="26.6640625" bestFit="1" customWidth="1"/>
    <col min="160" max="160" width="41.44140625" bestFit="1" customWidth="1"/>
    <col min="161" max="161" width="27.33203125" bestFit="1" customWidth="1"/>
    <col min="162" max="162" width="42.33203125" bestFit="1" customWidth="1"/>
    <col min="163" max="163" width="43.33203125" bestFit="1" customWidth="1"/>
    <col min="164" max="164" width="35.6640625" bestFit="1" customWidth="1"/>
    <col min="165" max="165" width="34.44140625" bestFit="1" customWidth="1"/>
    <col min="166" max="166" width="26.33203125" bestFit="1" customWidth="1"/>
    <col min="167" max="167" width="27.6640625" bestFit="1" customWidth="1"/>
    <col min="168" max="168" width="30" bestFit="1" customWidth="1"/>
    <col min="169" max="169" width="36.6640625" bestFit="1" customWidth="1"/>
    <col min="170" max="170" width="39.5546875" bestFit="1" customWidth="1"/>
    <col min="171" max="171" width="29.6640625" bestFit="1" customWidth="1"/>
    <col min="172" max="172" width="27.44140625" bestFit="1" customWidth="1"/>
    <col min="173" max="173" width="28.5546875" bestFit="1" customWidth="1"/>
    <col min="174" max="174" width="26.5546875" bestFit="1" customWidth="1"/>
    <col min="175" max="175" width="27.44140625" bestFit="1" customWidth="1"/>
    <col min="176" max="176" width="27.6640625" bestFit="1" customWidth="1"/>
    <col min="177" max="177" width="34.44140625" bestFit="1" customWidth="1"/>
    <col min="178" max="178" width="35.5546875" bestFit="1" customWidth="1"/>
    <col min="179" max="179" width="28.6640625" bestFit="1" customWidth="1"/>
    <col min="180" max="180" width="29.6640625" bestFit="1" customWidth="1"/>
    <col min="181" max="181" width="26.5546875" bestFit="1" customWidth="1"/>
    <col min="182" max="182" width="26" bestFit="1" customWidth="1"/>
    <col min="183" max="183" width="37.6640625" bestFit="1" customWidth="1"/>
    <col min="184" max="184" width="28" bestFit="1" customWidth="1"/>
    <col min="185" max="185" width="29.44140625" bestFit="1" customWidth="1"/>
    <col min="186" max="186" width="44.6640625" bestFit="1" customWidth="1"/>
    <col min="187" max="187" width="29.6640625" bestFit="1" customWidth="1"/>
    <col min="188" max="188" width="24.6640625" bestFit="1" customWidth="1"/>
    <col min="189" max="189" width="31.33203125" bestFit="1" customWidth="1"/>
    <col min="190" max="190" width="25.33203125" bestFit="1" customWidth="1"/>
    <col min="191" max="191" width="24.33203125" bestFit="1" customWidth="1"/>
    <col min="192" max="192" width="34.6640625" bestFit="1" customWidth="1"/>
    <col min="193" max="193" width="31.6640625" bestFit="1" customWidth="1"/>
    <col min="194" max="194" width="28" bestFit="1" customWidth="1"/>
    <col min="195" max="195" width="32.5546875" bestFit="1" customWidth="1"/>
    <col min="196" max="196" width="37.6640625" bestFit="1" customWidth="1"/>
    <col min="197" max="197" width="26.33203125" bestFit="1" customWidth="1"/>
    <col min="198" max="198" width="22.6640625" bestFit="1" customWidth="1"/>
    <col min="199" max="199" width="26.33203125" bestFit="1" customWidth="1"/>
    <col min="200" max="200" width="29.5546875" bestFit="1" customWidth="1"/>
    <col min="201" max="202" width="28.6640625" bestFit="1" customWidth="1"/>
    <col min="203" max="203" width="25.33203125" bestFit="1" customWidth="1"/>
    <col min="204" max="204" width="16.6640625" bestFit="1" customWidth="1"/>
    <col min="205" max="205" width="46.6640625" bestFit="1" customWidth="1"/>
    <col min="206" max="206" width="26.33203125" bestFit="1" customWidth="1"/>
    <col min="207" max="207" width="41" bestFit="1" customWidth="1"/>
    <col min="208" max="208" width="13" bestFit="1" customWidth="1"/>
    <col min="209" max="209" width="49.6640625" bestFit="1" customWidth="1"/>
    <col min="210" max="210" width="44.6640625" bestFit="1" customWidth="1"/>
    <col min="211" max="211" width="49.44140625" bestFit="1" customWidth="1"/>
    <col min="212" max="212" width="41" bestFit="1" customWidth="1"/>
    <col min="213" max="213" width="24.6640625" bestFit="1" customWidth="1"/>
    <col min="214" max="214" width="34.6640625" bestFit="1" customWidth="1"/>
    <col min="215" max="215" width="40.33203125" bestFit="1" customWidth="1"/>
    <col min="216" max="216" width="24.5546875" bestFit="1" customWidth="1"/>
    <col min="217" max="217" width="13.44140625" bestFit="1" customWidth="1"/>
    <col min="218" max="218" width="18.6640625" bestFit="1" customWidth="1"/>
    <col min="219" max="219" width="28.44140625" bestFit="1" customWidth="1"/>
    <col min="220" max="220" width="18.6640625" bestFit="1" customWidth="1"/>
    <col min="221" max="221" width="47.44140625" bestFit="1" customWidth="1"/>
    <col min="222" max="222" width="18.6640625" bestFit="1" customWidth="1"/>
    <col min="223" max="223" width="36.6640625" bestFit="1" customWidth="1"/>
    <col min="224" max="224" width="18.6640625" bestFit="1" customWidth="1"/>
    <col min="225" max="225" width="34.33203125" bestFit="1" customWidth="1"/>
    <col min="226" max="228" width="18.6640625" bestFit="1" customWidth="1"/>
    <col min="229" max="229" width="25.5546875" bestFit="1" customWidth="1"/>
    <col min="230" max="230" width="18.6640625" bestFit="1" customWidth="1"/>
    <col min="231" max="231" width="22.44140625" bestFit="1" customWidth="1"/>
    <col min="232" max="238" width="18.6640625" bestFit="1" customWidth="1"/>
    <col min="239" max="239" width="23.44140625" bestFit="1" customWidth="1"/>
    <col min="240" max="240" width="18.6640625" bestFit="1" customWidth="1"/>
    <col min="241" max="241" width="29.33203125" bestFit="1" customWidth="1"/>
    <col min="242" max="242" width="18.6640625" bestFit="1" customWidth="1"/>
    <col min="243" max="243" width="30.6640625" bestFit="1" customWidth="1"/>
    <col min="244" max="244" width="18.6640625" bestFit="1" customWidth="1"/>
    <col min="245" max="245" width="31.33203125" bestFit="1" customWidth="1"/>
    <col min="246" max="246" width="18.6640625" bestFit="1" customWidth="1"/>
    <col min="247" max="247" width="27.5546875" bestFit="1" customWidth="1"/>
    <col min="248" max="248" width="18.6640625" bestFit="1" customWidth="1"/>
    <col min="249" max="249" width="29.33203125" bestFit="1" customWidth="1"/>
    <col min="250" max="250" width="18.6640625" bestFit="1" customWidth="1"/>
    <col min="251" max="251" width="34" bestFit="1" customWidth="1"/>
    <col min="252" max="252" width="18.6640625" bestFit="1" customWidth="1"/>
    <col min="253" max="253" width="28.6640625" bestFit="1" customWidth="1"/>
    <col min="254" max="254" width="18.6640625" bestFit="1" customWidth="1"/>
    <col min="255" max="255" width="28.6640625" bestFit="1" customWidth="1"/>
    <col min="256" max="256" width="18.6640625" bestFit="1" customWidth="1"/>
    <col min="257" max="257" width="25.33203125" bestFit="1" customWidth="1"/>
    <col min="258" max="258" width="18.6640625" bestFit="1" customWidth="1"/>
    <col min="259" max="259" width="19.44140625" bestFit="1" customWidth="1"/>
    <col min="260" max="260" width="18.6640625" bestFit="1" customWidth="1"/>
    <col min="261" max="261" width="20.44140625" bestFit="1" customWidth="1"/>
    <col min="262" max="262" width="18.6640625" bestFit="1" customWidth="1"/>
    <col min="263" max="263" width="28.6640625" bestFit="1" customWidth="1"/>
    <col min="264" max="264" width="18.6640625" bestFit="1" customWidth="1"/>
    <col min="265" max="265" width="30.33203125" bestFit="1" customWidth="1"/>
    <col min="266" max="268" width="18.6640625" bestFit="1" customWidth="1"/>
    <col min="269" max="269" width="19.6640625" bestFit="1" customWidth="1"/>
    <col min="270" max="270" width="18.6640625" bestFit="1" customWidth="1"/>
    <col min="271" max="271" width="22.33203125" bestFit="1" customWidth="1"/>
    <col min="272" max="274" width="18.6640625" bestFit="1" customWidth="1"/>
    <col min="275" max="275" width="26.33203125" bestFit="1" customWidth="1"/>
    <col min="276" max="276" width="18.6640625" bestFit="1" customWidth="1"/>
    <col min="277" max="277" width="24.44140625" bestFit="1" customWidth="1"/>
    <col min="278" max="284" width="18.6640625" bestFit="1" customWidth="1"/>
    <col min="285" max="285" width="23.5546875" bestFit="1" customWidth="1"/>
    <col min="286" max="286" width="18.6640625" bestFit="1" customWidth="1"/>
    <col min="287" max="287" width="19.33203125" bestFit="1" customWidth="1"/>
    <col min="288" max="288" width="18.6640625" bestFit="1" customWidth="1"/>
    <col min="289" max="289" width="32.33203125" bestFit="1" customWidth="1"/>
    <col min="290" max="290" width="18.6640625" bestFit="1" customWidth="1"/>
    <col min="291" max="291" width="29" bestFit="1" customWidth="1"/>
    <col min="292" max="292" width="18.6640625" bestFit="1" customWidth="1"/>
    <col min="293" max="293" width="25.44140625" bestFit="1" customWidth="1"/>
    <col min="294" max="294" width="18.6640625" bestFit="1" customWidth="1"/>
    <col min="295" max="295" width="31.5546875" bestFit="1" customWidth="1"/>
    <col min="296" max="296" width="18.6640625" bestFit="1" customWidth="1"/>
    <col min="297" max="297" width="31.33203125" bestFit="1" customWidth="1"/>
    <col min="298" max="298" width="18.6640625" bestFit="1" customWidth="1"/>
    <col min="299" max="299" width="29.5546875" bestFit="1" customWidth="1"/>
    <col min="300" max="300" width="18.6640625" bestFit="1" customWidth="1"/>
    <col min="301" max="301" width="26" bestFit="1" customWidth="1"/>
    <col min="302" max="302" width="18.6640625" bestFit="1" customWidth="1"/>
    <col min="303" max="303" width="23.44140625" bestFit="1" customWidth="1"/>
    <col min="304" max="304" width="18.6640625" bestFit="1" customWidth="1"/>
    <col min="305" max="305" width="20.6640625" bestFit="1" customWidth="1"/>
    <col min="306" max="306" width="18.6640625" bestFit="1" customWidth="1"/>
    <col min="307" max="307" width="21.5546875" bestFit="1" customWidth="1"/>
    <col min="308" max="308" width="18.6640625" bestFit="1" customWidth="1"/>
    <col min="309" max="309" width="23.5546875" bestFit="1" customWidth="1"/>
    <col min="310" max="312" width="18.6640625" bestFit="1" customWidth="1"/>
    <col min="313" max="313" width="30.44140625" bestFit="1" customWidth="1"/>
    <col min="314" max="316" width="18.6640625" bestFit="1" customWidth="1"/>
    <col min="317" max="317" width="31" bestFit="1" customWidth="1"/>
    <col min="318" max="318" width="18.6640625" bestFit="1" customWidth="1"/>
    <col min="319" max="319" width="31.6640625" bestFit="1" customWidth="1"/>
    <col min="320" max="320" width="18.6640625" bestFit="1" customWidth="1"/>
    <col min="321" max="321" width="25.44140625" bestFit="1" customWidth="1"/>
    <col min="322" max="322" width="18.6640625" bestFit="1" customWidth="1"/>
    <col min="323" max="323" width="24.33203125" bestFit="1" customWidth="1"/>
    <col min="324" max="328" width="18.6640625" bestFit="1" customWidth="1"/>
    <col min="329" max="329" width="20.33203125" bestFit="1" customWidth="1"/>
    <col min="330" max="330" width="18.6640625" bestFit="1" customWidth="1"/>
    <col min="331" max="331" width="26.5546875" bestFit="1" customWidth="1"/>
    <col min="332" max="332" width="18.6640625" bestFit="1" customWidth="1"/>
    <col min="333" max="333" width="28.6640625" bestFit="1" customWidth="1"/>
    <col min="334" max="334" width="18.6640625" bestFit="1" customWidth="1"/>
    <col min="335" max="335" width="19.6640625" bestFit="1" customWidth="1"/>
    <col min="336" max="346" width="18.6640625" bestFit="1" customWidth="1"/>
    <col min="347" max="347" width="23.6640625" bestFit="1" customWidth="1"/>
    <col min="348" max="348" width="18.6640625" bestFit="1" customWidth="1"/>
    <col min="349" max="349" width="24.6640625" bestFit="1" customWidth="1"/>
    <col min="350" max="352" width="18.6640625" bestFit="1" customWidth="1"/>
    <col min="353" max="353" width="19.6640625" bestFit="1" customWidth="1"/>
    <col min="354" max="358" width="18.6640625" bestFit="1" customWidth="1"/>
    <col min="359" max="359" width="27.33203125" bestFit="1" customWidth="1"/>
    <col min="360" max="362" width="18.6640625" bestFit="1" customWidth="1"/>
    <col min="363" max="363" width="19.44140625" bestFit="1" customWidth="1"/>
    <col min="364" max="364" width="18.6640625" bestFit="1" customWidth="1"/>
    <col min="365" max="365" width="33.5546875" bestFit="1" customWidth="1"/>
    <col min="366" max="366" width="18.6640625" bestFit="1" customWidth="1"/>
    <col min="367" max="367" width="19.6640625" bestFit="1" customWidth="1"/>
    <col min="368" max="370" width="18.6640625" bestFit="1" customWidth="1"/>
    <col min="371" max="371" width="21.33203125" bestFit="1" customWidth="1"/>
    <col min="372" max="376" width="18.6640625" bestFit="1" customWidth="1"/>
    <col min="377" max="377" width="24.44140625" bestFit="1" customWidth="1"/>
    <col min="378" max="378" width="18.6640625" bestFit="1" customWidth="1"/>
    <col min="379" max="379" width="21.6640625" bestFit="1" customWidth="1"/>
    <col min="380" max="382" width="18.6640625" bestFit="1" customWidth="1"/>
    <col min="383" max="383" width="22.44140625" bestFit="1" customWidth="1"/>
    <col min="384" max="384" width="18.6640625" bestFit="1" customWidth="1"/>
    <col min="385" max="385" width="27.33203125" bestFit="1" customWidth="1"/>
    <col min="386" max="392" width="18.6640625" bestFit="1" customWidth="1"/>
    <col min="393" max="393" width="19.6640625" bestFit="1" customWidth="1"/>
    <col min="394" max="394" width="18.6640625" bestFit="1" customWidth="1"/>
    <col min="395" max="395" width="19.33203125" bestFit="1" customWidth="1"/>
    <col min="396" max="396" width="18.6640625" bestFit="1" customWidth="1"/>
    <col min="397" max="397" width="19.33203125" bestFit="1" customWidth="1"/>
    <col min="398" max="400" width="18.6640625" bestFit="1" customWidth="1"/>
    <col min="401" max="401" width="23.33203125" bestFit="1" customWidth="1"/>
    <col min="402" max="402" width="15" bestFit="1" customWidth="1"/>
    <col min="403" max="403" width="17.33203125" bestFit="1" customWidth="1"/>
    <col min="404" max="404" width="13.44140625" bestFit="1" customWidth="1"/>
    <col min="405" max="405" width="20" bestFit="1" customWidth="1"/>
    <col min="406" max="406" width="15" bestFit="1" customWidth="1"/>
    <col min="407" max="407" width="23.6640625" bestFit="1" customWidth="1"/>
    <col min="408" max="408" width="14.44140625" bestFit="1" customWidth="1"/>
    <col min="409" max="409" width="26.6640625" bestFit="1" customWidth="1"/>
    <col min="410" max="410" width="15" bestFit="1" customWidth="1"/>
    <col min="411" max="411" width="18.5546875" bestFit="1" customWidth="1"/>
    <col min="412" max="412" width="13.44140625" bestFit="1" customWidth="1"/>
    <col min="413" max="413" width="21.44140625" bestFit="1" customWidth="1"/>
    <col min="414" max="414" width="15" bestFit="1" customWidth="1"/>
    <col min="415" max="415" width="20.5546875" bestFit="1" customWidth="1"/>
    <col min="416" max="416" width="13.44140625" bestFit="1" customWidth="1"/>
    <col min="417" max="417" width="23.44140625" bestFit="1" customWidth="1"/>
    <col min="418" max="418" width="15" bestFit="1" customWidth="1"/>
    <col min="419" max="419" width="18.6640625" bestFit="1" customWidth="1"/>
    <col min="420" max="420" width="13.44140625" bestFit="1" customWidth="1"/>
    <col min="421" max="421" width="21.6640625" bestFit="1" customWidth="1"/>
    <col min="422" max="422" width="15" bestFit="1" customWidth="1"/>
    <col min="423" max="423" width="17" bestFit="1" customWidth="1"/>
    <col min="424" max="424" width="13.44140625" bestFit="1" customWidth="1"/>
    <col min="425" max="425" width="19.6640625" bestFit="1" customWidth="1"/>
    <col min="426" max="426" width="15" bestFit="1" customWidth="1"/>
    <col min="427" max="427" width="16.5546875" bestFit="1" customWidth="1"/>
    <col min="428" max="428" width="13.44140625" bestFit="1" customWidth="1"/>
    <col min="429" max="429" width="19.44140625" bestFit="1" customWidth="1"/>
    <col min="430" max="430" width="15" bestFit="1" customWidth="1"/>
    <col min="431" max="431" width="31.33203125" bestFit="1" customWidth="1"/>
    <col min="432" max="432" width="13.44140625" bestFit="1" customWidth="1"/>
    <col min="433" max="433" width="34.33203125" bestFit="1" customWidth="1"/>
    <col min="434" max="434" width="15" bestFit="1" customWidth="1"/>
    <col min="435" max="435" width="21.6640625" bestFit="1" customWidth="1"/>
    <col min="436" max="436" width="13.44140625" bestFit="1" customWidth="1"/>
    <col min="437" max="437" width="24.5546875" bestFit="1" customWidth="1"/>
    <col min="438" max="438" width="15" bestFit="1" customWidth="1"/>
    <col min="439" max="439" width="18.44140625" bestFit="1" customWidth="1"/>
    <col min="440" max="440" width="13.44140625" bestFit="1" customWidth="1"/>
    <col min="441" max="441" width="21.33203125" bestFit="1" customWidth="1"/>
    <col min="442" max="442" width="15" bestFit="1" customWidth="1"/>
    <col min="443" max="443" width="19.6640625" bestFit="1" customWidth="1"/>
    <col min="444" max="444" width="13.44140625" bestFit="1" customWidth="1"/>
    <col min="445" max="445" width="22.5546875" bestFit="1" customWidth="1"/>
    <col min="446" max="446" width="15" bestFit="1" customWidth="1"/>
    <col min="447" max="447" width="16.44140625" bestFit="1" customWidth="1"/>
    <col min="448" max="448" width="13.44140625" bestFit="1" customWidth="1"/>
    <col min="449" max="449" width="19.33203125" bestFit="1" customWidth="1"/>
    <col min="450" max="450" width="15" bestFit="1" customWidth="1"/>
    <col min="451" max="451" width="16.44140625" bestFit="1" customWidth="1"/>
    <col min="452" max="452" width="13.44140625" bestFit="1" customWidth="1"/>
    <col min="453" max="453" width="19.33203125" bestFit="1" customWidth="1"/>
    <col min="454" max="454" width="15" bestFit="1" customWidth="1"/>
    <col min="455" max="455" width="20.6640625" bestFit="1" customWidth="1"/>
    <col min="456" max="456" width="13.44140625" bestFit="1" customWidth="1"/>
    <col min="457" max="457" width="23.6640625" bestFit="1" customWidth="1"/>
    <col min="458" max="458" width="15" bestFit="1" customWidth="1"/>
    <col min="459" max="459" width="18.6640625" bestFit="1" customWidth="1"/>
    <col min="460" max="460" width="13.44140625" bestFit="1" customWidth="1"/>
    <col min="461" max="461" width="21.5546875" bestFit="1" customWidth="1"/>
    <col min="462" max="462" width="15" bestFit="1" customWidth="1"/>
    <col min="463" max="463" width="17.6640625" bestFit="1" customWidth="1"/>
    <col min="464" max="464" width="13.44140625" bestFit="1" customWidth="1"/>
    <col min="465" max="465" width="20.5546875" bestFit="1" customWidth="1"/>
    <col min="466" max="466" width="15" bestFit="1" customWidth="1"/>
    <col min="467" max="467" width="16.44140625" bestFit="1" customWidth="1"/>
    <col min="468" max="468" width="13.44140625" bestFit="1" customWidth="1"/>
    <col min="469" max="469" width="19.33203125" bestFit="1" customWidth="1"/>
    <col min="470" max="470" width="15" bestFit="1" customWidth="1"/>
    <col min="471" max="471" width="16.44140625" bestFit="1" customWidth="1"/>
    <col min="472" max="472" width="13.44140625" bestFit="1" customWidth="1"/>
    <col min="473" max="473" width="19.33203125" bestFit="1" customWidth="1"/>
    <col min="474" max="474" width="15" bestFit="1" customWidth="1"/>
    <col min="475" max="475" width="21.33203125" bestFit="1" customWidth="1"/>
    <col min="476" max="476" width="13.44140625" bestFit="1" customWidth="1"/>
    <col min="477" max="477" width="24" bestFit="1" customWidth="1"/>
    <col min="478" max="478" width="15" bestFit="1" customWidth="1"/>
    <col min="479" max="479" width="16" bestFit="1" customWidth="1"/>
    <col min="480" max="480" width="14.44140625" bestFit="1" customWidth="1"/>
    <col min="481" max="481" width="18.6640625" bestFit="1" customWidth="1"/>
    <col min="482" max="482" width="15" bestFit="1" customWidth="1"/>
    <col min="483" max="483" width="13.6640625" bestFit="1" customWidth="1"/>
    <col min="484" max="484" width="13.44140625" bestFit="1" customWidth="1"/>
    <col min="485" max="485" width="16.6640625" bestFit="1" customWidth="1"/>
    <col min="486" max="486" width="15" bestFit="1" customWidth="1"/>
    <col min="487" max="487" width="13.6640625" bestFit="1" customWidth="1"/>
    <col min="488" max="488" width="13.44140625" bestFit="1" customWidth="1"/>
    <col min="489" max="489" width="16.5546875" bestFit="1" customWidth="1"/>
    <col min="490" max="490" width="15" bestFit="1" customWidth="1"/>
    <col min="491" max="491" width="25.44140625" bestFit="1" customWidth="1"/>
    <col min="492" max="492" width="13.44140625" bestFit="1" customWidth="1"/>
    <col min="493" max="493" width="28.33203125" bestFit="1" customWidth="1"/>
    <col min="494" max="494" width="15" bestFit="1" customWidth="1"/>
    <col min="495" max="495" width="18.44140625" bestFit="1" customWidth="1"/>
    <col min="496" max="496" width="13.44140625" bestFit="1" customWidth="1"/>
    <col min="497" max="497" width="21.33203125" bestFit="1" customWidth="1"/>
    <col min="498" max="498" width="15" bestFit="1" customWidth="1"/>
    <col min="499" max="499" width="16.5546875" bestFit="1" customWidth="1"/>
    <col min="500" max="500" width="13.44140625" bestFit="1" customWidth="1"/>
    <col min="501" max="501" width="19.44140625" bestFit="1" customWidth="1"/>
    <col min="502" max="502" width="15" bestFit="1" customWidth="1"/>
    <col min="503" max="503" width="26" bestFit="1" customWidth="1"/>
    <col min="504" max="504" width="13.44140625" bestFit="1" customWidth="1"/>
    <col min="505" max="505" width="28.6640625" bestFit="1" customWidth="1"/>
    <col min="506" max="506" width="15" bestFit="1" customWidth="1"/>
    <col min="507" max="507" width="18.33203125" bestFit="1" customWidth="1"/>
    <col min="508" max="508" width="13.44140625" bestFit="1" customWidth="1"/>
    <col min="509" max="509" width="20.6640625" bestFit="1" customWidth="1"/>
    <col min="510" max="510" width="15" bestFit="1" customWidth="1"/>
    <col min="511" max="511" width="20.33203125" bestFit="1" customWidth="1"/>
    <col min="512" max="512" width="13.44140625" bestFit="1" customWidth="1"/>
    <col min="513" max="513" width="22.6640625" bestFit="1" customWidth="1"/>
    <col min="514" max="514" width="15" bestFit="1" customWidth="1"/>
    <col min="515" max="515" width="30.33203125" bestFit="1" customWidth="1"/>
    <col min="516" max="516" width="13.44140625" bestFit="1" customWidth="1"/>
    <col min="517" max="517" width="33.33203125" bestFit="1" customWidth="1"/>
    <col min="518" max="518" width="15" bestFit="1" customWidth="1"/>
    <col min="519" max="519" width="19.33203125" bestFit="1" customWidth="1"/>
    <col min="520" max="520" width="13.44140625" bestFit="1" customWidth="1"/>
    <col min="521" max="521" width="22" bestFit="1" customWidth="1"/>
    <col min="522" max="522" width="15" bestFit="1" customWidth="1"/>
    <col min="523" max="523" width="23.44140625" bestFit="1" customWidth="1"/>
    <col min="524" max="524" width="13.44140625" bestFit="1" customWidth="1"/>
    <col min="525" max="525" width="26.33203125" bestFit="1" customWidth="1"/>
    <col min="526" max="526" width="15" bestFit="1" customWidth="1"/>
    <col min="527" max="527" width="19.6640625" bestFit="1" customWidth="1"/>
    <col min="528" max="528" width="13.44140625" bestFit="1" customWidth="1"/>
    <col min="529" max="529" width="22.5546875" bestFit="1" customWidth="1"/>
    <col min="530" max="530" width="15" bestFit="1" customWidth="1"/>
    <col min="531" max="531" width="22.44140625" bestFit="1" customWidth="1"/>
    <col min="532" max="532" width="13.44140625" bestFit="1" customWidth="1"/>
    <col min="533" max="533" width="25.33203125" bestFit="1" customWidth="1"/>
    <col min="534" max="534" width="15" bestFit="1" customWidth="1"/>
    <col min="535" max="535" width="18.6640625" bestFit="1" customWidth="1"/>
    <col min="536" max="536" width="13.44140625" bestFit="1" customWidth="1"/>
    <col min="537" max="537" width="21.6640625" bestFit="1" customWidth="1"/>
    <col min="538" max="538" width="15" bestFit="1" customWidth="1"/>
    <col min="539" max="539" width="20.33203125" bestFit="1" customWidth="1"/>
    <col min="540" max="540" width="13.44140625" bestFit="1" customWidth="1"/>
    <col min="541" max="541" width="22.6640625" bestFit="1" customWidth="1"/>
    <col min="542" max="542" width="15" bestFit="1" customWidth="1"/>
    <col min="543" max="543" width="17" bestFit="1" customWidth="1"/>
    <col min="544" max="544" width="13.44140625" bestFit="1" customWidth="1"/>
    <col min="545" max="545" width="19.6640625" bestFit="1" customWidth="1"/>
    <col min="546" max="546" width="15" bestFit="1" customWidth="1"/>
    <col min="547" max="547" width="21.6640625" bestFit="1" customWidth="1"/>
    <col min="548" max="548" width="13.44140625" bestFit="1" customWidth="1"/>
    <col min="549" max="549" width="24.6640625" bestFit="1" customWidth="1"/>
    <col min="550" max="550" width="15" bestFit="1" customWidth="1"/>
    <col min="551" max="551" width="19.33203125" bestFit="1" customWidth="1"/>
    <col min="552" max="552" width="13.44140625" bestFit="1" customWidth="1"/>
    <col min="553" max="553" width="22" bestFit="1" customWidth="1"/>
    <col min="554" max="554" width="15" bestFit="1" customWidth="1"/>
    <col min="555" max="555" width="16.44140625" bestFit="1" customWidth="1"/>
    <col min="556" max="556" width="13.44140625" bestFit="1" customWidth="1"/>
    <col min="557" max="557" width="19.33203125" bestFit="1" customWidth="1"/>
    <col min="558" max="558" width="15" bestFit="1" customWidth="1"/>
    <col min="559" max="559" width="23.44140625" bestFit="1" customWidth="1"/>
    <col min="560" max="560" width="13.44140625" bestFit="1" customWidth="1"/>
    <col min="561" max="561" width="26.33203125" bestFit="1" customWidth="1"/>
    <col min="562" max="562" width="15" bestFit="1" customWidth="1"/>
    <col min="563" max="563" width="17.44140625" bestFit="1" customWidth="1"/>
    <col min="564" max="564" width="13.44140625" bestFit="1" customWidth="1"/>
    <col min="565" max="565" width="20.33203125" bestFit="1" customWidth="1"/>
    <col min="566" max="566" width="15" bestFit="1" customWidth="1"/>
    <col min="567" max="567" width="25.44140625" bestFit="1" customWidth="1"/>
    <col min="568" max="568" width="13.44140625" bestFit="1" customWidth="1"/>
    <col min="569" max="569" width="28.33203125" bestFit="1" customWidth="1"/>
    <col min="570" max="570" width="15" bestFit="1" customWidth="1"/>
    <col min="571" max="571" width="22.44140625" bestFit="1" customWidth="1"/>
    <col min="572" max="572" width="13.44140625" bestFit="1" customWidth="1"/>
    <col min="573" max="573" width="25.33203125" bestFit="1" customWidth="1"/>
    <col min="574" max="574" width="15" bestFit="1" customWidth="1"/>
    <col min="575" max="575" width="16.33203125" bestFit="1" customWidth="1"/>
    <col min="576" max="576" width="13.44140625" bestFit="1" customWidth="1"/>
    <col min="577" max="577" width="18.6640625" bestFit="1" customWidth="1"/>
    <col min="578" max="578" width="15" bestFit="1" customWidth="1"/>
    <col min="579" max="579" width="16.6640625" bestFit="1" customWidth="1"/>
    <col min="580" max="580" width="13.44140625" bestFit="1" customWidth="1"/>
    <col min="581" max="581" width="19.5546875" bestFit="1" customWidth="1"/>
    <col min="582" max="582" width="15" bestFit="1" customWidth="1"/>
    <col min="583" max="583" width="30.33203125" bestFit="1" customWidth="1"/>
    <col min="584" max="584" width="13.44140625" bestFit="1" customWidth="1"/>
    <col min="585" max="585" width="33" bestFit="1" customWidth="1"/>
    <col min="586" max="586" width="15" bestFit="1" customWidth="1"/>
    <col min="587" max="587" width="23.5546875" bestFit="1" customWidth="1"/>
    <col min="588" max="588" width="13.44140625" bestFit="1" customWidth="1"/>
    <col min="589" max="589" width="26.44140625" bestFit="1" customWidth="1"/>
    <col min="590" max="590" width="15" bestFit="1" customWidth="1"/>
    <col min="591" max="591" width="24.6640625" bestFit="1" customWidth="1"/>
    <col min="592" max="592" width="13.44140625" bestFit="1" customWidth="1"/>
    <col min="593" max="593" width="27.5546875" bestFit="1" customWidth="1"/>
    <col min="594" max="594" width="15" bestFit="1" customWidth="1"/>
    <col min="595" max="595" width="33.5546875" bestFit="1" customWidth="1"/>
    <col min="596" max="596" width="13.44140625" bestFit="1" customWidth="1"/>
    <col min="597" max="597" width="36.44140625" bestFit="1" customWidth="1"/>
    <col min="598" max="598" width="15" bestFit="1" customWidth="1"/>
    <col min="599" max="599" width="20" bestFit="1" customWidth="1"/>
    <col min="600" max="600" width="13.44140625" bestFit="1" customWidth="1"/>
    <col min="601" max="601" width="22.6640625" bestFit="1" customWidth="1"/>
    <col min="602" max="602" width="15" bestFit="1" customWidth="1"/>
    <col min="603" max="603" width="23.5546875" bestFit="1" customWidth="1"/>
    <col min="604" max="604" width="13.44140625" bestFit="1" customWidth="1"/>
    <col min="605" max="605" width="26.44140625" bestFit="1" customWidth="1"/>
    <col min="606" max="606" width="15" bestFit="1" customWidth="1"/>
    <col min="607" max="607" width="29.5546875" bestFit="1" customWidth="1"/>
    <col min="608" max="608" width="13.44140625" bestFit="1" customWidth="1"/>
    <col min="609" max="609" width="32.44140625" bestFit="1" customWidth="1"/>
    <col min="610" max="610" width="15" bestFit="1" customWidth="1"/>
    <col min="611" max="611" width="16.5546875" bestFit="1" customWidth="1"/>
    <col min="612" max="612" width="13.44140625" bestFit="1" customWidth="1"/>
    <col min="613" max="613" width="19.44140625" bestFit="1" customWidth="1"/>
    <col min="614" max="614" width="15" bestFit="1" customWidth="1"/>
    <col min="615" max="615" width="24.33203125" bestFit="1" customWidth="1"/>
    <col min="616" max="616" width="13.44140625" bestFit="1" customWidth="1"/>
    <col min="617" max="617" width="27.33203125" bestFit="1" customWidth="1"/>
    <col min="618" max="618" width="15" bestFit="1" customWidth="1"/>
    <col min="619" max="619" width="16.6640625" bestFit="1" customWidth="1"/>
    <col min="620" max="620" width="13.44140625" bestFit="1" customWidth="1"/>
    <col min="621" max="621" width="19.6640625" bestFit="1" customWidth="1"/>
    <col min="622" max="622" width="15" bestFit="1" customWidth="1"/>
    <col min="623" max="623" width="17" bestFit="1" customWidth="1"/>
    <col min="624" max="624" width="13.44140625" bestFit="1" customWidth="1"/>
    <col min="625" max="625" width="19.6640625" bestFit="1" customWidth="1"/>
    <col min="626" max="626" width="15" bestFit="1" customWidth="1"/>
    <col min="627" max="627" width="25.33203125" bestFit="1" customWidth="1"/>
    <col min="628" max="628" width="13.44140625" bestFit="1" customWidth="1"/>
    <col min="629" max="629" width="28.33203125" bestFit="1" customWidth="1"/>
    <col min="630" max="630" width="15" bestFit="1" customWidth="1"/>
    <col min="631" max="631" width="35.44140625" bestFit="1" customWidth="1"/>
    <col min="632" max="632" width="13.44140625" bestFit="1" customWidth="1"/>
    <col min="633" max="633" width="38.33203125" bestFit="1" customWidth="1"/>
    <col min="634" max="634" width="15" bestFit="1" customWidth="1"/>
    <col min="635" max="635" width="28.33203125" bestFit="1" customWidth="1"/>
    <col min="636" max="636" width="13.44140625" bestFit="1" customWidth="1"/>
    <col min="637" max="637" width="30.6640625" bestFit="1" customWidth="1"/>
    <col min="638" max="638" width="15" bestFit="1" customWidth="1"/>
    <col min="639" max="639" width="16.5546875" bestFit="1" customWidth="1"/>
    <col min="640" max="640" width="13.44140625" bestFit="1" customWidth="1"/>
    <col min="641" max="641" width="19.44140625" bestFit="1" customWidth="1"/>
    <col min="642" max="642" width="14" bestFit="1" customWidth="1"/>
    <col min="643" max="643" width="47.44140625" bestFit="1" customWidth="1"/>
    <col min="644" max="644" width="11.6640625" bestFit="1" customWidth="1"/>
    <col min="645" max="645" width="50.33203125" bestFit="1" customWidth="1"/>
    <col min="646" max="646" width="14" bestFit="1" customWidth="1"/>
    <col min="647" max="647" width="20" bestFit="1" customWidth="1"/>
    <col min="648" max="648" width="9.6640625" bestFit="1" customWidth="1"/>
    <col min="649" max="649" width="22.6640625" bestFit="1" customWidth="1"/>
    <col min="650" max="650" width="14" bestFit="1" customWidth="1"/>
    <col min="651" max="651" width="14.6640625" bestFit="1" customWidth="1"/>
    <col min="652" max="652" width="13.44140625" bestFit="1" customWidth="1"/>
    <col min="653" max="653" width="17.6640625" bestFit="1" customWidth="1"/>
    <col min="654" max="654" width="14" bestFit="1" customWidth="1"/>
    <col min="655" max="655" width="15.5546875" bestFit="1" customWidth="1"/>
    <col min="656" max="656" width="13.44140625" bestFit="1" customWidth="1"/>
    <col min="657" max="657" width="18.44140625" bestFit="1" customWidth="1"/>
    <col min="658" max="658" width="14" bestFit="1" customWidth="1"/>
    <col min="659" max="659" width="14.6640625" bestFit="1" customWidth="1"/>
    <col min="660" max="660" width="13.44140625" bestFit="1" customWidth="1"/>
    <col min="661" max="661" width="17.6640625" bestFit="1" customWidth="1"/>
    <col min="662" max="662" width="14" bestFit="1" customWidth="1"/>
    <col min="663" max="663" width="15.6640625" bestFit="1" customWidth="1"/>
    <col min="664" max="664" width="10.6640625" bestFit="1" customWidth="1"/>
    <col min="665" max="665" width="18.5546875" bestFit="1" customWidth="1"/>
    <col min="666" max="666" width="14" bestFit="1" customWidth="1"/>
    <col min="667" max="667" width="31.33203125" bestFit="1" customWidth="1"/>
    <col min="668" max="668" width="11.6640625" bestFit="1" customWidth="1"/>
    <col min="669" max="669" width="34" bestFit="1" customWidth="1"/>
    <col min="670" max="670" width="14" bestFit="1" customWidth="1"/>
    <col min="671" max="671" width="15.44140625" bestFit="1" customWidth="1"/>
    <col min="672" max="672" width="13.44140625" bestFit="1" customWidth="1"/>
    <col min="673" max="673" width="18.33203125" bestFit="1" customWidth="1"/>
    <col min="674" max="674" width="14" bestFit="1" customWidth="1"/>
    <col min="675" max="675" width="28.5546875" bestFit="1" customWidth="1"/>
    <col min="676" max="676" width="13.44140625" bestFit="1" customWidth="1"/>
    <col min="677" max="677" width="31.44140625" bestFit="1" customWidth="1"/>
    <col min="678" max="678" width="14" bestFit="1" customWidth="1"/>
    <col min="679" max="679" width="29.33203125" bestFit="1" customWidth="1"/>
    <col min="680" max="680" width="11.6640625" bestFit="1" customWidth="1"/>
    <col min="681" max="681" width="31.6640625" bestFit="1" customWidth="1"/>
    <col min="682" max="682" width="14" bestFit="1" customWidth="1"/>
    <col min="683" max="683" width="32.44140625" bestFit="1" customWidth="1"/>
    <col min="684" max="684" width="11.6640625" bestFit="1" customWidth="1"/>
    <col min="685" max="685" width="35.33203125" bestFit="1" customWidth="1"/>
    <col min="686" max="686" width="14" bestFit="1" customWidth="1"/>
    <col min="687" max="687" width="39.5546875" bestFit="1" customWidth="1"/>
    <col min="688" max="688" width="13.44140625" bestFit="1" customWidth="1"/>
    <col min="689" max="689" width="42.44140625" bestFit="1" customWidth="1"/>
    <col min="690" max="690" width="14" bestFit="1" customWidth="1"/>
    <col min="691" max="691" width="35.5546875" bestFit="1" customWidth="1"/>
    <col min="692" max="692" width="13.44140625" bestFit="1" customWidth="1"/>
    <col min="693" max="693" width="38.44140625" bestFit="1" customWidth="1"/>
    <col min="694" max="694" width="14" bestFit="1" customWidth="1"/>
    <col min="695" max="695" width="36.44140625" bestFit="1" customWidth="1"/>
    <col min="696" max="696" width="13.44140625" bestFit="1" customWidth="1"/>
    <col min="697" max="697" width="39.33203125" bestFit="1" customWidth="1"/>
    <col min="698" max="698" width="14" bestFit="1" customWidth="1"/>
    <col min="699" max="699" width="33" bestFit="1" customWidth="1"/>
    <col min="700" max="700" width="11.6640625" bestFit="1" customWidth="1"/>
    <col min="701" max="701" width="35.6640625" bestFit="1" customWidth="1"/>
    <col min="702" max="702" width="14" bestFit="1" customWidth="1"/>
    <col min="703" max="703" width="32.6640625" bestFit="1" customWidth="1"/>
    <col min="704" max="704" width="11.6640625" bestFit="1" customWidth="1"/>
    <col min="705" max="705" width="35.5546875" bestFit="1" customWidth="1"/>
    <col min="706" max="706" width="14" bestFit="1" customWidth="1"/>
    <col min="707" max="707" width="28.6640625" bestFit="1" customWidth="1"/>
    <col min="708" max="708" width="11.6640625" bestFit="1" customWidth="1"/>
    <col min="709" max="709" width="31.6640625" bestFit="1" customWidth="1"/>
    <col min="710" max="710" width="14" bestFit="1" customWidth="1"/>
    <col min="711" max="711" width="28.44140625" bestFit="1" customWidth="1"/>
    <col min="712" max="712" width="11.6640625" bestFit="1" customWidth="1"/>
    <col min="713" max="713" width="31.33203125" bestFit="1" customWidth="1"/>
    <col min="714" max="714" width="14" bestFit="1" customWidth="1"/>
    <col min="715" max="715" width="25.33203125" bestFit="1" customWidth="1"/>
    <col min="716" max="716" width="11.6640625" bestFit="1" customWidth="1"/>
    <col min="717" max="717" width="28.33203125" bestFit="1" customWidth="1"/>
    <col min="718" max="718" width="14" bestFit="1" customWidth="1"/>
    <col min="719" max="719" width="28.6640625" bestFit="1" customWidth="1"/>
    <col min="720" max="720" width="11.6640625" bestFit="1" customWidth="1"/>
    <col min="721" max="721" width="31.5546875" bestFit="1" customWidth="1"/>
    <col min="722" max="722" width="14" bestFit="1" customWidth="1"/>
    <col min="723" max="723" width="29.33203125" bestFit="1" customWidth="1"/>
    <col min="724" max="724" width="11.6640625" bestFit="1" customWidth="1"/>
    <col min="725" max="725" width="32.33203125" bestFit="1" customWidth="1"/>
    <col min="726" max="726" width="14" bestFit="1" customWidth="1"/>
    <col min="727" max="727" width="30.6640625" bestFit="1" customWidth="1"/>
    <col min="728" max="728" width="11.6640625" bestFit="1" customWidth="1"/>
    <col min="729" max="729" width="33.6640625" bestFit="1" customWidth="1"/>
    <col min="730" max="730" width="14" bestFit="1" customWidth="1"/>
    <col min="731" max="731" width="27.5546875" bestFit="1" customWidth="1"/>
    <col min="732" max="732" width="11.6640625" bestFit="1" customWidth="1"/>
    <col min="733" max="733" width="30.44140625" bestFit="1" customWidth="1"/>
    <col min="734" max="734" width="14" bestFit="1" customWidth="1"/>
    <col min="735" max="735" width="34.33203125" bestFit="1" customWidth="1"/>
    <col min="736" max="736" width="11.6640625" bestFit="1" customWidth="1"/>
    <col min="737" max="737" width="36.6640625" bestFit="1" customWidth="1"/>
    <col min="738" max="738" width="14" bestFit="1" customWidth="1"/>
    <col min="739" max="739" width="23.33203125" bestFit="1" customWidth="1"/>
    <col min="740" max="740" width="11.6640625" bestFit="1" customWidth="1"/>
    <col min="741" max="741" width="25.6640625" bestFit="1" customWidth="1"/>
    <col min="742" max="742" width="14" bestFit="1" customWidth="1"/>
    <col min="743" max="743" width="34" bestFit="1" customWidth="1"/>
    <col min="744" max="744" width="11.6640625" bestFit="1" customWidth="1"/>
    <col min="745" max="745" width="36.6640625" bestFit="1" customWidth="1"/>
    <col min="746" max="746" width="14" bestFit="1" customWidth="1"/>
    <col min="747" max="747" width="33.33203125" bestFit="1" customWidth="1"/>
    <col min="748" max="748" width="11.6640625" bestFit="1" customWidth="1"/>
    <col min="749" max="749" width="35.6640625" bestFit="1" customWidth="1"/>
    <col min="750" max="750" width="14" bestFit="1" customWidth="1"/>
    <col min="751" max="751" width="36.6640625" bestFit="1" customWidth="1"/>
    <col min="752" max="752" width="10.6640625" bestFit="1" customWidth="1"/>
    <col min="753" max="753" width="39.6640625" bestFit="1" customWidth="1"/>
    <col min="754" max="754" width="14" bestFit="1" customWidth="1"/>
    <col min="755" max="755" width="26.5546875" bestFit="1" customWidth="1"/>
    <col min="756" max="756" width="11.6640625" bestFit="1" customWidth="1"/>
    <col min="757" max="757" width="29.44140625" bestFit="1" customWidth="1"/>
    <col min="758" max="758" width="12.44140625" bestFit="1" customWidth="1"/>
    <col min="759" max="759" width="20.5546875" bestFit="1" customWidth="1"/>
    <col min="760" max="760" width="11.6640625" bestFit="1" customWidth="1"/>
    <col min="761" max="761" width="23.44140625" bestFit="1" customWidth="1"/>
    <col min="762" max="762" width="12.44140625" bestFit="1" customWidth="1"/>
    <col min="763" max="763" width="20.44140625" bestFit="1" customWidth="1"/>
    <col min="764" max="764" width="11.6640625" bestFit="1" customWidth="1"/>
    <col min="765" max="765" width="23.33203125" bestFit="1" customWidth="1"/>
    <col min="766" max="766" width="10.44140625" bestFit="1" customWidth="1"/>
    <col min="767" max="767" width="14.6640625" bestFit="1" customWidth="1"/>
    <col min="768" max="768" width="11.6640625" bestFit="1" customWidth="1"/>
    <col min="769" max="769" width="17.6640625" bestFit="1" customWidth="1"/>
    <col min="770" max="770" width="15.6640625" bestFit="1" customWidth="1"/>
    <col min="771" max="771" width="11.6640625" bestFit="1" customWidth="1"/>
    <col min="772" max="772" width="18.6640625" bestFit="1" customWidth="1"/>
    <col min="773" max="773" width="27.5546875" bestFit="1" customWidth="1"/>
    <col min="774" max="774" width="11.6640625" bestFit="1" customWidth="1"/>
    <col min="775" max="775" width="30.44140625" bestFit="1" customWidth="1"/>
    <col min="776" max="776" width="24.6640625" bestFit="1" customWidth="1"/>
    <col min="777" max="777" width="9.6640625" bestFit="1" customWidth="1"/>
    <col min="778" max="778" width="27.5546875" bestFit="1" customWidth="1"/>
    <col min="779" max="779" width="19" bestFit="1" customWidth="1"/>
    <col min="780" max="780" width="11.6640625" bestFit="1" customWidth="1"/>
    <col min="781" max="781" width="21.6640625" bestFit="1" customWidth="1"/>
    <col min="782" max="782" width="40.5546875" bestFit="1" customWidth="1"/>
    <col min="783" max="783" width="11.6640625" bestFit="1" customWidth="1"/>
    <col min="784" max="784" width="43.44140625" bestFit="1" customWidth="1"/>
    <col min="785" max="785" width="18.6640625" bestFit="1" customWidth="1"/>
    <col min="786" max="786" width="11.6640625" bestFit="1" customWidth="1"/>
    <col min="787" max="787" width="21.5546875" bestFit="1" customWidth="1"/>
    <col min="788" max="788" width="27.33203125" bestFit="1" customWidth="1"/>
    <col min="789" max="789" width="11.6640625" bestFit="1" customWidth="1"/>
    <col min="790" max="790" width="29.6640625" bestFit="1" customWidth="1"/>
    <col min="791" max="791" width="9.6640625" bestFit="1" customWidth="1"/>
  </cols>
  <sheetData>
    <row r="3" spans="1:216" x14ac:dyDescent="0.3">
      <c r="A3" s="13"/>
      <c r="B3" s="13"/>
      <c r="C3" s="10" t="s">
        <v>265</v>
      </c>
    </row>
    <row r="4" spans="1:216" x14ac:dyDescent="0.3">
      <c r="A4" s="13" t="s">
        <v>266</v>
      </c>
      <c r="B4" s="13"/>
      <c r="C4" t="s">
        <v>270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 t="s">
        <v>49</v>
      </c>
      <c r="T4" t="s">
        <v>50</v>
      </c>
      <c r="U4" t="s">
        <v>51</v>
      </c>
      <c r="V4" t="s">
        <v>52</v>
      </c>
      <c r="W4" t="s">
        <v>53</v>
      </c>
      <c r="X4" t="s">
        <v>54</v>
      </c>
      <c r="Y4" t="s">
        <v>55</v>
      </c>
      <c r="Z4" t="s">
        <v>56</v>
      </c>
      <c r="AA4" t="s">
        <v>57</v>
      </c>
      <c r="AB4" t="s">
        <v>58</v>
      </c>
      <c r="AC4" t="s">
        <v>59</v>
      </c>
      <c r="AD4" t="s">
        <v>60</v>
      </c>
      <c r="AE4" t="s">
        <v>61</v>
      </c>
      <c r="AF4" t="s">
        <v>62</v>
      </c>
      <c r="AG4" t="s">
        <v>63</v>
      </c>
      <c r="AH4" t="s">
        <v>64</v>
      </c>
      <c r="AI4" t="s">
        <v>65</v>
      </c>
      <c r="AJ4" t="s">
        <v>66</v>
      </c>
      <c r="AK4" t="s">
        <v>67</v>
      </c>
      <c r="AL4" t="s">
        <v>68</v>
      </c>
      <c r="AM4" t="s">
        <v>69</v>
      </c>
      <c r="AN4" t="s">
        <v>70</v>
      </c>
      <c r="AO4" t="s">
        <v>71</v>
      </c>
      <c r="AP4" t="s">
        <v>72</v>
      </c>
      <c r="AQ4" t="s">
        <v>73</v>
      </c>
      <c r="AR4" t="s">
        <v>74</v>
      </c>
      <c r="AS4" t="s">
        <v>75</v>
      </c>
      <c r="AT4" t="s">
        <v>76</v>
      </c>
      <c r="AU4" t="s">
        <v>77</v>
      </c>
      <c r="AV4" t="s">
        <v>78</v>
      </c>
      <c r="AW4" t="s">
        <v>79</v>
      </c>
      <c r="AX4" t="s">
        <v>80</v>
      </c>
      <c r="AY4" t="s">
        <v>81</v>
      </c>
      <c r="AZ4" t="s">
        <v>82</v>
      </c>
      <c r="BA4" t="s">
        <v>83</v>
      </c>
      <c r="BB4" t="s">
        <v>84</v>
      </c>
      <c r="BC4" t="s">
        <v>85</v>
      </c>
      <c r="BD4" t="s">
        <v>86</v>
      </c>
      <c r="BE4" t="s">
        <v>87</v>
      </c>
      <c r="BF4" t="s">
        <v>88</v>
      </c>
      <c r="BG4" t="s">
        <v>89</v>
      </c>
      <c r="BH4" t="s">
        <v>90</v>
      </c>
      <c r="BI4" t="s">
        <v>91</v>
      </c>
      <c r="BJ4" t="s">
        <v>92</v>
      </c>
      <c r="BK4" t="s">
        <v>93</v>
      </c>
      <c r="BL4" t="s">
        <v>94</v>
      </c>
      <c r="BM4" t="s">
        <v>95</v>
      </c>
      <c r="BN4" t="s">
        <v>96</v>
      </c>
      <c r="BO4" t="s">
        <v>97</v>
      </c>
      <c r="BP4" t="s">
        <v>98</v>
      </c>
      <c r="BQ4" t="s">
        <v>99</v>
      </c>
      <c r="BR4" t="s">
        <v>100</v>
      </c>
      <c r="BS4" t="s">
        <v>101</v>
      </c>
      <c r="BT4" t="s">
        <v>271</v>
      </c>
      <c r="BU4" t="s">
        <v>102</v>
      </c>
      <c r="BV4" t="s">
        <v>103</v>
      </c>
      <c r="BW4" t="s">
        <v>104</v>
      </c>
      <c r="BX4" t="s">
        <v>105</v>
      </c>
      <c r="BY4" t="s">
        <v>106</v>
      </c>
      <c r="BZ4" t="s">
        <v>107</v>
      </c>
      <c r="CA4" t="s">
        <v>108</v>
      </c>
      <c r="CB4" t="s">
        <v>109</v>
      </c>
      <c r="CC4" t="s">
        <v>110</v>
      </c>
      <c r="CD4" t="s">
        <v>111</v>
      </c>
      <c r="CE4" t="s">
        <v>112</v>
      </c>
      <c r="CF4" t="s">
        <v>113</v>
      </c>
      <c r="CG4" t="s">
        <v>114</v>
      </c>
      <c r="CH4" t="s">
        <v>115</v>
      </c>
      <c r="CI4" t="s">
        <v>116</v>
      </c>
      <c r="CJ4" t="s">
        <v>117</v>
      </c>
      <c r="CK4" t="s">
        <v>118</v>
      </c>
      <c r="CL4" t="s">
        <v>119</v>
      </c>
      <c r="CM4" t="s">
        <v>120</v>
      </c>
      <c r="CN4" t="s">
        <v>121</v>
      </c>
      <c r="CO4" t="s">
        <v>122</v>
      </c>
      <c r="CP4" t="s">
        <v>123</v>
      </c>
      <c r="CQ4" t="s">
        <v>124</v>
      </c>
      <c r="CR4" t="s">
        <v>125</v>
      </c>
      <c r="CS4" t="s">
        <v>126</v>
      </c>
      <c r="CT4" t="s">
        <v>127</v>
      </c>
      <c r="CU4" t="s">
        <v>128</v>
      </c>
      <c r="CV4" t="s">
        <v>129</v>
      </c>
      <c r="CW4" t="s">
        <v>130</v>
      </c>
      <c r="CX4" t="s">
        <v>131</v>
      </c>
      <c r="CY4" t="s">
        <v>132</v>
      </c>
      <c r="CZ4" t="s">
        <v>133</v>
      </c>
      <c r="DA4" t="s">
        <v>134</v>
      </c>
      <c r="DB4" t="s">
        <v>135</v>
      </c>
      <c r="DC4" t="s">
        <v>136</v>
      </c>
      <c r="DD4" t="s">
        <v>137</v>
      </c>
      <c r="DE4" t="s">
        <v>138</v>
      </c>
      <c r="DF4" t="s">
        <v>139</v>
      </c>
      <c r="DG4" t="s">
        <v>140</v>
      </c>
      <c r="DH4" t="s">
        <v>141</v>
      </c>
      <c r="DI4" t="s">
        <v>142</v>
      </c>
      <c r="DJ4" t="s">
        <v>143</v>
      </c>
      <c r="DK4" t="s">
        <v>144</v>
      </c>
      <c r="DL4" t="s">
        <v>145</v>
      </c>
      <c r="DM4" t="s">
        <v>146</v>
      </c>
      <c r="DN4" t="s">
        <v>147</v>
      </c>
      <c r="DO4" t="s">
        <v>148</v>
      </c>
      <c r="DP4" t="s">
        <v>149</v>
      </c>
      <c r="DQ4" t="s">
        <v>150</v>
      </c>
      <c r="DR4" t="s">
        <v>151</v>
      </c>
      <c r="DS4" t="s">
        <v>152</v>
      </c>
      <c r="DT4" t="s">
        <v>153</v>
      </c>
      <c r="DU4" t="s">
        <v>154</v>
      </c>
      <c r="DV4" t="s">
        <v>155</v>
      </c>
      <c r="DW4" t="s">
        <v>156</v>
      </c>
      <c r="DX4" t="s">
        <v>157</v>
      </c>
      <c r="DY4" t="s">
        <v>158</v>
      </c>
      <c r="DZ4" t="s">
        <v>159</v>
      </c>
      <c r="EA4" t="s">
        <v>160</v>
      </c>
      <c r="EB4" t="s">
        <v>161</v>
      </c>
      <c r="EC4" t="s">
        <v>162</v>
      </c>
      <c r="ED4" t="s">
        <v>163</v>
      </c>
      <c r="EE4" t="s">
        <v>164</v>
      </c>
      <c r="EF4" t="s">
        <v>165</v>
      </c>
      <c r="EG4" t="s">
        <v>166</v>
      </c>
      <c r="EH4" t="s">
        <v>167</v>
      </c>
      <c r="EI4" t="s">
        <v>168</v>
      </c>
      <c r="EJ4" t="s">
        <v>169</v>
      </c>
      <c r="EK4" t="s">
        <v>170</v>
      </c>
      <c r="EL4" t="s">
        <v>171</v>
      </c>
      <c r="EM4" t="s">
        <v>172</v>
      </c>
      <c r="EN4" t="s">
        <v>173</v>
      </c>
      <c r="EO4" t="s">
        <v>174</v>
      </c>
      <c r="EP4" t="s">
        <v>175</v>
      </c>
      <c r="EQ4" t="s">
        <v>176</v>
      </c>
      <c r="ER4" t="s">
        <v>177</v>
      </c>
      <c r="ES4" t="s">
        <v>178</v>
      </c>
      <c r="ET4" t="s">
        <v>179</v>
      </c>
      <c r="EU4" t="s">
        <v>180</v>
      </c>
      <c r="EV4" t="s">
        <v>181</v>
      </c>
      <c r="EW4" t="s">
        <v>182</v>
      </c>
      <c r="EX4" t="s">
        <v>183</v>
      </c>
      <c r="EY4" t="s">
        <v>184</v>
      </c>
      <c r="EZ4" t="s">
        <v>185</v>
      </c>
      <c r="FA4" t="s">
        <v>186</v>
      </c>
      <c r="FB4" t="s">
        <v>187</v>
      </c>
      <c r="FC4" t="s">
        <v>188</v>
      </c>
      <c r="FD4" t="s">
        <v>189</v>
      </c>
      <c r="FE4" t="s">
        <v>190</v>
      </c>
      <c r="FF4" t="s">
        <v>191</v>
      </c>
      <c r="FG4" t="s">
        <v>192</v>
      </c>
      <c r="FH4" t="s">
        <v>193</v>
      </c>
      <c r="FI4" t="s">
        <v>194</v>
      </c>
      <c r="FJ4" t="s">
        <v>195</v>
      </c>
      <c r="FK4" t="s">
        <v>196</v>
      </c>
      <c r="FL4" t="s">
        <v>197</v>
      </c>
      <c r="FM4" t="s">
        <v>198</v>
      </c>
      <c r="FN4" t="s">
        <v>199</v>
      </c>
      <c r="FO4" t="s">
        <v>200</v>
      </c>
      <c r="FP4" t="s">
        <v>201</v>
      </c>
      <c r="FQ4" t="s">
        <v>202</v>
      </c>
      <c r="FR4" t="s">
        <v>203</v>
      </c>
      <c r="FS4" t="s">
        <v>204</v>
      </c>
      <c r="FT4" t="s">
        <v>205</v>
      </c>
      <c r="FU4" t="s">
        <v>206</v>
      </c>
      <c r="FV4" t="s">
        <v>207</v>
      </c>
      <c r="FW4" t="s">
        <v>208</v>
      </c>
      <c r="FX4" t="s">
        <v>209</v>
      </c>
      <c r="FY4" t="s">
        <v>210</v>
      </c>
      <c r="FZ4" t="s">
        <v>211</v>
      </c>
      <c r="GA4" t="s">
        <v>212</v>
      </c>
      <c r="GB4" t="s">
        <v>213</v>
      </c>
      <c r="GC4" t="s">
        <v>214</v>
      </c>
      <c r="GD4" t="s">
        <v>215</v>
      </c>
      <c r="GE4" t="s">
        <v>216</v>
      </c>
      <c r="GF4" t="s">
        <v>217</v>
      </c>
      <c r="GG4" t="s">
        <v>218</v>
      </c>
      <c r="GH4" t="s">
        <v>219</v>
      </c>
      <c r="GI4" t="s">
        <v>220</v>
      </c>
      <c r="GJ4" t="s">
        <v>221</v>
      </c>
      <c r="GK4" t="s">
        <v>222</v>
      </c>
      <c r="GL4" t="s">
        <v>223</v>
      </c>
      <c r="GM4" t="s">
        <v>224</v>
      </c>
      <c r="GN4" t="s">
        <v>225</v>
      </c>
      <c r="GO4" t="s">
        <v>226</v>
      </c>
      <c r="GP4" t="s">
        <v>227</v>
      </c>
      <c r="GQ4" t="s">
        <v>228</v>
      </c>
      <c r="GR4" t="s">
        <v>229</v>
      </c>
      <c r="GS4" t="s">
        <v>230</v>
      </c>
      <c r="GT4" t="s">
        <v>231</v>
      </c>
      <c r="GU4" t="s">
        <v>232</v>
      </c>
      <c r="GV4" t="s">
        <v>246</v>
      </c>
      <c r="GW4" t="s">
        <v>276</v>
      </c>
      <c r="GX4" t="s">
        <v>277</v>
      </c>
      <c r="GY4" t="s">
        <v>283</v>
      </c>
      <c r="GZ4" t="s">
        <v>274</v>
      </c>
      <c r="HA4" t="s">
        <v>275</v>
      </c>
      <c r="HB4" t="s">
        <v>278</v>
      </c>
      <c r="HC4" t="s">
        <v>279</v>
      </c>
      <c r="HD4" t="s">
        <v>280</v>
      </c>
      <c r="HE4" t="s">
        <v>281</v>
      </c>
      <c r="HF4" t="s">
        <v>282</v>
      </c>
      <c r="HG4" t="s">
        <v>284</v>
      </c>
      <c r="HH4" t="s">
        <v>285</v>
      </c>
    </row>
    <row r="5" spans="1:216" x14ac:dyDescent="0.3">
      <c r="A5" s="13" t="s">
        <v>3</v>
      </c>
      <c r="B5" s="13"/>
      <c r="C5" s="3">
        <v>-23614.589599999996</v>
      </c>
      <c r="D5" s="3">
        <v>-65484.982199999344</v>
      </c>
      <c r="E5" s="3">
        <v>-35561.193800000139</v>
      </c>
      <c r="F5" s="3">
        <v>-24891.44709999999</v>
      </c>
      <c r="G5" s="3">
        <v>-48605.14159999985</v>
      </c>
      <c r="H5" s="3">
        <v>-5158.4132000000045</v>
      </c>
      <c r="I5" s="3">
        <v>-5731.4446000000089</v>
      </c>
      <c r="J5" s="3">
        <v>-25554.979500000005</v>
      </c>
      <c r="K5" s="3">
        <v>-23732.257599999986</v>
      </c>
      <c r="L5" s="3">
        <v>-26536.234200000028</v>
      </c>
      <c r="M5" s="3">
        <v>-20037.447199999904</v>
      </c>
      <c r="N5" s="3">
        <v>-39962.977700000076</v>
      </c>
      <c r="O5" s="3">
        <v>-29482.804900000108</v>
      </c>
      <c r="P5" s="3">
        <v>-25106.575599999975</v>
      </c>
      <c r="Q5" s="3">
        <v>-66201.554599999494</v>
      </c>
      <c r="R5" s="3">
        <v>-17537.993299999922</v>
      </c>
      <c r="S5" s="3">
        <v>-28592.547800000131</v>
      </c>
      <c r="T5" s="3">
        <v>-52336.051599999853</v>
      </c>
      <c r="U5" s="3">
        <v>-24093.38630000002</v>
      </c>
      <c r="V5" s="3">
        <v>-53677.500399999888</v>
      </c>
      <c r="W5" s="3">
        <v>-19320.267499999925</v>
      </c>
      <c r="X5" s="3">
        <v>-23716.412000000051</v>
      </c>
      <c r="Y5" s="3">
        <v>-28906.29870000005</v>
      </c>
      <c r="Z5" s="3">
        <v>-58211.487199999501</v>
      </c>
      <c r="AA5" s="3">
        <v>-49458.67079999984</v>
      </c>
      <c r="AB5" s="3">
        <v>-17462.956099999952</v>
      </c>
      <c r="AC5" s="3">
        <v>-17648.120299999817</v>
      </c>
      <c r="AD5" s="3">
        <v>-38125.478100000124</v>
      </c>
      <c r="AE5" s="3">
        <v>-21237.611299999957</v>
      </c>
      <c r="AF5" s="3">
        <v>-37631.050300000119</v>
      </c>
      <c r="AG5" s="3">
        <v>-14581.124399999922</v>
      </c>
      <c r="AH5" s="3">
        <v>-23729.813999999951</v>
      </c>
      <c r="AI5" s="3">
        <v>-27280.739400000053</v>
      </c>
      <c r="AJ5" s="3">
        <v>-22429.035799999911</v>
      </c>
      <c r="AK5" s="3">
        <v>-16955.963899999919</v>
      </c>
      <c r="AL5" s="3">
        <v>-25700.413300000026</v>
      </c>
      <c r="AM5" s="3">
        <v>-60877.710999999879</v>
      </c>
      <c r="AN5" s="3">
        <v>-31405.75190000013</v>
      </c>
      <c r="AO5" s="3">
        <v>-41781.130699999958</v>
      </c>
      <c r="AP5" s="3">
        <v>-47667.688900000001</v>
      </c>
      <c r="AQ5" s="3">
        <v>-43595.006200000105</v>
      </c>
      <c r="AR5" s="3">
        <v>-48818.1985999998</v>
      </c>
      <c r="AS5" s="3">
        <v>-31048.711800000088</v>
      </c>
      <c r="AT5" s="3">
        <v>-31038.547600000049</v>
      </c>
      <c r="AU5" s="3">
        <v>-88237.34729999816</v>
      </c>
      <c r="AV5" s="3">
        <v>-58858.806999999819</v>
      </c>
      <c r="AW5" s="3">
        <v>-49840.689999999959</v>
      </c>
      <c r="AX5" s="3">
        <v>-60959.033099999651</v>
      </c>
      <c r="AY5" s="3">
        <v>-32124.688800000069</v>
      </c>
      <c r="AZ5" s="3">
        <v>-49214.453899999738</v>
      </c>
      <c r="BA5" s="3">
        <v>-27806.303700000033</v>
      </c>
      <c r="BB5" s="3">
        <v>-25944.791799999995</v>
      </c>
      <c r="BC5" s="3">
        <v>-21436.902799999942</v>
      </c>
      <c r="BD5" s="3">
        <v>0</v>
      </c>
      <c r="BE5" s="3">
        <v>-10243.71689999999</v>
      </c>
      <c r="BF5" s="3">
        <v>-25337.13629999998</v>
      </c>
      <c r="BG5" s="3">
        <v>-49164.842599999916</v>
      </c>
      <c r="BH5" s="3">
        <v>-34349.912100000227</v>
      </c>
      <c r="BI5" s="3">
        <v>-49214.499900000075</v>
      </c>
      <c r="BJ5" s="3">
        <v>-11553.493899999981</v>
      </c>
      <c r="BK5" s="3">
        <v>-58376.262099999534</v>
      </c>
      <c r="BL5" s="3">
        <v>-22765.658100000008</v>
      </c>
      <c r="BM5" s="3">
        <v>-17381.666099999926</v>
      </c>
      <c r="BN5" s="3">
        <v>-9253.5381000000016</v>
      </c>
      <c r="BO5" s="3">
        <v>-23064.999799999921</v>
      </c>
      <c r="BP5" s="3">
        <v>-14632.65369999993</v>
      </c>
      <c r="BQ5" s="3">
        <v>-16690.737699999914</v>
      </c>
      <c r="BR5" s="3">
        <v>-17081.764499999968</v>
      </c>
      <c r="BS5" s="3">
        <v>-4176.2341000000024</v>
      </c>
      <c r="BT5" s="3">
        <v>-11600.981599999999</v>
      </c>
      <c r="BU5" s="3">
        <v>-16894.340999999924</v>
      </c>
      <c r="BV5" s="3">
        <v>-9587.2854000000152</v>
      </c>
      <c r="BW5" s="3">
        <v>-3740.0109000000029</v>
      </c>
      <c r="BX5" s="3">
        <v>-30517.449700000088</v>
      </c>
      <c r="BY5" s="3">
        <v>-46962.200599999924</v>
      </c>
      <c r="BZ5" s="3">
        <v>-27851.172799999997</v>
      </c>
      <c r="CA5" s="3">
        <v>-20734.582599999958</v>
      </c>
      <c r="CB5" s="3">
        <v>-43400.393300000054</v>
      </c>
      <c r="CC5" s="3">
        <v>-12309.978199999974</v>
      </c>
      <c r="CD5" s="3">
        <v>-25362.088900000021</v>
      </c>
      <c r="CE5" s="3">
        <v>-35254.983500000133</v>
      </c>
      <c r="CF5" s="3">
        <v>-42043.349700000137</v>
      </c>
      <c r="CG5" s="3">
        <v>-25129.500099999939</v>
      </c>
      <c r="CH5" s="3">
        <v>-44632.950899999931</v>
      </c>
      <c r="CI5" s="3">
        <v>-25751.000199999995</v>
      </c>
      <c r="CJ5" s="3">
        <v>-10368.953300000016</v>
      </c>
      <c r="CK5" s="3">
        <v>-25400.712400000044</v>
      </c>
      <c r="CL5" s="3">
        <v>-19499.121799999848</v>
      </c>
      <c r="CM5" s="3">
        <v>-17508.533499999874</v>
      </c>
      <c r="CN5" s="3">
        <v>-25536.847100000025</v>
      </c>
      <c r="CO5" s="3">
        <v>-11074.535899999995</v>
      </c>
      <c r="CP5" s="3">
        <v>-23373.704899999961</v>
      </c>
      <c r="CQ5" s="3">
        <v>-17392.171299999853</v>
      </c>
      <c r="CR5" s="3">
        <v>-7385.7730000000092</v>
      </c>
      <c r="CS5" s="3">
        <v>-35559.9997</v>
      </c>
      <c r="CT5" s="3">
        <v>-13627.949799999977</v>
      </c>
      <c r="CU5" s="3">
        <v>-37629.196100000219</v>
      </c>
      <c r="CV5" s="3">
        <v>-20746.393099999932</v>
      </c>
      <c r="CW5" s="3">
        <v>-60129.398099999591</v>
      </c>
      <c r="CX5" s="3">
        <v>-16243.548699999888</v>
      </c>
      <c r="CY5" s="3">
        <v>0</v>
      </c>
      <c r="CZ5" s="3">
        <v>-30396.792700000064</v>
      </c>
      <c r="DA5" s="3">
        <v>-34567.014500000121</v>
      </c>
      <c r="DB5" s="3">
        <v>-12873.566699999976</v>
      </c>
      <c r="DC5" s="3">
        <v>-24895.317900000024</v>
      </c>
      <c r="DD5" s="3">
        <v>-72661.433199999345</v>
      </c>
      <c r="DE5" s="3">
        <v>-1559.4141000000002</v>
      </c>
      <c r="DF5" s="3">
        <v>0</v>
      </c>
      <c r="DG5" s="3">
        <v>-851.74060000000009</v>
      </c>
      <c r="DH5" s="3">
        <v>-1840.2362000000007</v>
      </c>
      <c r="DI5" s="3">
        <v>-1615.9991000000007</v>
      </c>
      <c r="DJ5" s="3">
        <v>-5330.3311000000022</v>
      </c>
      <c r="DK5" s="3">
        <v>-1582.8441000000005</v>
      </c>
      <c r="DL5" s="3">
        <v>-1134.6202000000001</v>
      </c>
      <c r="DM5" s="3">
        <v>-12377.923399999963</v>
      </c>
      <c r="DN5" s="3">
        <v>-66419.584899999652</v>
      </c>
      <c r="DO5" s="3">
        <v>-64747.048499999823</v>
      </c>
      <c r="DP5" s="3">
        <v>-25174.247200000031</v>
      </c>
      <c r="DQ5" s="3">
        <v>-31723.308900000149</v>
      </c>
      <c r="DR5" s="3">
        <v>-15726.704899999933</v>
      </c>
      <c r="DS5" s="3">
        <v>-47682.198499999729</v>
      </c>
      <c r="DT5" s="3">
        <v>-1442.8500999999999</v>
      </c>
      <c r="DU5" s="3">
        <v>-1045.0002999999999</v>
      </c>
      <c r="DV5" s="3">
        <v>-2140.9996999999989</v>
      </c>
      <c r="DW5" s="3">
        <v>-1049.0703000000005</v>
      </c>
      <c r="DX5" s="3">
        <v>-2970.773000000002</v>
      </c>
      <c r="DY5" s="3">
        <v>-828.77989999999977</v>
      </c>
      <c r="DZ5" s="3">
        <v>-499.00009999999997</v>
      </c>
      <c r="EA5" s="3">
        <v>-1211.9358</v>
      </c>
      <c r="EB5" s="3">
        <v>-1441.0001000000002</v>
      </c>
      <c r="EC5" s="3">
        <v>-38204.585800000001</v>
      </c>
      <c r="ED5" s="3">
        <v>-15395.51259999994</v>
      </c>
      <c r="EE5" s="3">
        <v>-53338.437899999764</v>
      </c>
      <c r="EF5" s="3">
        <v>-24294.529400000025</v>
      </c>
      <c r="EG5" s="3">
        <v>-20736.078099999882</v>
      </c>
      <c r="EH5" s="3">
        <v>-30114.777200000066</v>
      </c>
      <c r="EI5" s="3">
        <v>-32854.353400000065</v>
      </c>
      <c r="EJ5" s="3">
        <v>-55519.021299999593</v>
      </c>
      <c r="EK5" s="3">
        <v>-45684.439199999964</v>
      </c>
      <c r="EL5" s="3">
        <v>-49710.574199999988</v>
      </c>
      <c r="EM5" s="3">
        <v>-53390.659599999773</v>
      </c>
      <c r="EN5" s="3">
        <v>-47361.339199999951</v>
      </c>
      <c r="EO5" s="3">
        <v>-26749.842000000099</v>
      </c>
      <c r="EP5" s="3">
        <v>-20472.067999999956</v>
      </c>
      <c r="EQ5" s="3">
        <v>-45998.334499999881</v>
      </c>
      <c r="ER5" s="3">
        <v>-67416.767999999371</v>
      </c>
      <c r="ES5" s="3">
        <v>-31790.748100000419</v>
      </c>
      <c r="ET5" s="3">
        <v>-32560.720800000268</v>
      </c>
      <c r="EU5" s="3">
        <v>-22848.998899999999</v>
      </c>
      <c r="EV5" s="3">
        <v>-22515.202399999991</v>
      </c>
      <c r="EW5" s="3">
        <v>-13411.534399999935</v>
      </c>
      <c r="EX5" s="3">
        <v>-15290.279599999922</v>
      </c>
      <c r="EY5" s="3">
        <v>-16978.525699999922</v>
      </c>
      <c r="EZ5" s="3">
        <v>-49060.238000000121</v>
      </c>
      <c r="FA5" s="3">
        <v>-27675.278400000036</v>
      </c>
      <c r="FB5" s="3">
        <v>-13820.585399999976</v>
      </c>
      <c r="FC5" s="3">
        <v>-15102.570199999956</v>
      </c>
      <c r="FD5" s="3">
        <v>-56849.820800000001</v>
      </c>
      <c r="FE5" s="3">
        <v>-46227.753300000149</v>
      </c>
      <c r="FF5" s="3">
        <v>-32554.27880000004</v>
      </c>
      <c r="FG5" s="3">
        <v>-45017.051699999829</v>
      </c>
      <c r="FH5" s="3">
        <v>-23049.583799999968</v>
      </c>
      <c r="FI5" s="3">
        <v>-11035.074999999988</v>
      </c>
      <c r="FJ5" s="3">
        <v>-25398.569299999988</v>
      </c>
      <c r="FK5" s="3">
        <v>-28734.259600000019</v>
      </c>
      <c r="FL5" s="3">
        <v>-17894.148699999911</v>
      </c>
      <c r="FM5" s="3">
        <v>-21740.555599999934</v>
      </c>
      <c r="FN5" s="3">
        <v>-68299.423499999742</v>
      </c>
      <c r="FO5" s="3">
        <v>-34696.156299999951</v>
      </c>
      <c r="FP5" s="3">
        <v>-22604.47369999998</v>
      </c>
      <c r="FQ5" s="3">
        <v>-18984.019899999908</v>
      </c>
      <c r="FR5" s="3">
        <v>-17571.000699999895</v>
      </c>
      <c r="FS5" s="3">
        <v>-56460.950800000042</v>
      </c>
      <c r="FT5" s="3">
        <v>-29680.529300000053</v>
      </c>
      <c r="FU5" s="3">
        <v>-80920.949699999634</v>
      </c>
      <c r="FV5" s="3">
        <v>-52017.261799999978</v>
      </c>
      <c r="FW5" s="3">
        <v>-39137.691200000037</v>
      </c>
      <c r="FX5" s="3">
        <v>-40740.542600000117</v>
      </c>
      <c r="FY5" s="3">
        <v>-11007.203000000018</v>
      </c>
      <c r="FZ5" s="3">
        <v>-16602.189899999918</v>
      </c>
      <c r="GA5" s="3">
        <v>-2288.5162999999984</v>
      </c>
      <c r="GB5" s="3">
        <v>-41976.169899999913</v>
      </c>
      <c r="GC5" s="3">
        <v>-27431.307899999967</v>
      </c>
      <c r="GD5" s="3">
        <v>-12407.464299999921</v>
      </c>
      <c r="GE5" s="3">
        <v>-28001.674300000039</v>
      </c>
      <c r="GF5" s="3">
        <v>-30437.709800000055</v>
      </c>
      <c r="GG5" s="3">
        <v>-33101.249100000132</v>
      </c>
      <c r="GH5" s="3">
        <v>-19035.927099999855</v>
      </c>
      <c r="GI5" s="3">
        <v>-44060.086200000093</v>
      </c>
      <c r="GJ5" s="3">
        <v>-25844.954899999961</v>
      </c>
      <c r="GK5" s="3">
        <v>-20451.548499999939</v>
      </c>
      <c r="GL5" s="3">
        <v>-86034.619499999899</v>
      </c>
      <c r="GM5" s="3">
        <v>-18831.740499999909</v>
      </c>
      <c r="GN5" s="3">
        <v>-41196.086300000141</v>
      </c>
      <c r="GO5" s="3">
        <v>-25680.461099999986</v>
      </c>
      <c r="GP5" s="3">
        <v>-26213.515100000106</v>
      </c>
      <c r="GQ5" s="3">
        <v>-39646.283300000177</v>
      </c>
      <c r="GR5" s="3">
        <v>-37071.455200000171</v>
      </c>
      <c r="GS5" s="3">
        <v>-58221.253899999843</v>
      </c>
      <c r="GT5" s="3">
        <v>-21764.70809999992</v>
      </c>
      <c r="GU5" s="3">
        <v>-35422.252800000104</v>
      </c>
      <c r="GV5" s="3">
        <v>-5820614.7322999928</v>
      </c>
      <c r="GW5" s="3">
        <v>-15386.07399999991</v>
      </c>
      <c r="GX5" s="3">
        <v>0</v>
      </c>
      <c r="GY5" s="3">
        <v>0</v>
      </c>
      <c r="GZ5" s="3" t="s">
        <v>274</v>
      </c>
      <c r="HA5" s="3">
        <v>-15485.760199999937</v>
      </c>
      <c r="HB5" s="3">
        <v>-1827.7316999999994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</row>
    <row r="6" spans="1:216" x14ac:dyDescent="0.3">
      <c r="A6" s="13" t="s">
        <v>2</v>
      </c>
      <c r="B6" s="13"/>
      <c r="C6" s="3">
        <v>12086.265100000002</v>
      </c>
      <c r="D6" s="3">
        <v>24551.361600000011</v>
      </c>
      <c r="E6" s="3">
        <v>14084.894900000007</v>
      </c>
      <c r="F6" s="3">
        <v>9430.9676999999774</v>
      </c>
      <c r="G6" s="3">
        <v>21020.64589999993</v>
      </c>
      <c r="H6" s="3">
        <v>1973.3611999999989</v>
      </c>
      <c r="I6" s="3">
        <v>1956.2861000000003</v>
      </c>
      <c r="J6" s="3">
        <v>12450.934599999986</v>
      </c>
      <c r="K6" s="3">
        <v>7730.4194000000034</v>
      </c>
      <c r="L6" s="3">
        <v>17138.736100000027</v>
      </c>
      <c r="M6" s="3">
        <v>8419.2620000000043</v>
      </c>
      <c r="N6" s="3">
        <v>14138.995400000016</v>
      </c>
      <c r="O6" s="3">
        <v>14812.002000000004</v>
      </c>
      <c r="P6" s="3">
        <v>12825.660800000014</v>
      </c>
      <c r="Q6" s="3">
        <v>30609.263700000014</v>
      </c>
      <c r="R6" s="3">
        <v>9041.8022000000037</v>
      </c>
      <c r="S6" s="3">
        <v>11074.552400000024</v>
      </c>
      <c r="T6" s="3">
        <v>25103.168199999986</v>
      </c>
      <c r="U6" s="3">
        <v>15998.366400000003</v>
      </c>
      <c r="V6" s="3">
        <v>36724.637399999992</v>
      </c>
      <c r="W6" s="3">
        <v>9602.1234999999906</v>
      </c>
      <c r="X6" s="3">
        <v>16132.547200000005</v>
      </c>
      <c r="Y6" s="3">
        <v>10336.802199999982</v>
      </c>
      <c r="Z6" s="3">
        <v>24185.819100000048</v>
      </c>
      <c r="AA6" s="3">
        <v>19923.209400000018</v>
      </c>
      <c r="AB6" s="3">
        <v>11083.616700000008</v>
      </c>
      <c r="AC6" s="3">
        <v>5442.0999999999995</v>
      </c>
      <c r="AD6" s="3">
        <v>14283.128499999981</v>
      </c>
      <c r="AE6" s="3">
        <v>9268.5884000000187</v>
      </c>
      <c r="AF6" s="3">
        <v>19098.960100000011</v>
      </c>
      <c r="AG6" s="3">
        <v>4629.2367999999942</v>
      </c>
      <c r="AH6" s="3">
        <v>7519.8533999999945</v>
      </c>
      <c r="AI6" s="3">
        <v>9870.4569000000283</v>
      </c>
      <c r="AJ6" s="3">
        <v>8006.3667999999834</v>
      </c>
      <c r="AK6" s="3">
        <v>11944.575299999999</v>
      </c>
      <c r="AL6" s="3">
        <v>9352.1717000000008</v>
      </c>
      <c r="AM6" s="3">
        <v>28324.383800000116</v>
      </c>
      <c r="AN6" s="3">
        <v>12299.749200000007</v>
      </c>
      <c r="AO6" s="3">
        <v>15747.422</v>
      </c>
      <c r="AP6" s="3">
        <v>24576.906200000005</v>
      </c>
      <c r="AQ6" s="3">
        <v>21845.486700000063</v>
      </c>
      <c r="AR6" s="3">
        <v>16198.317300000022</v>
      </c>
      <c r="AS6" s="3">
        <v>12833.448400000008</v>
      </c>
      <c r="AT6" s="3">
        <v>13241.996600000004</v>
      </c>
      <c r="AU6" s="3">
        <v>36223.597600000227</v>
      </c>
      <c r="AV6" s="3">
        <v>26595.909100000015</v>
      </c>
      <c r="AW6" s="3">
        <v>27441.468700000045</v>
      </c>
      <c r="AX6" s="3">
        <v>27068.118499999953</v>
      </c>
      <c r="AY6" s="3">
        <v>13239.076000000001</v>
      </c>
      <c r="AZ6" s="3">
        <v>21399.024799999963</v>
      </c>
      <c r="BA6" s="3">
        <v>11805.529400000027</v>
      </c>
      <c r="BB6" s="3">
        <v>13023.804600000058</v>
      </c>
      <c r="BC6" s="3">
        <v>7488.8579000000009</v>
      </c>
      <c r="BD6" s="3">
        <v>3355.7757999999953</v>
      </c>
      <c r="BE6" s="3">
        <v>4979.2368000000024</v>
      </c>
      <c r="BF6" s="3">
        <v>9175.911700000006</v>
      </c>
      <c r="BG6" s="3">
        <v>20005.992400000097</v>
      </c>
      <c r="BH6" s="3">
        <v>16073.807800000102</v>
      </c>
      <c r="BI6" s="3">
        <v>24413.85920000005</v>
      </c>
      <c r="BJ6" s="3">
        <v>7020.3445999999967</v>
      </c>
      <c r="BK6" s="3">
        <v>20416.41610000006</v>
      </c>
      <c r="BL6" s="3">
        <v>10861.802699999993</v>
      </c>
      <c r="BM6" s="3">
        <v>8056.7683999999972</v>
      </c>
      <c r="BN6" s="3">
        <v>4955.5352999999968</v>
      </c>
      <c r="BO6" s="3">
        <v>10890.637700000016</v>
      </c>
      <c r="BP6" s="3">
        <v>6889.0028000000148</v>
      </c>
      <c r="BQ6" s="3">
        <v>7313.5932999999977</v>
      </c>
      <c r="BR6" s="3">
        <v>7926.2770999999993</v>
      </c>
      <c r="BS6" s="3">
        <v>1456.438699999999</v>
      </c>
      <c r="BT6" s="3">
        <v>4195.0830000000051</v>
      </c>
      <c r="BU6" s="3">
        <v>5618.5344999999916</v>
      </c>
      <c r="BV6" s="3">
        <v>3360.2499999999973</v>
      </c>
      <c r="BW6" s="3">
        <v>1185.9529000000002</v>
      </c>
      <c r="BX6" s="3">
        <v>11756.959499999986</v>
      </c>
      <c r="BY6" s="3">
        <v>20113.452100000057</v>
      </c>
      <c r="BZ6" s="3">
        <v>11520.780300000022</v>
      </c>
      <c r="CA6" s="3">
        <v>9755.0308999999797</v>
      </c>
      <c r="CB6" s="3">
        <v>19579.90380000008</v>
      </c>
      <c r="CC6" s="3">
        <v>4702.2448999999979</v>
      </c>
      <c r="CD6" s="3">
        <v>12486.322100000019</v>
      </c>
      <c r="CE6" s="3">
        <v>14468.55130000003</v>
      </c>
      <c r="CF6" s="3">
        <v>16110.863299999995</v>
      </c>
      <c r="CG6" s="3">
        <v>8009.8962999999949</v>
      </c>
      <c r="CH6" s="3">
        <v>19272.313100000028</v>
      </c>
      <c r="CI6" s="3">
        <v>12487.965899999994</v>
      </c>
      <c r="CJ6" s="3">
        <v>3623.1303999999946</v>
      </c>
      <c r="CK6" s="3">
        <v>8818.7057000000295</v>
      </c>
      <c r="CL6" s="3">
        <v>5306.6519999999837</v>
      </c>
      <c r="CM6" s="3">
        <v>7819.9273999999987</v>
      </c>
      <c r="CN6" s="3">
        <v>-15545.30779999996</v>
      </c>
      <c r="CO6" s="3">
        <v>7130.6303000000034</v>
      </c>
      <c r="CP6" s="3">
        <v>8006.4637999999877</v>
      </c>
      <c r="CQ6" s="3">
        <v>6511.5519999999979</v>
      </c>
      <c r="CR6" s="3">
        <v>3779.1140999999989</v>
      </c>
      <c r="CS6" s="3">
        <v>16680.028299999987</v>
      </c>
      <c r="CT6" s="3">
        <v>6433.3605999999945</v>
      </c>
      <c r="CU6" s="3">
        <v>19356.975400000043</v>
      </c>
      <c r="CV6" s="3">
        <v>11481.387700000023</v>
      </c>
      <c r="CW6" s="3">
        <v>25685.997900000115</v>
      </c>
      <c r="CX6" s="3">
        <v>6246.3982000000124</v>
      </c>
      <c r="CY6" s="3">
        <v>2354.6958999999997</v>
      </c>
      <c r="CZ6" s="3">
        <v>12559.461400000009</v>
      </c>
      <c r="DA6" s="3">
        <v>15369.123400000015</v>
      </c>
      <c r="DB6" s="3">
        <v>7031.7771999999904</v>
      </c>
      <c r="DC6" s="3">
        <v>8803.1915000000135</v>
      </c>
      <c r="DD6" s="3">
        <v>27559.861500000141</v>
      </c>
      <c r="DE6" s="3">
        <v>914.35130000000004</v>
      </c>
      <c r="DF6" s="3">
        <v>10857.880899999998</v>
      </c>
      <c r="DG6" s="3">
        <v>409.6230000000001</v>
      </c>
      <c r="DH6" s="3">
        <v>756.11539999999945</v>
      </c>
      <c r="DI6" s="3">
        <v>801.62459999999987</v>
      </c>
      <c r="DJ6" s="3">
        <v>2845.1969000000017</v>
      </c>
      <c r="DK6" s="3">
        <v>1014.2120999999999</v>
      </c>
      <c r="DL6" s="3">
        <v>687.52970000000005</v>
      </c>
      <c r="DM6" s="3">
        <v>5635.0787000000037</v>
      </c>
      <c r="DN6" s="3">
        <v>29084.615699999984</v>
      </c>
      <c r="DO6" s="3">
        <v>27799.59820000011</v>
      </c>
      <c r="DP6" s="3">
        <v>14487.803900000014</v>
      </c>
      <c r="DQ6" s="3">
        <v>10379.356100000061</v>
      </c>
      <c r="DR6" s="3">
        <v>9685.248999999998</v>
      </c>
      <c r="DS6" s="3">
        <v>17068.351799999997</v>
      </c>
      <c r="DT6" s="3">
        <v>290.26040000000012</v>
      </c>
      <c r="DU6" s="3">
        <v>206.87199999999996</v>
      </c>
      <c r="DV6" s="3">
        <v>644.83170000000007</v>
      </c>
      <c r="DW6" s="3">
        <v>196.76710000000011</v>
      </c>
      <c r="DX6" s="3">
        <v>1007.5874999999999</v>
      </c>
      <c r="DY6" s="3">
        <v>151.84440000000001</v>
      </c>
      <c r="DZ6" s="3">
        <v>59.647299999999994</v>
      </c>
      <c r="EA6" s="3">
        <v>324.70210000000003</v>
      </c>
      <c r="EB6" s="3">
        <v>983.58240000000023</v>
      </c>
      <c r="EC6" s="3">
        <v>22248.240600000012</v>
      </c>
      <c r="ED6" s="3">
        <v>5475.2387000000108</v>
      </c>
      <c r="EE6" s="3">
        <v>18516.195699999946</v>
      </c>
      <c r="EF6" s="3">
        <v>8425.0163000000084</v>
      </c>
      <c r="EG6" s="3">
        <v>7008.0314999999973</v>
      </c>
      <c r="EH6" s="3">
        <v>11283.612299999997</v>
      </c>
      <c r="EI6" s="3">
        <v>13311.797900000005</v>
      </c>
      <c r="EJ6" s="3">
        <v>23066.884400000043</v>
      </c>
      <c r="EK6" s="3">
        <v>23998.021099999962</v>
      </c>
      <c r="EL6" s="3">
        <v>21686.044799999952</v>
      </c>
      <c r="EM6" s="3">
        <v>21910.854999999978</v>
      </c>
      <c r="EN6" s="3">
        <v>20074.975100000091</v>
      </c>
      <c r="EO6" s="3">
        <v>10587.652200000024</v>
      </c>
      <c r="EP6" s="3">
        <v>9279.5297000000046</v>
      </c>
      <c r="EQ6" s="3">
        <v>19739.201699999961</v>
      </c>
      <c r="ER6" s="3">
        <v>21059.433400000198</v>
      </c>
      <c r="ES6" s="3">
        <v>8091.7564999999749</v>
      </c>
      <c r="ET6" s="3">
        <v>7827.0744999999843</v>
      </c>
      <c r="EU6" s="3">
        <v>9403.2525000000187</v>
      </c>
      <c r="EV6" s="3">
        <v>6760.280800000005</v>
      </c>
      <c r="EW6" s="3">
        <v>5020.6083999999946</v>
      </c>
      <c r="EX6" s="3">
        <v>6036.646100000009</v>
      </c>
      <c r="EY6" s="3">
        <v>10730.048699999985</v>
      </c>
      <c r="EZ6" s="3">
        <v>18707.508000000111</v>
      </c>
      <c r="FA6" s="3">
        <v>10614.512200000003</v>
      </c>
      <c r="FB6" s="3">
        <v>5715.3639000000021</v>
      </c>
      <c r="FC6" s="3">
        <v>8516.3843000000088</v>
      </c>
      <c r="FD6" s="3">
        <v>33162.03370000008</v>
      </c>
      <c r="FE6" s="3">
        <v>20475.148999999987</v>
      </c>
      <c r="FF6" s="3">
        <v>14274.998900000053</v>
      </c>
      <c r="FG6" s="3">
        <v>16369.589399999944</v>
      </c>
      <c r="FH6" s="3">
        <v>9372.1613000000034</v>
      </c>
      <c r="FI6" s="3">
        <v>4340.3484999999973</v>
      </c>
      <c r="FJ6" s="3">
        <v>13853.631600000015</v>
      </c>
      <c r="FK6" s="3">
        <v>14679.479400000004</v>
      </c>
      <c r="FL6" s="3">
        <v>7466.1372000000101</v>
      </c>
      <c r="FM6" s="3">
        <v>8219.0717000000004</v>
      </c>
      <c r="FN6" s="3">
        <v>32890.848100000061</v>
      </c>
      <c r="FO6" s="3">
        <v>12054.80390000003</v>
      </c>
      <c r="FP6" s="3">
        <v>8932.9586000000145</v>
      </c>
      <c r="FQ6" s="3">
        <v>7518.343299999995</v>
      </c>
      <c r="FR6" s="3">
        <v>6951.7597000000014</v>
      </c>
      <c r="FS6" s="3">
        <v>22921.173999999948</v>
      </c>
      <c r="FT6" s="3">
        <v>12822.932099999984</v>
      </c>
      <c r="FU6" s="3">
        <v>36133.867200000022</v>
      </c>
      <c r="FV6" s="3">
        <v>21188.999900000017</v>
      </c>
      <c r="FW6" s="3">
        <v>14498.631399999966</v>
      </c>
      <c r="FX6" s="3">
        <v>13983.472700000024</v>
      </c>
      <c r="FY6" s="3">
        <v>5230.5885000000007</v>
      </c>
      <c r="FZ6" s="3">
        <v>6646.8899000000192</v>
      </c>
      <c r="GA6" s="3">
        <v>897.72010000000057</v>
      </c>
      <c r="GB6" s="3">
        <v>15638.370900000011</v>
      </c>
      <c r="GC6" s="3">
        <v>15146.047200000001</v>
      </c>
      <c r="GD6" s="3">
        <v>3232.2550999999939</v>
      </c>
      <c r="GE6" s="3">
        <v>10871.045000000016</v>
      </c>
      <c r="GF6" s="3">
        <v>12584.807800000048</v>
      </c>
      <c r="GG6" s="3">
        <v>12533.141200000015</v>
      </c>
      <c r="GH6" s="3">
        <v>6605.1754000000092</v>
      </c>
      <c r="GI6" s="3">
        <v>22170.221300000016</v>
      </c>
      <c r="GJ6" s="3">
        <v>8460.9014999999981</v>
      </c>
      <c r="GK6" s="3">
        <v>5886.0270999999902</v>
      </c>
      <c r="GL6" s="3">
        <v>36086.71110000019</v>
      </c>
      <c r="GM6" s="3">
        <v>6976.9688999999953</v>
      </c>
      <c r="GN6" s="3">
        <v>15605.497699999974</v>
      </c>
      <c r="GO6" s="3">
        <v>9327.071199999993</v>
      </c>
      <c r="GP6" s="3">
        <v>12477.399599999993</v>
      </c>
      <c r="GQ6" s="3">
        <v>13796.555100000089</v>
      </c>
      <c r="GR6" s="3">
        <v>14740.631100000033</v>
      </c>
      <c r="GS6" s="3">
        <v>23374.842500000035</v>
      </c>
      <c r="GT6" s="3">
        <v>8098.5486999999875</v>
      </c>
      <c r="GU6" s="3">
        <v>12431.143300000003</v>
      </c>
      <c r="GV6" s="3">
        <v>2465973.2971000024</v>
      </c>
      <c r="GW6" s="3">
        <v>3695.4726999999943</v>
      </c>
      <c r="GX6" s="3">
        <v>0</v>
      </c>
      <c r="GY6" s="3">
        <v>148.53309999999999</v>
      </c>
      <c r="GZ6" s="3" t="s">
        <v>274</v>
      </c>
      <c r="HA6" s="3">
        <v>4600.9243999999935</v>
      </c>
      <c r="HB6" s="3">
        <v>288.24500000000012</v>
      </c>
      <c r="HC6" s="3">
        <v>7.74</v>
      </c>
      <c r="HD6" s="3">
        <v>114.70010000000001</v>
      </c>
      <c r="HE6" s="3">
        <v>0</v>
      </c>
      <c r="HF6" s="3">
        <v>127.51439999999999</v>
      </c>
      <c r="HG6" s="3">
        <v>0</v>
      </c>
      <c r="HH6" s="3">
        <v>41.5</v>
      </c>
    </row>
    <row r="7" spans="1:216" x14ac:dyDescent="0.3">
      <c r="A7" s="13" t="s">
        <v>1</v>
      </c>
      <c r="B7" s="13"/>
      <c r="C7" s="3">
        <v>3710.0826000000006</v>
      </c>
      <c r="D7" s="3">
        <v>8926.9090999999989</v>
      </c>
      <c r="E7" s="3">
        <v>4007.7649999999994</v>
      </c>
      <c r="F7" s="3">
        <v>4953.7052000000003</v>
      </c>
      <c r="G7" s="3">
        <v>8243.6856000000007</v>
      </c>
      <c r="H7" s="3">
        <v>1280.06</v>
      </c>
      <c r="I7" s="3">
        <v>1300.6474999999998</v>
      </c>
      <c r="J7" s="3">
        <v>5114.6923999999999</v>
      </c>
      <c r="K7" s="3">
        <v>4367.5986000000003</v>
      </c>
      <c r="L7" s="3">
        <v>2812.1097</v>
      </c>
      <c r="M7" s="3">
        <v>2877.8226999999997</v>
      </c>
      <c r="N7" s="3">
        <v>9221.4418000000005</v>
      </c>
      <c r="O7" s="3">
        <v>4770.793999999999</v>
      </c>
      <c r="P7" s="3">
        <v>3229.9431000000004</v>
      </c>
      <c r="Q7" s="3">
        <v>11920.939800000002</v>
      </c>
      <c r="R7" s="3">
        <v>2726.7022000000006</v>
      </c>
      <c r="S7" s="3">
        <v>4412.3079000000007</v>
      </c>
      <c r="T7" s="3">
        <v>8873.6725999999999</v>
      </c>
      <c r="U7" s="3">
        <v>3175.0146999999997</v>
      </c>
      <c r="V7" s="3">
        <v>6402.190599999999</v>
      </c>
      <c r="W7" s="3">
        <v>3625.6247999999991</v>
      </c>
      <c r="X7" s="3">
        <v>4308.3310999999994</v>
      </c>
      <c r="Y7" s="3">
        <v>4256.4154000000008</v>
      </c>
      <c r="Z7" s="3">
        <v>12591.489500000003</v>
      </c>
      <c r="AA7" s="3">
        <v>4745.6503000000012</v>
      </c>
      <c r="AB7" s="3">
        <v>3410.2719000000002</v>
      </c>
      <c r="AC7" s="3">
        <v>4005.5963000000006</v>
      </c>
      <c r="AD7" s="3">
        <v>4761.1460999999999</v>
      </c>
      <c r="AE7" s="3">
        <v>2941.9350999999997</v>
      </c>
      <c r="AF7" s="3">
        <v>4363.3168000000005</v>
      </c>
      <c r="AG7" s="3">
        <v>4817.0900999999985</v>
      </c>
      <c r="AH7" s="3">
        <v>8783.091699999999</v>
      </c>
      <c r="AI7" s="3">
        <v>4292.0171000000009</v>
      </c>
      <c r="AJ7" s="3">
        <v>5232.8946000000005</v>
      </c>
      <c r="AK7" s="3">
        <v>1173.6035000000002</v>
      </c>
      <c r="AL7" s="3">
        <v>3480.9109000000003</v>
      </c>
      <c r="AM7" s="3">
        <v>9848.357</v>
      </c>
      <c r="AN7" s="3">
        <v>4807.1869999999999</v>
      </c>
      <c r="AO7" s="3">
        <v>5356.3493999999992</v>
      </c>
      <c r="AP7" s="3">
        <v>9025.8654000000006</v>
      </c>
      <c r="AQ7" s="3">
        <v>7681.8180000000002</v>
      </c>
      <c r="AR7" s="3">
        <v>4950.8448000000017</v>
      </c>
      <c r="AS7" s="3">
        <v>7154.0311000000011</v>
      </c>
      <c r="AT7" s="3">
        <v>3940.4513000000006</v>
      </c>
      <c r="AU7" s="3">
        <v>20167.952800000003</v>
      </c>
      <c r="AV7" s="3">
        <v>5933.8024000000005</v>
      </c>
      <c r="AW7" s="3">
        <v>5400.4542999999985</v>
      </c>
      <c r="AX7" s="3">
        <v>8991.5445</v>
      </c>
      <c r="AY7" s="3">
        <v>5268.1636000000008</v>
      </c>
      <c r="AZ7" s="3">
        <v>5523.8226000000004</v>
      </c>
      <c r="BA7" s="3">
        <v>5778.7933000000003</v>
      </c>
      <c r="BB7" s="3">
        <v>3620.9410000000003</v>
      </c>
      <c r="BC7" s="3">
        <v>2606.4639999999995</v>
      </c>
      <c r="BD7" s="3">
        <v>312.49979999999999</v>
      </c>
      <c r="BE7" s="3">
        <v>2924.1035999999995</v>
      </c>
      <c r="BF7" s="3">
        <v>3497.7169000000004</v>
      </c>
      <c r="BG7" s="3">
        <v>5158.5051999999987</v>
      </c>
      <c r="BH7" s="3">
        <v>8214.3152999999966</v>
      </c>
      <c r="BI7" s="3">
        <v>12720.4197</v>
      </c>
      <c r="BJ7" s="3">
        <v>2604.9811</v>
      </c>
      <c r="BK7" s="3">
        <v>6272.7398999999996</v>
      </c>
      <c r="BL7" s="3">
        <v>4604.9153000000006</v>
      </c>
      <c r="BM7" s="3">
        <v>3526.1233000000002</v>
      </c>
      <c r="BN7" s="3">
        <v>0</v>
      </c>
      <c r="BO7" s="3">
        <v>1934.1743000000001</v>
      </c>
      <c r="BP7" s="3">
        <v>2621.3684000000003</v>
      </c>
      <c r="BQ7" s="3">
        <v>3304.8839000000003</v>
      </c>
      <c r="BR7" s="3">
        <v>2244.6202999999991</v>
      </c>
      <c r="BS7" s="3">
        <v>2433.6684999999998</v>
      </c>
      <c r="BT7" s="3">
        <v>2706.0539000000003</v>
      </c>
      <c r="BU7" s="3">
        <v>3950.1833000000001</v>
      </c>
      <c r="BV7" s="3">
        <v>2779.1048999999998</v>
      </c>
      <c r="BW7" s="3">
        <v>2072.9969999999998</v>
      </c>
      <c r="BX7" s="3">
        <v>6044.122199999998</v>
      </c>
      <c r="BY7" s="3">
        <v>6020.0696000000007</v>
      </c>
      <c r="BZ7" s="3">
        <v>2685.4778000000001</v>
      </c>
      <c r="CA7" s="3">
        <v>6303.9434999999985</v>
      </c>
      <c r="CB7" s="3">
        <v>5263.9643999999998</v>
      </c>
      <c r="CC7" s="3">
        <v>1992.8072999999997</v>
      </c>
      <c r="CD7" s="3">
        <v>3946.3833999999988</v>
      </c>
      <c r="CE7" s="3">
        <v>3886.0248000000001</v>
      </c>
      <c r="CF7" s="3">
        <v>4352.0585999999994</v>
      </c>
      <c r="CG7" s="3">
        <v>6528.7195000000011</v>
      </c>
      <c r="CH7" s="3">
        <v>11957.685899999999</v>
      </c>
      <c r="CI7" s="3">
        <v>5544.9269000000004</v>
      </c>
      <c r="CJ7" s="3">
        <v>3696.7380000000003</v>
      </c>
      <c r="CK7" s="3">
        <v>4074.7298999999989</v>
      </c>
      <c r="CL7" s="3">
        <v>5936.0498000000007</v>
      </c>
      <c r="CM7" s="3">
        <v>8019.0051999999996</v>
      </c>
      <c r="CN7" s="3">
        <v>4346.9749999999995</v>
      </c>
      <c r="CO7" s="3">
        <v>8498.0190999999995</v>
      </c>
      <c r="CP7" s="3">
        <v>7086.2856000000002</v>
      </c>
      <c r="CQ7" s="3">
        <v>4134.5360999999994</v>
      </c>
      <c r="CR7" s="3">
        <v>2271.2354</v>
      </c>
      <c r="CS7" s="3">
        <v>4856.1212000000005</v>
      </c>
      <c r="CT7" s="3">
        <v>4133.3717999999999</v>
      </c>
      <c r="CU7" s="3">
        <v>4392.4524000000019</v>
      </c>
      <c r="CV7" s="3">
        <v>4062.8688000000006</v>
      </c>
      <c r="CW7" s="3">
        <v>9881.2192999999988</v>
      </c>
      <c r="CX7" s="3">
        <v>4818.8411999999998</v>
      </c>
      <c r="CY7" s="3">
        <v>204.63460000000003</v>
      </c>
      <c r="CZ7" s="3">
        <v>9589.6753999999983</v>
      </c>
      <c r="DA7" s="3">
        <v>3575.3854000000006</v>
      </c>
      <c r="DB7" s="3">
        <v>2891.2991999999995</v>
      </c>
      <c r="DC7" s="3">
        <v>5941.6230999999989</v>
      </c>
      <c r="DD7" s="3">
        <v>10337.465100000001</v>
      </c>
      <c r="DE7" s="3">
        <v>505.18959999999998</v>
      </c>
      <c r="DF7" s="3">
        <v>-120.03119999999998</v>
      </c>
      <c r="DG7" s="3">
        <v>945.55469999999991</v>
      </c>
      <c r="DH7" s="3">
        <v>204.43339999999995</v>
      </c>
      <c r="DI7" s="3">
        <v>606.37469999999996</v>
      </c>
      <c r="DJ7" s="3">
        <v>1618.7636</v>
      </c>
      <c r="DK7" s="3">
        <v>53.862599999999993</v>
      </c>
      <c r="DL7" s="3">
        <v>552.17549999999994</v>
      </c>
      <c r="DM7" s="3">
        <v>3396.2266000000004</v>
      </c>
      <c r="DN7" s="3">
        <v>6471.5995000000003</v>
      </c>
      <c r="DO7" s="3">
        <v>6328.4298000000008</v>
      </c>
      <c r="DP7" s="3">
        <v>2909.2976999999996</v>
      </c>
      <c r="DQ7" s="3">
        <v>4936.5410999999995</v>
      </c>
      <c r="DR7" s="3">
        <v>3954.1940999999997</v>
      </c>
      <c r="DS7" s="3">
        <v>4142.4059999999999</v>
      </c>
      <c r="DT7" s="3">
        <v>302.1155</v>
      </c>
      <c r="DU7" s="3">
        <v>412.75</v>
      </c>
      <c r="DV7" s="3">
        <v>644.57420000000013</v>
      </c>
      <c r="DW7" s="3">
        <v>297.62</v>
      </c>
      <c r="DX7" s="3">
        <v>349.58870000000002</v>
      </c>
      <c r="DY7" s="3">
        <v>310.97000000000003</v>
      </c>
      <c r="DZ7" s="3">
        <v>309</v>
      </c>
      <c r="EA7" s="3">
        <v>309</v>
      </c>
      <c r="EB7" s="3">
        <v>363.02699999999999</v>
      </c>
      <c r="EC7" s="3">
        <v>8684.6855000000014</v>
      </c>
      <c r="ED7" s="3">
        <v>4128.1182999999992</v>
      </c>
      <c r="EE7" s="3">
        <v>9615.4077999999972</v>
      </c>
      <c r="EF7" s="3">
        <v>2685.9860000000008</v>
      </c>
      <c r="EG7" s="3">
        <v>6862.665399999999</v>
      </c>
      <c r="EH7" s="3">
        <v>4211.7501999999995</v>
      </c>
      <c r="EI7" s="3">
        <v>3094.5486999999998</v>
      </c>
      <c r="EJ7" s="3">
        <v>6154.9069000000009</v>
      </c>
      <c r="EK7" s="3">
        <v>5093.5461999999998</v>
      </c>
      <c r="EL7" s="3">
        <v>5889.7167999999992</v>
      </c>
      <c r="EM7" s="3">
        <v>9132.0317000000014</v>
      </c>
      <c r="EN7" s="3">
        <v>9651.3003999999983</v>
      </c>
      <c r="EO7" s="3">
        <v>3793.8156999999997</v>
      </c>
      <c r="EP7" s="3">
        <v>2929.3233</v>
      </c>
      <c r="EQ7" s="3">
        <v>3170.6986000000002</v>
      </c>
      <c r="ER7" s="3">
        <v>7917.0174000000015</v>
      </c>
      <c r="ES7" s="3">
        <v>8214.2908000000007</v>
      </c>
      <c r="ET7" s="3">
        <v>5840.4925999999996</v>
      </c>
      <c r="EU7" s="3">
        <v>6287.5193999999992</v>
      </c>
      <c r="EV7" s="3">
        <v>3411.9325000000003</v>
      </c>
      <c r="EW7" s="3">
        <v>4204.4165000000003</v>
      </c>
      <c r="EX7" s="3">
        <v>4637.8785000000007</v>
      </c>
      <c r="EY7" s="3">
        <v>2375.4712</v>
      </c>
      <c r="EZ7" s="3">
        <v>8543.3698000000022</v>
      </c>
      <c r="FA7" s="3">
        <v>3707.5108</v>
      </c>
      <c r="FB7" s="3">
        <v>1690.2779</v>
      </c>
      <c r="FC7" s="3">
        <v>3933.2087000000001</v>
      </c>
      <c r="FD7" s="3">
        <v>6667.9426000000003</v>
      </c>
      <c r="FE7" s="3">
        <v>5437.5883999999996</v>
      </c>
      <c r="FF7" s="3">
        <v>7585.3731999999964</v>
      </c>
      <c r="FG7" s="3">
        <v>6022.8410000000013</v>
      </c>
      <c r="FH7" s="3">
        <v>2755.4644999999991</v>
      </c>
      <c r="FI7" s="3">
        <v>3293.4607999999994</v>
      </c>
      <c r="FJ7" s="3">
        <v>3108.6596999999997</v>
      </c>
      <c r="FK7" s="3">
        <v>2794.0142000000001</v>
      </c>
      <c r="FL7" s="3">
        <v>2039.8145000000002</v>
      </c>
      <c r="FM7" s="3">
        <v>3210.6998999999992</v>
      </c>
      <c r="FN7" s="3">
        <v>6290.2664000000004</v>
      </c>
      <c r="FO7" s="3">
        <v>3807.8253</v>
      </c>
      <c r="FP7" s="3">
        <v>4125.1781000000001</v>
      </c>
      <c r="FQ7" s="3">
        <v>3061.3899000000001</v>
      </c>
      <c r="FR7" s="3">
        <v>2488.4020000000005</v>
      </c>
      <c r="FS7" s="3">
        <v>6908.1339999999991</v>
      </c>
      <c r="FT7" s="3">
        <v>4107.6276999999991</v>
      </c>
      <c r="FU7" s="3">
        <v>10383.527800000002</v>
      </c>
      <c r="FV7" s="3">
        <v>11656.341299999998</v>
      </c>
      <c r="FW7" s="3">
        <v>6846.5487999999996</v>
      </c>
      <c r="FX7" s="3">
        <v>6137.5047999999997</v>
      </c>
      <c r="FY7" s="3">
        <v>3918.48</v>
      </c>
      <c r="FZ7" s="3">
        <v>3454.1625999999997</v>
      </c>
      <c r="GA7" s="3">
        <v>957.75000000000011</v>
      </c>
      <c r="GB7" s="3">
        <v>5826.3663999999999</v>
      </c>
      <c r="GC7" s="3">
        <v>4697.5047999999997</v>
      </c>
      <c r="GD7" s="3">
        <v>4998.9735999999984</v>
      </c>
      <c r="GE7" s="3">
        <v>3791.3079999999995</v>
      </c>
      <c r="GF7" s="3">
        <v>5408.9624000000003</v>
      </c>
      <c r="GG7" s="3">
        <v>5353.7525000000014</v>
      </c>
      <c r="GH7" s="3">
        <v>3740.8190999999993</v>
      </c>
      <c r="GI7" s="3">
        <v>4700.0415000000003</v>
      </c>
      <c r="GJ7" s="3">
        <v>3738.3478</v>
      </c>
      <c r="GK7" s="3">
        <v>7787.777</v>
      </c>
      <c r="GL7" s="3">
        <v>11183.128599999996</v>
      </c>
      <c r="GM7" s="3">
        <v>4704.0480000000007</v>
      </c>
      <c r="GN7" s="3">
        <v>5480.2020999999968</v>
      </c>
      <c r="GO7" s="3">
        <v>5232.2915000000003</v>
      </c>
      <c r="GP7" s="3">
        <v>2753.2238000000002</v>
      </c>
      <c r="GQ7" s="3">
        <v>7346.2342000000008</v>
      </c>
      <c r="GR7" s="3">
        <v>5800.6467000000011</v>
      </c>
      <c r="GS7" s="3">
        <v>10653.3604</v>
      </c>
      <c r="GT7" s="3">
        <v>3452.9980000000005</v>
      </c>
      <c r="GU7" s="3">
        <v>1735.7923000000001</v>
      </c>
      <c r="GV7" s="3">
        <v>980407.39500000002</v>
      </c>
      <c r="GW7" s="3">
        <v>5365.4024000000009</v>
      </c>
      <c r="GX7" s="3">
        <v>1819.3999999999999</v>
      </c>
      <c r="GY7" s="3">
        <v>57.389999999999993</v>
      </c>
      <c r="GZ7" s="3" t="s">
        <v>274</v>
      </c>
      <c r="HA7" s="3">
        <v>12310.892799999998</v>
      </c>
      <c r="HB7" s="3">
        <v>309</v>
      </c>
      <c r="HC7" s="3">
        <v>0</v>
      </c>
      <c r="HD7" s="3">
        <v>0</v>
      </c>
      <c r="HE7" s="3">
        <v>2577.59</v>
      </c>
      <c r="HF7" s="3">
        <v>0</v>
      </c>
      <c r="HG7" s="3">
        <v>524.99</v>
      </c>
      <c r="HH7" s="3">
        <v>0</v>
      </c>
    </row>
    <row r="8" spans="1:216" x14ac:dyDescent="0.3">
      <c r="A8" s="13" t="s">
        <v>14</v>
      </c>
      <c r="B8" s="13"/>
      <c r="C8" s="3">
        <v>-7818.2418999999927</v>
      </c>
      <c r="D8" s="3">
        <v>-32006.711499999336</v>
      </c>
      <c r="E8" s="3">
        <v>-17468.533900000133</v>
      </c>
      <c r="F8" s="3">
        <v>-10506.774200000013</v>
      </c>
      <c r="G8" s="3">
        <v>-19340.810099999919</v>
      </c>
      <c r="H8" s="3">
        <v>-1904.9920000000056</v>
      </c>
      <c r="I8" s="3">
        <v>-2474.5110000000086</v>
      </c>
      <c r="J8" s="3">
        <v>-7989.3525000000191</v>
      </c>
      <c r="K8" s="3">
        <v>-11634.239599999983</v>
      </c>
      <c r="L8" s="3">
        <v>-6585.3884000000007</v>
      </c>
      <c r="M8" s="3">
        <v>-8740.362499999901</v>
      </c>
      <c r="N8" s="3">
        <v>-16602.540500000061</v>
      </c>
      <c r="O8" s="3">
        <v>-9900.0089000001062</v>
      </c>
      <c r="P8" s="3">
        <v>-9050.97169999996</v>
      </c>
      <c r="Q8" s="3">
        <v>-23671.351099999483</v>
      </c>
      <c r="R8" s="3">
        <v>-5769.4888999999175</v>
      </c>
      <c r="S8" s="3">
        <v>-13105.687500000109</v>
      </c>
      <c r="T8" s="3">
        <v>-18359.21079999987</v>
      </c>
      <c r="U8" s="3">
        <v>-4920.0052000000178</v>
      </c>
      <c r="V8" s="3">
        <v>-10550.672399999898</v>
      </c>
      <c r="W8" s="3">
        <v>-6092.5191999999352</v>
      </c>
      <c r="X8" s="3">
        <v>-3275.5337000000472</v>
      </c>
      <c r="Y8" s="3">
        <v>-14313.081100000065</v>
      </c>
      <c r="Z8" s="3">
        <v>-21434.178599999454</v>
      </c>
      <c r="AA8" s="3">
        <v>-24789.811099999821</v>
      </c>
      <c r="AB8" s="3">
        <v>-2969.0674999999442</v>
      </c>
      <c r="AC8" s="3">
        <v>-8200.4239999998172</v>
      </c>
      <c r="AD8" s="3">
        <v>-19081.203500000142</v>
      </c>
      <c r="AE8" s="3">
        <v>-9027.0877999999393</v>
      </c>
      <c r="AF8" s="3">
        <v>-14168.773400000107</v>
      </c>
      <c r="AG8" s="3">
        <v>-5134.7974999999306</v>
      </c>
      <c r="AH8" s="3">
        <v>-7426.8688999999576</v>
      </c>
      <c r="AI8" s="3">
        <v>-13118.265400000022</v>
      </c>
      <c r="AJ8" s="3">
        <v>-9189.7743999999257</v>
      </c>
      <c r="AK8" s="3">
        <v>-3837.78509999992</v>
      </c>
      <c r="AL8" s="3">
        <v>-12867.330700000024</v>
      </c>
      <c r="AM8" s="3">
        <v>-22704.970199999763</v>
      </c>
      <c r="AN8" s="3">
        <v>-14298.815700000121</v>
      </c>
      <c r="AO8" s="3">
        <v>-20677.35929999996</v>
      </c>
      <c r="AP8" s="3">
        <v>-14064.917299999996</v>
      </c>
      <c r="AQ8" s="3">
        <v>-14067.701500000043</v>
      </c>
      <c r="AR8" s="3">
        <v>-27669.036499999773</v>
      </c>
      <c r="AS8" s="3">
        <v>-11061.23230000008</v>
      </c>
      <c r="AT8" s="3">
        <v>-13856.099700000043</v>
      </c>
      <c r="AU8" s="3">
        <v>-31845.796899997931</v>
      </c>
      <c r="AV8" s="3">
        <v>-26329.095499999803</v>
      </c>
      <c r="AW8" s="3">
        <v>-16998.766999999916</v>
      </c>
      <c r="AX8" s="3">
        <v>-24899.370099999698</v>
      </c>
      <c r="AY8" s="3">
        <v>-13617.449200000068</v>
      </c>
      <c r="AZ8" s="3">
        <v>-22291.606499999776</v>
      </c>
      <c r="BA8" s="3">
        <v>-10221.981000000007</v>
      </c>
      <c r="BB8" s="3">
        <v>-9300.046199999937</v>
      </c>
      <c r="BC8" s="3">
        <v>-11341.580899999941</v>
      </c>
      <c r="BD8" s="3">
        <v>3668.2755999999954</v>
      </c>
      <c r="BE8" s="3">
        <v>-2340.3764999999885</v>
      </c>
      <c r="BF8" s="3">
        <v>-12663.507699999973</v>
      </c>
      <c r="BG8" s="3">
        <v>-24000.344999999819</v>
      </c>
      <c r="BH8" s="3">
        <v>-10061.789000000126</v>
      </c>
      <c r="BI8" s="3">
        <v>-12080.221000000025</v>
      </c>
      <c r="BJ8" s="3">
        <v>-1928.1681999999846</v>
      </c>
      <c r="BK8" s="3">
        <v>-31687.106099999473</v>
      </c>
      <c r="BL8" s="3">
        <v>-7298.9401000000144</v>
      </c>
      <c r="BM8" s="3">
        <v>-5798.7743999999284</v>
      </c>
      <c r="BN8" s="3">
        <v>-4298.0028000000048</v>
      </c>
      <c r="BO8" s="3">
        <v>-10240.187799999905</v>
      </c>
      <c r="BP8" s="3">
        <v>-5122.2824999999148</v>
      </c>
      <c r="BQ8" s="3">
        <v>-6072.2604999999166</v>
      </c>
      <c r="BR8" s="3">
        <v>-6910.8670999999704</v>
      </c>
      <c r="BS8" s="3">
        <v>-286.12690000000384</v>
      </c>
      <c r="BT8" s="3">
        <v>-4699.8446999999942</v>
      </c>
      <c r="BU8" s="3">
        <v>-7325.6231999999327</v>
      </c>
      <c r="BV8" s="3">
        <v>-3447.9305000000181</v>
      </c>
      <c r="BW8" s="3">
        <v>-481.06100000000288</v>
      </c>
      <c r="BX8" s="3">
        <v>-12716.368000000104</v>
      </c>
      <c r="BY8" s="3">
        <v>-20828.678899999868</v>
      </c>
      <c r="BZ8" s="3">
        <v>-13644.914699999974</v>
      </c>
      <c r="CA8" s="3">
        <v>-4675.6081999999797</v>
      </c>
      <c r="CB8" s="3">
        <v>-18556.525099999973</v>
      </c>
      <c r="CC8" s="3">
        <v>-5614.9259999999767</v>
      </c>
      <c r="CD8" s="3">
        <v>-8929.3834000000024</v>
      </c>
      <c r="CE8" s="3">
        <v>-16900.407400000106</v>
      </c>
      <c r="CF8" s="3">
        <v>-21580.42780000014</v>
      </c>
      <c r="CG8" s="3">
        <v>-10590.884299999945</v>
      </c>
      <c r="CH8" s="3">
        <v>-13402.951899999904</v>
      </c>
      <c r="CI8" s="3">
        <v>-7718.1074000000008</v>
      </c>
      <c r="CJ8" s="3">
        <v>-3049.0849000000208</v>
      </c>
      <c r="CK8" s="3">
        <v>-12507.276800000014</v>
      </c>
      <c r="CL8" s="3">
        <v>-8256.4199999998636</v>
      </c>
      <c r="CM8" s="3">
        <v>-1669.6008999998758</v>
      </c>
      <c r="CN8" s="3">
        <v>-36735.179899999988</v>
      </c>
      <c r="CO8" s="3">
        <v>4554.1135000000077</v>
      </c>
      <c r="CP8" s="3">
        <v>-8280.9554999999746</v>
      </c>
      <c r="CQ8" s="3">
        <v>-6746.0831999998554</v>
      </c>
      <c r="CR8" s="3">
        <v>-1335.4235000000103</v>
      </c>
      <c r="CS8" s="3">
        <v>-14023.850200000012</v>
      </c>
      <c r="CT8" s="3">
        <v>-3061.2173999999823</v>
      </c>
      <c r="CU8" s="3">
        <v>-13879.768300000174</v>
      </c>
      <c r="CV8" s="3">
        <v>-5202.1365999999089</v>
      </c>
      <c r="CW8" s="3">
        <v>-24562.180899999483</v>
      </c>
      <c r="CX8" s="3">
        <v>-5178.3092999998762</v>
      </c>
      <c r="CY8" s="3">
        <v>2559.3304999999996</v>
      </c>
      <c r="CZ8" s="3">
        <v>-8247.655900000058</v>
      </c>
      <c r="DA8" s="3">
        <v>-15622.505700000105</v>
      </c>
      <c r="DB8" s="3">
        <v>-2950.4902999999858</v>
      </c>
      <c r="DC8" s="3">
        <v>-10150.503300000011</v>
      </c>
      <c r="DD8" s="3">
        <v>-34764.106599999199</v>
      </c>
      <c r="DE8" s="3">
        <v>-139.87320000000017</v>
      </c>
      <c r="DF8" s="3">
        <v>10737.849699999999</v>
      </c>
      <c r="DG8" s="3">
        <v>503.43709999999993</v>
      </c>
      <c r="DH8" s="3">
        <v>-879.68740000000139</v>
      </c>
      <c r="DI8" s="3">
        <v>-207.99980000000085</v>
      </c>
      <c r="DJ8" s="3">
        <v>-866.37060000000042</v>
      </c>
      <c r="DK8" s="3">
        <v>-514.76940000000059</v>
      </c>
      <c r="DL8" s="3">
        <v>105.08499999999992</v>
      </c>
      <c r="DM8" s="3">
        <v>-3346.6180999999592</v>
      </c>
      <c r="DN8" s="3">
        <v>-30863.369699999672</v>
      </c>
      <c r="DO8" s="3">
        <v>-30619.020499999711</v>
      </c>
      <c r="DP8" s="3">
        <v>-7777.145600000018</v>
      </c>
      <c r="DQ8" s="3">
        <v>-16407.411700000088</v>
      </c>
      <c r="DR8" s="3">
        <v>-2087.2617999999356</v>
      </c>
      <c r="DS8" s="3">
        <v>-26471.440699999734</v>
      </c>
      <c r="DT8" s="3">
        <v>-850.47419999999977</v>
      </c>
      <c r="DU8" s="3">
        <v>-425.37829999999997</v>
      </c>
      <c r="DV8" s="3">
        <v>-851.59379999999862</v>
      </c>
      <c r="DW8" s="3">
        <v>-554.6832000000004</v>
      </c>
      <c r="DX8" s="3">
        <v>-1613.5968000000021</v>
      </c>
      <c r="DY8" s="3">
        <v>-365.96549999999979</v>
      </c>
      <c r="DZ8" s="3">
        <v>-130.3528</v>
      </c>
      <c r="EA8" s="3">
        <v>-578.2337</v>
      </c>
      <c r="EB8" s="3">
        <v>-94.390699999999981</v>
      </c>
      <c r="EC8" s="3">
        <v>-7271.6596999999874</v>
      </c>
      <c r="ED8" s="3">
        <v>-5792.15559999993</v>
      </c>
      <c r="EE8" s="3">
        <v>-25206.834399999821</v>
      </c>
      <c r="EF8" s="3">
        <v>-13183.527100000016</v>
      </c>
      <c r="EG8" s="3">
        <v>-6865.3811999998861</v>
      </c>
      <c r="EH8" s="3">
        <v>-14619.41470000007</v>
      </c>
      <c r="EI8" s="3">
        <v>-16448.006800000061</v>
      </c>
      <c r="EJ8" s="3">
        <v>-26297.229999999548</v>
      </c>
      <c r="EK8" s="3">
        <v>-16592.871900000002</v>
      </c>
      <c r="EL8" s="3">
        <v>-22134.812600000037</v>
      </c>
      <c r="EM8" s="3">
        <v>-22347.772899999793</v>
      </c>
      <c r="EN8" s="3">
        <v>-17635.063699999861</v>
      </c>
      <c r="EO8" s="3">
        <v>-12368.374100000075</v>
      </c>
      <c r="EP8" s="3">
        <v>-8263.214999999951</v>
      </c>
      <c r="EQ8" s="3">
        <v>-23088.43419999992</v>
      </c>
      <c r="ER8" s="3">
        <v>-38440.317199999168</v>
      </c>
      <c r="ES8" s="3">
        <v>-15484.700800000444</v>
      </c>
      <c r="ET8" s="3">
        <v>-18893.153700000286</v>
      </c>
      <c r="EU8" s="3">
        <v>-7158.2269999999808</v>
      </c>
      <c r="EV8" s="3">
        <v>-12342.989099999986</v>
      </c>
      <c r="EW8" s="3">
        <v>-4186.509499999941</v>
      </c>
      <c r="EX8" s="3">
        <v>-4615.7549999999119</v>
      </c>
      <c r="EY8" s="3">
        <v>-3873.0057999999372</v>
      </c>
      <c r="EZ8" s="3">
        <v>-21809.36020000001</v>
      </c>
      <c r="FA8" s="3">
        <v>-13353.255400000035</v>
      </c>
      <c r="FB8" s="3">
        <v>-6414.9435999999741</v>
      </c>
      <c r="FC8" s="3">
        <v>-2652.9771999999475</v>
      </c>
      <c r="FD8" s="3">
        <v>-17019.844499999919</v>
      </c>
      <c r="FE8" s="3">
        <v>-20315.015900000162</v>
      </c>
      <c r="FF8" s="3">
        <v>-10693.90669999999</v>
      </c>
      <c r="FG8" s="3">
        <v>-22624.621299999882</v>
      </c>
      <c r="FH8" s="3">
        <v>-10921.957999999966</v>
      </c>
      <c r="FI8" s="3">
        <v>-3401.2656999999913</v>
      </c>
      <c r="FJ8" s="3">
        <v>-8436.277999999973</v>
      </c>
      <c r="FK8" s="3">
        <v>-11260.766000000016</v>
      </c>
      <c r="FL8" s="3">
        <v>-8388.1969999999001</v>
      </c>
      <c r="FM8" s="3">
        <v>-10310.783999999934</v>
      </c>
      <c r="FN8" s="3">
        <v>-29118.308999999681</v>
      </c>
      <c r="FO8" s="3">
        <v>-18833.527099999923</v>
      </c>
      <c r="FP8" s="3">
        <v>-9546.3369999999668</v>
      </c>
      <c r="FQ8" s="3">
        <v>-8404.2866999999133</v>
      </c>
      <c r="FR8" s="3">
        <v>-8130.8389999998926</v>
      </c>
      <c r="FS8" s="3">
        <v>-26631.642800000096</v>
      </c>
      <c r="FT8" s="3">
        <v>-12749.96950000007</v>
      </c>
      <c r="FU8" s="3">
        <v>-34403.554699999608</v>
      </c>
      <c r="FV8" s="3">
        <v>-19171.920599999961</v>
      </c>
      <c r="FW8" s="3">
        <v>-17792.511000000071</v>
      </c>
      <c r="FX8" s="3">
        <v>-20619.565100000094</v>
      </c>
      <c r="FY8" s="3">
        <v>-1858.1345000000169</v>
      </c>
      <c r="FZ8" s="3">
        <v>-6501.1373999998978</v>
      </c>
      <c r="GA8" s="3">
        <v>-433.04619999999784</v>
      </c>
      <c r="GB8" s="3">
        <v>-20511.432599999906</v>
      </c>
      <c r="GC8" s="3">
        <v>-7587.7558999999665</v>
      </c>
      <c r="GD8" s="3">
        <v>-4176.2355999999299</v>
      </c>
      <c r="GE8" s="3">
        <v>-13339.321300000023</v>
      </c>
      <c r="GF8" s="3">
        <v>-12443.939600000009</v>
      </c>
      <c r="GG8" s="3">
        <v>-15214.355400000117</v>
      </c>
      <c r="GH8" s="3">
        <v>-8689.9325999998473</v>
      </c>
      <c r="GI8" s="3">
        <v>-17189.823400000078</v>
      </c>
      <c r="GJ8" s="3">
        <v>-13645.705599999961</v>
      </c>
      <c r="GK8" s="3">
        <v>-6777.7443999999487</v>
      </c>
      <c r="GL8" s="3">
        <v>-38764.779799999713</v>
      </c>
      <c r="GM8" s="3">
        <v>-7150.723599999912</v>
      </c>
      <c r="GN8" s="3">
        <v>-20110.386500000168</v>
      </c>
      <c r="GO8" s="3">
        <v>-11121.098399999992</v>
      </c>
      <c r="GP8" s="3">
        <v>-10982.891700000113</v>
      </c>
      <c r="GQ8" s="3">
        <v>-18503.494000000086</v>
      </c>
      <c r="GR8" s="3">
        <v>-16530.177400000135</v>
      </c>
      <c r="GS8" s="3">
        <v>-24193.05099999981</v>
      </c>
      <c r="GT8" s="3">
        <v>-10213.161399999932</v>
      </c>
      <c r="GU8" s="3">
        <v>-21255.3172000001</v>
      </c>
      <c r="GV8" s="3">
        <v>-2374234.0401999876</v>
      </c>
      <c r="GW8" s="3">
        <v>-6325.1988999999139</v>
      </c>
      <c r="GX8" s="3">
        <v>1819.3999999999999</v>
      </c>
      <c r="GY8" s="3">
        <v>205.92309999999998</v>
      </c>
      <c r="GZ8" s="3" t="s">
        <v>274</v>
      </c>
      <c r="HA8" s="3">
        <v>1426.0570000000553</v>
      </c>
      <c r="HB8" s="3">
        <v>-1230.4866999999992</v>
      </c>
      <c r="HC8" s="3">
        <v>7.74</v>
      </c>
      <c r="HD8" s="3">
        <v>114.70010000000001</v>
      </c>
      <c r="HE8" s="3">
        <v>2577.59</v>
      </c>
      <c r="HF8" s="3">
        <v>127.51439999999999</v>
      </c>
      <c r="HG8" s="3">
        <v>524.99</v>
      </c>
      <c r="HH8" s="3">
        <v>41.5</v>
      </c>
    </row>
    <row r="9" spans="1:216" x14ac:dyDescent="0.3">
      <c r="A9" s="13" t="s">
        <v>267</v>
      </c>
      <c r="B9" s="13"/>
      <c r="C9" s="6">
        <v>3.4365295733350802E-3</v>
      </c>
      <c r="D9" s="6">
        <v>1.2202085197686433E-2</v>
      </c>
      <c r="E9" s="6">
        <v>6.4019655497756112E-3</v>
      </c>
      <c r="F9" s="6">
        <v>4.6086831330986455E-3</v>
      </c>
      <c r="G9" s="6">
        <v>8.2227851270654413E-3</v>
      </c>
      <c r="H9" s="6">
        <v>9.4944633026335004E-4</v>
      </c>
      <c r="I9" s="6">
        <v>1.1253538039528068E-3</v>
      </c>
      <c r="J9" s="6">
        <v>3.9062430823456457E-3</v>
      </c>
      <c r="K9" s="6">
        <v>4.7700591878744366E-3</v>
      </c>
      <c r="L9" s="6">
        <v>2.8013420454993483E-3</v>
      </c>
      <c r="M9" s="6">
        <v>3.4633165494503235E-3</v>
      </c>
      <c r="N9" s="6">
        <v>7.6979858500020471E-3</v>
      </c>
      <c r="O9" s="6">
        <v>4.3732849496403792E-3</v>
      </c>
      <c r="P9" s="6">
        <v>3.660872566330724E-3</v>
      </c>
      <c r="Q9" s="6">
        <v>1.060986444826335E-2</v>
      </c>
      <c r="R9" s="6">
        <v>2.5326674293264422E-3</v>
      </c>
      <c r="S9" s="6">
        <v>5.2220172374266797E-3</v>
      </c>
      <c r="T9" s="6">
        <v>8.1179714512100692E-3</v>
      </c>
      <c r="U9" s="6">
        <v>2.4130805203380649E-3</v>
      </c>
      <c r="V9" s="6">
        <v>5.0535544043887508E-3</v>
      </c>
      <c r="W9" s="6">
        <v>2.8969248093188792E-3</v>
      </c>
      <c r="X9" s="6">
        <v>2.2607080209596036E-3</v>
      </c>
      <c r="Y9" s="6">
        <v>5.5354638815200367E-3</v>
      </c>
      <c r="Z9" s="6">
        <v>1.0142862883338533E-2</v>
      </c>
      <c r="AA9" s="6">
        <v>8.8043571781134533E-3</v>
      </c>
      <c r="AB9" s="6">
        <v>1.9016456820279033E-3</v>
      </c>
      <c r="AC9" s="6">
        <v>3.6385469314016731E-3</v>
      </c>
      <c r="AD9" s="6">
        <v>7.1072721363971293E-3</v>
      </c>
      <c r="AE9" s="6">
        <v>3.5678993213432374E-3</v>
      </c>
      <c r="AF9" s="6">
        <v>5.5243132710233508E-3</v>
      </c>
      <c r="AG9" s="6">
        <v>2.9666024796497054E-3</v>
      </c>
      <c r="AH9" s="6">
        <v>4.8320993206338305E-3</v>
      </c>
      <c r="AI9" s="6">
        <v>5.1899086195368923E-3</v>
      </c>
      <c r="AJ9" s="6">
        <v>4.2993176107180946E-3</v>
      </c>
      <c r="AK9" s="6">
        <v>1.4938671380541051E-3</v>
      </c>
      <c r="AL9" s="6">
        <v>4.873320119539221E-3</v>
      </c>
      <c r="AM9" s="6">
        <v>9.7039662297198973E-3</v>
      </c>
      <c r="AN9" s="6">
        <v>5.6953934031584857E-3</v>
      </c>
      <c r="AO9" s="6">
        <v>7.7605041262622928E-3</v>
      </c>
      <c r="AP9" s="6">
        <v>6.8832342132635217E-3</v>
      </c>
      <c r="AQ9" s="6">
        <v>6.4834110947846928E-3</v>
      </c>
      <c r="AR9" s="6">
        <v>9.7238056376821504E-3</v>
      </c>
      <c r="AS9" s="6">
        <v>5.4298689597251024E-3</v>
      </c>
      <c r="AT9" s="6">
        <v>5.3050531163367394E-3</v>
      </c>
      <c r="AU9" s="6">
        <v>1.5505010208906912E-2</v>
      </c>
      <c r="AV9" s="6">
        <v>9.6173908667161172E-3</v>
      </c>
      <c r="AW9" s="6">
        <v>6.6770835967643683E-3</v>
      </c>
      <c r="AX9" s="6">
        <v>1.0102693612612368E-2</v>
      </c>
      <c r="AY9" s="6">
        <v>5.6296963967101899E-3</v>
      </c>
      <c r="AZ9" s="6">
        <v>8.2916250923674526E-3</v>
      </c>
      <c r="BA9" s="6">
        <v>4.7697420451870498E-3</v>
      </c>
      <c r="BB9" s="6">
        <v>3.8516745975951533E-3</v>
      </c>
      <c r="BC9" s="6">
        <v>4.1578347997625643E-3</v>
      </c>
      <c r="BD9" s="6">
        <v>-1.0003381478533311E-3</v>
      </c>
      <c r="BE9" s="6">
        <v>1.569312310031175E-3</v>
      </c>
      <c r="BF9" s="6">
        <v>4.8175713894252669E-3</v>
      </c>
      <c r="BG9" s="6">
        <v>8.6920914688640976E-3</v>
      </c>
      <c r="BH9" s="6">
        <v>5.4480052944646798E-3</v>
      </c>
      <c r="BI9" s="6">
        <v>7.3929333966273906E-3</v>
      </c>
      <c r="BJ9" s="6">
        <v>1.3513066560360246E-3</v>
      </c>
      <c r="BK9" s="6">
        <v>1.1315619488178323E-2</v>
      </c>
      <c r="BL9" s="6">
        <v>3.5484732511480367E-3</v>
      </c>
      <c r="BM9" s="6">
        <v>2.7797002690524582E-3</v>
      </c>
      <c r="BN9" s="6">
        <v>1.28121078899861E-3</v>
      </c>
      <c r="BO9" s="6">
        <v>3.6291097976240581E-3</v>
      </c>
      <c r="BP9" s="6">
        <v>2.3083393708628287E-3</v>
      </c>
      <c r="BQ9" s="6">
        <v>2.7952747204533644E-3</v>
      </c>
      <c r="BR9" s="6">
        <v>2.7291999985250776E-3</v>
      </c>
      <c r="BS9" s="6">
        <v>8.1075591908613708E-4</v>
      </c>
      <c r="BT9" s="6">
        <v>2.2076572841110485E-3</v>
      </c>
      <c r="BU9" s="6">
        <v>3.3612553585261862E-3</v>
      </c>
      <c r="BV9" s="6">
        <v>1.8562447046233401E-3</v>
      </c>
      <c r="BW9" s="6">
        <v>7.613505196711858E-4</v>
      </c>
      <c r="BX9" s="6">
        <v>5.5923980438409189E-3</v>
      </c>
      <c r="BY9" s="6">
        <v>8.0034629687328347E-3</v>
      </c>
      <c r="BZ9" s="6">
        <v>4.8679994018575156E-3</v>
      </c>
      <c r="CA9" s="6">
        <v>3.2729434462927726E-3</v>
      </c>
      <c r="CB9" s="6">
        <v>7.1007557618687541E-3</v>
      </c>
      <c r="CC9" s="6">
        <v>2.2678230883851347E-3</v>
      </c>
      <c r="CD9" s="6">
        <v>3.8381946472417585E-3</v>
      </c>
      <c r="CE9" s="6">
        <v>6.1963201139441362E-3</v>
      </c>
      <c r="CF9" s="6">
        <v>7.7303303202221887E-3</v>
      </c>
      <c r="CG9" s="6">
        <v>5.1032589117767698E-3</v>
      </c>
      <c r="CH9" s="6">
        <v>7.5598654252262958E-3</v>
      </c>
      <c r="CI9" s="6">
        <v>3.9536369403990641E-3</v>
      </c>
      <c r="CJ9" s="6">
        <v>2.0108923800966133E-3</v>
      </c>
      <c r="CK9" s="6">
        <v>4.9430041989007613E-3</v>
      </c>
      <c r="CL9" s="6">
        <v>4.2306965063626176E-3</v>
      </c>
      <c r="CM9" s="6">
        <v>2.8881197252076177E-3</v>
      </c>
      <c r="CN9" s="6">
        <v>1.2246362448435825E-2</v>
      </c>
      <c r="CO9" s="6">
        <v>1.1756563782396839E-3</v>
      </c>
      <c r="CP9" s="6">
        <v>4.5808893131625717E-3</v>
      </c>
      <c r="CQ9" s="6">
        <v>3.2434522467380202E-3</v>
      </c>
      <c r="CR9" s="6">
        <v>1.0751250080427745E-3</v>
      </c>
      <c r="CS9" s="6">
        <v>5.6280147266691361E-3</v>
      </c>
      <c r="CT9" s="6">
        <v>2.1446671243333867E-3</v>
      </c>
      <c r="CU9" s="6">
        <v>5.4468476148512354E-3</v>
      </c>
      <c r="CV9" s="6">
        <v>2.7618467067099754E-3</v>
      </c>
      <c r="CW9" s="6">
        <v>1.026738650473568E-2</v>
      </c>
      <c r="CX9" s="6">
        <v>2.9800950990173099E-3</v>
      </c>
      <c r="CY9" s="6">
        <v>-7.0192178373890037E-4</v>
      </c>
      <c r="CZ9" s="6">
        <v>5.317209497514205E-3</v>
      </c>
      <c r="DA9" s="6">
        <v>5.7227848253939015E-3</v>
      </c>
      <c r="DB9" s="6">
        <v>1.7414050392100182E-3</v>
      </c>
      <c r="DC9" s="6">
        <v>4.796973599367909E-3</v>
      </c>
      <c r="DD9" s="6">
        <v>1.3444528296452783E-2</v>
      </c>
      <c r="DE9" s="6">
        <v>1.9228964181727657E-4</v>
      </c>
      <c r="DF9" s="6">
        <v>-3.2366740558526204E-3</v>
      </c>
      <c r="DG9" s="6">
        <v>1.3179280365433247E-4</v>
      </c>
      <c r="DH9" s="6">
        <v>3.2317039568652777E-4</v>
      </c>
      <c r="DI9" s="6">
        <v>2.4276052023171051E-4</v>
      </c>
      <c r="DJ9" s="6">
        <v>7.4080471728623038E-4</v>
      </c>
      <c r="DK9" s="6">
        <v>1.6950604438178998E-4</v>
      </c>
      <c r="DL9" s="6">
        <v>1.3327519755426461E-4</v>
      </c>
      <c r="DM9" s="6">
        <v>2.0100045951998995E-3</v>
      </c>
      <c r="DN9" s="6">
        <v>1.1129347180967478E-2</v>
      </c>
      <c r="DO9" s="6">
        <v>1.1013829946864973E-2</v>
      </c>
      <c r="DP9" s="6">
        <v>3.1855694584428645E-3</v>
      </c>
      <c r="DQ9" s="6">
        <v>6.362513911632903E-3</v>
      </c>
      <c r="DR9" s="6">
        <v>1.8009244852840059E-3</v>
      </c>
      <c r="DS9" s="6">
        <v>9.1258178530709902E-3</v>
      </c>
      <c r="DT9" s="6">
        <v>3.4358059490530559E-4</v>
      </c>
      <c r="DU9" s="6">
        <v>2.4984139622362796E-4</v>
      </c>
      <c r="DV9" s="6">
        <v>4.4599937993397039E-4</v>
      </c>
      <c r="DW9" s="6">
        <v>2.5406685527008951E-4</v>
      </c>
      <c r="DX9" s="6">
        <v>5.8521470563156232E-4</v>
      </c>
      <c r="DY9" s="6">
        <v>2.0179071685485345E-4</v>
      </c>
      <c r="DZ9" s="6">
        <v>1.3096863211367564E-4</v>
      </c>
      <c r="EA9" s="6">
        <v>2.6447944352273452E-4</v>
      </c>
      <c r="EB9" s="6">
        <v>1.3635367857808953E-4</v>
      </c>
      <c r="EC9" s="6">
        <v>4.756497976973432E-3</v>
      </c>
      <c r="ED9" s="6">
        <v>2.9571786110751748E-3</v>
      </c>
      <c r="EE9" s="6">
        <v>1.038031720308847E-2</v>
      </c>
      <c r="EF9" s="6">
        <v>4.7306138097152417E-3</v>
      </c>
      <c r="EG9" s="6">
        <v>4.0922545271016384E-3</v>
      </c>
      <c r="EH9" s="6">
        <v>5.6134657798017238E-3</v>
      </c>
      <c r="EI9" s="6">
        <v>5.825527370806779E-3</v>
      </c>
      <c r="EJ9" s="6">
        <v>9.6738019627021377E-3</v>
      </c>
      <c r="EK9" s="6">
        <v>6.4646009175365607E-3</v>
      </c>
      <c r="EL9" s="6">
        <v>8.3539567316914601E-3</v>
      </c>
      <c r="EM9" s="6">
        <v>9.3839550986536732E-3</v>
      </c>
      <c r="EN9" s="6">
        <v>8.1339137511646405E-3</v>
      </c>
      <c r="EO9" s="6">
        <v>4.8178591101902864E-3</v>
      </c>
      <c r="EP9" s="6">
        <v>3.3364335700851759E-3</v>
      </c>
      <c r="EQ9" s="6">
        <v>7.8277017998003955E-3</v>
      </c>
      <c r="ER9" s="6">
        <v>1.381886424986448E-2</v>
      </c>
      <c r="ES9" s="6">
        <v>7.0645379119594724E-3</v>
      </c>
      <c r="ET9" s="6">
        <v>7.3729627376780396E-3</v>
      </c>
      <c r="EU9" s="6">
        <v>4.0081024037069441E-3</v>
      </c>
      <c r="EV9" s="6">
        <v>4.6964547193285222E-3</v>
      </c>
      <c r="EW9" s="6">
        <v>2.5012884870360863E-3</v>
      </c>
      <c r="EX9" s="6">
        <v>2.758456806412235E-3</v>
      </c>
      <c r="EY9" s="6">
        <v>1.862636326623514E-3</v>
      </c>
      <c r="EZ9" s="6">
        <v>9.0479804134985086E-3</v>
      </c>
      <c r="FA9" s="6">
        <v>5.0857197496527538E-3</v>
      </c>
      <c r="FB9" s="6">
        <v>2.416121560698716E-3</v>
      </c>
      <c r="FC9" s="6">
        <v>1.9633054760761076E-3</v>
      </c>
      <c r="FD9" s="6">
        <v>7.0611979126728253E-3</v>
      </c>
      <c r="FE9" s="6">
        <v>7.6767084642132312E-3</v>
      </c>
      <c r="FF9" s="6">
        <v>5.4489519232061431E-3</v>
      </c>
      <c r="FG9" s="6">
        <v>8.5396495730972397E-3</v>
      </c>
      <c r="FH9" s="6">
        <v>4.0771637637584306E-3</v>
      </c>
      <c r="FI9" s="6">
        <v>1.9956608267437336E-3</v>
      </c>
      <c r="FJ9" s="6">
        <v>3.441481876083642E-3</v>
      </c>
      <c r="FK9" s="6">
        <v>4.189652000516156E-3</v>
      </c>
      <c r="FL9" s="6">
        <v>3.1085323726642139E-3</v>
      </c>
      <c r="FM9" s="6">
        <v>4.0306793322589032E-3</v>
      </c>
      <c r="FN9" s="6">
        <v>1.0555099876982469E-2</v>
      </c>
      <c r="FO9" s="6">
        <v>6.7492615343106429E-3</v>
      </c>
      <c r="FP9" s="6">
        <v>4.0754028005931843E-3</v>
      </c>
      <c r="FQ9" s="6">
        <v>3.4178545819208801E-3</v>
      </c>
      <c r="FR9" s="6">
        <v>3.1655368256568459E-3</v>
      </c>
      <c r="FS9" s="6">
        <v>9.9980213825745633E-3</v>
      </c>
      <c r="FT9" s="6">
        <v>5.0251561979514818E-3</v>
      </c>
      <c r="FU9" s="6">
        <v>1.3350780810745463E-2</v>
      </c>
      <c r="FV9" s="6">
        <v>9.1897338345974765E-3</v>
      </c>
      <c r="FW9" s="6">
        <v>7.3447670268018414E-3</v>
      </c>
      <c r="FX9" s="6">
        <v>7.9761340867134933E-3</v>
      </c>
      <c r="FY9" s="6">
        <v>1.7219767333064148E-3</v>
      </c>
      <c r="FZ9" s="6">
        <v>2.9676196971574137E-3</v>
      </c>
      <c r="GA9" s="6">
        <v>4.1458863096558801E-4</v>
      </c>
      <c r="GB9" s="6">
        <v>7.8511517575736902E-3</v>
      </c>
      <c r="GC9" s="6">
        <v>3.6621680550093065E-3</v>
      </c>
      <c r="GD9" s="6">
        <v>2.7350789576868588E-3</v>
      </c>
      <c r="GE9" s="6">
        <v>5.1065455521563897E-3</v>
      </c>
      <c r="GF9" s="6">
        <v>5.3218510367966368E-3</v>
      </c>
      <c r="GG9" s="6">
        <v>6.1312388513957376E-3</v>
      </c>
      <c r="GH9" s="6">
        <v>3.7055381149129537E-3</v>
      </c>
      <c r="GI9" s="6">
        <v>6.5252472798766085E-3</v>
      </c>
      <c r="GJ9" s="6">
        <v>5.1820898703481286E-3</v>
      </c>
      <c r="GK9" s="6">
        <v>4.3419011186009585E-3</v>
      </c>
      <c r="GL9" s="6">
        <v>1.4889194378838901E-2</v>
      </c>
      <c r="GM9" s="6">
        <v>3.5338416426890615E-3</v>
      </c>
      <c r="GN9" s="6">
        <v>7.6284124829199759E-3</v>
      </c>
      <c r="GO9" s="6">
        <v>4.8748547992060092E-3</v>
      </c>
      <c r="GP9" s="6">
        <v>4.0946598214247698E-3</v>
      </c>
      <c r="GQ9" s="6">
        <v>7.705660559951635E-3</v>
      </c>
      <c r="GR9" s="6">
        <v>6.6566947709178594E-3</v>
      </c>
      <c r="GS9" s="6">
        <v>1.038752190751571E-2</v>
      </c>
      <c r="GT9" s="6">
        <v>4.0738062961370482E-3</v>
      </c>
      <c r="GU9" s="6">
        <v>6.8535221853388588E-3</v>
      </c>
      <c r="GV9" s="6">
        <v>1.0000000000000009</v>
      </c>
      <c r="GW9" s="6">
        <v>3.4849033870897081E-3</v>
      </c>
      <c r="GX9" s="6">
        <v>0</v>
      </c>
      <c r="GY9" s="6">
        <v>-4.4276893035855911E-5</v>
      </c>
      <c r="GZ9" s="6" t="s">
        <v>274</v>
      </c>
      <c r="HA9" s="6">
        <v>3.2447091619945494E-3</v>
      </c>
      <c r="HB9" s="6">
        <v>4.5891244406817585E-4</v>
      </c>
      <c r="HC9" s="6">
        <v>-2.3072510578283547E-6</v>
      </c>
      <c r="HD9" s="6">
        <v>-3.4191463444188379E-5</v>
      </c>
      <c r="HE9" s="6">
        <v>0</v>
      </c>
      <c r="HF9" s="6">
        <v>-3.801133517937312E-5</v>
      </c>
      <c r="HG9" s="6">
        <v>0</v>
      </c>
      <c r="HH9" s="6">
        <v>-1.2370919754506035E-5</v>
      </c>
    </row>
    <row r="10" spans="1:216" x14ac:dyDescent="0.3">
      <c r="A10" s="13" t="s">
        <v>268</v>
      </c>
      <c r="B10" s="13"/>
      <c r="C10" s="3">
        <v>6830.625372640613</v>
      </c>
      <c r="D10" s="3">
        <v>24253.500798351062</v>
      </c>
      <c r="E10" s="3">
        <v>12724.880547624651</v>
      </c>
      <c r="F10" s="3">
        <v>9160.45890821582</v>
      </c>
      <c r="G10" s="3">
        <v>16344.036483351547</v>
      </c>
      <c r="H10" s="3">
        <v>1887.1690334861569</v>
      </c>
      <c r="I10" s="3">
        <v>2236.8119006226757</v>
      </c>
      <c r="J10" s="3">
        <v>7764.2524356563708</v>
      </c>
      <c r="K10" s="3">
        <v>9481.2183694004943</v>
      </c>
      <c r="L10" s="3">
        <v>5568.0935214134552</v>
      </c>
      <c r="M10" s="3">
        <v>6883.8685631339604</v>
      </c>
      <c r="N10" s="3">
        <v>15300.91807538924</v>
      </c>
      <c r="O10" s="3">
        <v>8692.5692042889896</v>
      </c>
      <c r="P10" s="3">
        <v>7276.5412035476102</v>
      </c>
      <c r="Q10" s="3">
        <v>21088.719812835094</v>
      </c>
      <c r="R10" s="3">
        <v>5034.0618446733379</v>
      </c>
      <c r="S10" s="3">
        <v>10379.55375536509</v>
      </c>
      <c r="T10" s="3">
        <v>16135.703355869502</v>
      </c>
      <c r="U10" s="3">
        <v>4796.3646686880502</v>
      </c>
      <c r="V10" s="3">
        <v>10044.708244177167</v>
      </c>
      <c r="W10" s="3">
        <v>5758.0788068009997</v>
      </c>
      <c r="X10" s="3">
        <v>4493.5011436879995</v>
      </c>
      <c r="Y10" s="3">
        <v>11002.576649370132</v>
      </c>
      <c r="Z10" s="3">
        <v>20160.483151294429</v>
      </c>
      <c r="AA10" s="3">
        <v>17499.999417216819</v>
      </c>
      <c r="AB10" s="3">
        <v>3779.8101160602819</v>
      </c>
      <c r="AC10" s="3">
        <v>7232.1656074258835</v>
      </c>
      <c r="AD10" s="3">
        <v>14126.78469634758</v>
      </c>
      <c r="AE10" s="3">
        <v>7091.7427338600819</v>
      </c>
      <c r="AF10" s="3">
        <v>10980.41311451506</v>
      </c>
      <c r="AG10" s="3">
        <v>5896.5737775881526</v>
      </c>
      <c r="AH10" s="3">
        <v>9604.5325722627276</v>
      </c>
      <c r="AI10" s="3">
        <v>10315.732992191632</v>
      </c>
      <c r="AJ10" s="3">
        <v>8545.5478645311196</v>
      </c>
      <c r="AK10" s="3">
        <v>2969.2882190574528</v>
      </c>
      <c r="AL10" s="3">
        <v>9686.4651815638099</v>
      </c>
      <c r="AM10" s="3">
        <v>19288.109276954368</v>
      </c>
      <c r="AN10" s="3">
        <v>11320.460905863725</v>
      </c>
      <c r="AO10" s="3">
        <v>15425.182661205843</v>
      </c>
      <c r="AP10" s="3">
        <v>13681.475238205776</v>
      </c>
      <c r="AQ10" s="3">
        <v>12886.765959740478</v>
      </c>
      <c r="AR10" s="3">
        <v>19327.543118716312</v>
      </c>
      <c r="AS10" s="3">
        <v>10792.690676721717</v>
      </c>
      <c r="AT10" s="3">
        <v>10544.600198068076</v>
      </c>
      <c r="AU10" s="3">
        <v>30818.566776723212</v>
      </c>
      <c r="AV10" s="3">
        <v>19116.027571105617</v>
      </c>
      <c r="AW10" s="3">
        <v>13271.719523437388</v>
      </c>
      <c r="AX10" s="3">
        <v>20080.640614232736</v>
      </c>
      <c r="AY10" s="3">
        <v>11189.878110175237</v>
      </c>
      <c r="AZ10" s="3">
        <v>16480.866387942555</v>
      </c>
      <c r="BA10" s="3">
        <v>9480.5880000581146</v>
      </c>
      <c r="BB10" s="3">
        <v>7655.7892699745071</v>
      </c>
      <c r="BC10" s="3">
        <v>8264.3292520669547</v>
      </c>
      <c r="BD10" s="3">
        <v>-1988.3242638054937</v>
      </c>
      <c r="BE10" s="3">
        <v>3119.246976854402</v>
      </c>
      <c r="BF10" s="3">
        <v>9575.6560986554068</v>
      </c>
      <c r="BG10" s="3">
        <v>17276.854239585788</v>
      </c>
      <c r="BH10" s="3">
        <v>10828.739401342071</v>
      </c>
      <c r="BI10" s="3">
        <v>14694.579912559171</v>
      </c>
      <c r="BJ10" s="3">
        <v>2685.9275713958218</v>
      </c>
      <c r="BK10" s="3">
        <v>22491.515330708018</v>
      </c>
      <c r="BL10" s="3">
        <v>7053.1304637968096</v>
      </c>
      <c r="BM10" s="3">
        <v>5525.0771980696463</v>
      </c>
      <c r="BN10" s="3">
        <v>2546.6013710284137</v>
      </c>
      <c r="BO10" s="3">
        <v>7213.4078682443114</v>
      </c>
      <c r="BP10" s="3">
        <v>4588.1756984209433</v>
      </c>
      <c r="BQ10" s="3">
        <v>5556.0337897804939</v>
      </c>
      <c r="BR10" s="3">
        <v>5424.7002271085676</v>
      </c>
      <c r="BS10" s="3">
        <v>1611.5007404268731</v>
      </c>
      <c r="BT10" s="3">
        <v>4388.0547328767143</v>
      </c>
      <c r="BU10" s="3">
        <v>6681.0064182254355</v>
      </c>
      <c r="BV10" s="3">
        <v>3689.5687660051067</v>
      </c>
      <c r="BW10" s="3">
        <v>1513.2999923792715</v>
      </c>
      <c r="BX10" s="3">
        <v>11115.741959145611</v>
      </c>
      <c r="BY10" s="3">
        <v>15908.100325224694</v>
      </c>
      <c r="BZ10" s="3">
        <v>9675.8894456588096</v>
      </c>
      <c r="CA10" s="3">
        <v>6505.4730565781074</v>
      </c>
      <c r="CB10" s="3">
        <v>14113.832410548406</v>
      </c>
      <c r="CC10" s="3">
        <v>4507.6434227075033</v>
      </c>
      <c r="CD10" s="3">
        <v>7628.9958177603085</v>
      </c>
      <c r="CE10" s="3">
        <v>12316.128956293229</v>
      </c>
      <c r="CF10" s="3">
        <v>15365.207630952676</v>
      </c>
      <c r="CG10" s="3">
        <v>10143.503514828575</v>
      </c>
      <c r="CH10" s="3">
        <v>15026.382717022587</v>
      </c>
      <c r="CI10" s="3">
        <v>7858.4549392049821</v>
      </c>
      <c r="CJ10" s="3">
        <v>3996.9545496468504</v>
      </c>
      <c r="CK10" s="3">
        <v>9824.9728912745995</v>
      </c>
      <c r="CL10" s="3">
        <v>8409.1529793696191</v>
      </c>
      <c r="CM10" s="3">
        <v>5740.5773624935528</v>
      </c>
      <c r="CN10" s="3">
        <v>24341.508570711379</v>
      </c>
      <c r="CO10" s="3">
        <v>2336.7959202275547</v>
      </c>
      <c r="CP10" s="3">
        <v>9105.2144624438297</v>
      </c>
      <c r="CQ10" s="3">
        <v>6446.8548105687178</v>
      </c>
      <c r="CR10" s="3">
        <v>2136.9745267666758</v>
      </c>
      <c r="CS10" s="3">
        <v>11186.535535113477</v>
      </c>
      <c r="CT10" s="3">
        <v>4262.8522067752374</v>
      </c>
      <c r="CU10" s="3">
        <v>10826.438336976922</v>
      </c>
      <c r="CV10" s="3">
        <v>5489.5905266104992</v>
      </c>
      <c r="CW10" s="3">
        <v>20407.99279428085</v>
      </c>
      <c r="CX10" s="3">
        <v>5923.3924113956018</v>
      </c>
      <c r="CY10" s="3">
        <v>-1395.1763380179689</v>
      </c>
      <c r="CZ10" s="3">
        <v>10568.762855172668</v>
      </c>
      <c r="DA10" s="3">
        <v>11374.905524983464</v>
      </c>
      <c r="DB10" s="3">
        <v>3461.3074588874947</v>
      </c>
      <c r="DC10" s="3">
        <v>9534.7148570965364</v>
      </c>
      <c r="DD10" s="3">
        <v>26723.045486790783</v>
      </c>
      <c r="DE10" s="3">
        <v>382.20491873095705</v>
      </c>
      <c r="DF10" s="3">
        <v>-6433.3821249263001</v>
      </c>
      <c r="DG10" s="3">
        <v>261.95824868140858</v>
      </c>
      <c r="DH10" s="3">
        <v>642.3503297020701</v>
      </c>
      <c r="DI10" s="3">
        <v>482.52346839573454</v>
      </c>
      <c r="DJ10" s="3">
        <v>1472.4620842288875</v>
      </c>
      <c r="DK10" s="3">
        <v>336.91905245167101</v>
      </c>
      <c r="DL10" s="3">
        <v>264.90473209412005</v>
      </c>
      <c r="DM10" s="3">
        <v>3995.1899420939303</v>
      </c>
      <c r="DN10" s="3">
        <v>22121.270780005692</v>
      </c>
      <c r="DO10" s="3">
        <v>21891.662702030659</v>
      </c>
      <c r="DP10" s="3">
        <v>6331.8039623420946</v>
      </c>
      <c r="DQ10" s="3">
        <v>12646.46441450571</v>
      </c>
      <c r="DR10" s="3">
        <v>3579.6114134563891</v>
      </c>
      <c r="DS10" s="3">
        <v>18138.951416847125</v>
      </c>
      <c r="DT10" s="3">
        <v>682.91870592853593</v>
      </c>
      <c r="DU10" s="3">
        <v>496.59778673892697</v>
      </c>
      <c r="DV10" s="3">
        <v>886.49162352542726</v>
      </c>
      <c r="DW10" s="3">
        <v>504.99652946989772</v>
      </c>
      <c r="DX10" s="3">
        <v>1163.2032640562966</v>
      </c>
      <c r="DY10" s="3">
        <v>401.08975089495107</v>
      </c>
      <c r="DZ10" s="3">
        <v>260.32008235201033</v>
      </c>
      <c r="EA10" s="3">
        <v>525.69313282965049</v>
      </c>
      <c r="EB10" s="3">
        <v>271.02368149984972</v>
      </c>
      <c r="EC10" s="3">
        <v>9454.2633994846565</v>
      </c>
      <c r="ED10" s="3">
        <v>5877.8424050159247</v>
      </c>
      <c r="EE10" s="3">
        <v>20632.459738928723</v>
      </c>
      <c r="EF10" s="3">
        <v>9402.8146789512029</v>
      </c>
      <c r="EG10" s="3">
        <v>8133.9784825411516</v>
      </c>
      <c r="EH10" s="3">
        <v>11157.617289686797</v>
      </c>
      <c r="EI10" s="3">
        <v>11579.121965602015</v>
      </c>
      <c r="EJ10" s="3">
        <v>19228.153206959414</v>
      </c>
      <c r="EK10" s="3">
        <v>12849.377870613613</v>
      </c>
      <c r="EL10" s="3">
        <v>16604.760004452786</v>
      </c>
      <c r="EM10" s="3">
        <v>18652.03846634673</v>
      </c>
      <c r="EN10" s="3">
        <v>16167.391102546526</v>
      </c>
      <c r="EO10" s="3">
        <v>9576.2279874507258</v>
      </c>
      <c r="EP10" s="3">
        <v>6631.6693372251584</v>
      </c>
      <c r="EQ10" s="3">
        <v>15558.748261052066</v>
      </c>
      <c r="ER10" s="3">
        <v>27467.095146978656</v>
      </c>
      <c r="ES10" s="3">
        <v>14041.843923543262</v>
      </c>
      <c r="ET10" s="3">
        <v>14654.885189491386</v>
      </c>
      <c r="EU10" s="3">
        <v>7966.7133340956107</v>
      </c>
      <c r="EV10" s="3">
        <v>9334.9182897240298</v>
      </c>
      <c r="EW10" s="3">
        <v>4971.6914227691495</v>
      </c>
      <c r="EX10" s="3">
        <v>5482.8525840174443</v>
      </c>
      <c r="EY10" s="3">
        <v>3702.2730871741942</v>
      </c>
      <c r="EZ10" s="3">
        <v>17984.23766323633</v>
      </c>
      <c r="FA10" s="3">
        <v>10108.64176163758</v>
      </c>
      <c r="FB10" s="3">
        <v>4802.4091990793686</v>
      </c>
      <c r="FC10" s="3">
        <v>3902.3683378679639</v>
      </c>
      <c r="FD10" s="3">
        <v>14035.205166801868</v>
      </c>
      <c r="FE10" s="3">
        <v>15258.626033918024</v>
      </c>
      <c r="FF10" s="3">
        <v>10830.620969989139</v>
      </c>
      <c r="FG10" s="3">
        <v>16973.85277870559</v>
      </c>
      <c r="FH10" s="3">
        <v>8103.9832944349728</v>
      </c>
      <c r="FI10" s="3">
        <v>3966.6795199761646</v>
      </c>
      <c r="FJ10" s="3">
        <v>6840.4688278140529</v>
      </c>
      <c r="FK10" s="3">
        <v>8327.5707793450019</v>
      </c>
      <c r="FL10" s="3">
        <v>6178.6810336651661</v>
      </c>
      <c r="FM10" s="3">
        <v>8011.5884145255586</v>
      </c>
      <c r="FN10" s="3">
        <v>20979.866895340794</v>
      </c>
      <c r="FO10" s="3">
        <v>13415.184155714649</v>
      </c>
      <c r="FP10" s="3">
        <v>8100.483112224947</v>
      </c>
      <c r="FQ10" s="3">
        <v>6793.5059859263347</v>
      </c>
      <c r="FR10" s="3">
        <v>6291.9860568450167</v>
      </c>
      <c r="FS10" s="3">
        <v>19872.588631833165</v>
      </c>
      <c r="FT10" s="3">
        <v>9988.262488280574</v>
      </c>
      <c r="FU10" s="3">
        <v>26536.708095876893</v>
      </c>
      <c r="FV10" s="3">
        <v>18265.994154532149</v>
      </c>
      <c r="FW10" s="3">
        <v>14598.841924330804</v>
      </c>
      <c r="FX10" s="3">
        <v>15853.780014299491</v>
      </c>
      <c r="FY10" s="3">
        <v>3422.6907450136237</v>
      </c>
      <c r="FZ10" s="3">
        <v>5898.5956521477547</v>
      </c>
      <c r="GA10" s="3">
        <v>824.05798100948164</v>
      </c>
      <c r="GB10" s="3">
        <v>15605.358619885139</v>
      </c>
      <c r="GC10" s="3">
        <v>7279.1161843964746</v>
      </c>
      <c r="GD10" s="3">
        <v>5436.3855528880313</v>
      </c>
      <c r="GE10" s="3">
        <v>10150.03621262404</v>
      </c>
      <c r="GF10" s="3">
        <v>10577.988620676533</v>
      </c>
      <c r="GG10" s="3">
        <v>12186.770045287218</v>
      </c>
      <c r="GH10" s="3">
        <v>7365.3207769276823</v>
      </c>
      <c r="GI10" s="3">
        <v>12969.921742714287</v>
      </c>
      <c r="GJ10" s="3">
        <v>10300.192038607096</v>
      </c>
      <c r="GK10" s="3">
        <v>8630.1890652522434</v>
      </c>
      <c r="GL10" s="3">
        <v>29594.539122087295</v>
      </c>
      <c r="GM10" s="3">
        <v>7024.0479158804746</v>
      </c>
      <c r="GN10" s="3">
        <v>15162.630423178049</v>
      </c>
      <c r="GO10" s="3">
        <v>9689.5155908930883</v>
      </c>
      <c r="GP10" s="3">
        <v>8138.7593709582716</v>
      </c>
      <c r="GQ10" s="3">
        <v>15316.172729071279</v>
      </c>
      <c r="GR10" s="3">
        <v>13231.193630040127</v>
      </c>
      <c r="GS10" s="3">
        <v>20646.780185126812</v>
      </c>
      <c r="GT10" s="3">
        <v>8097.3098167206008</v>
      </c>
      <c r="GU10" s="3">
        <v>13622.418062213588</v>
      </c>
      <c r="GV10" s="3">
        <v>1987652.1435000014</v>
      </c>
      <c r="GW10" s="3">
        <v>6926.7756872392692</v>
      </c>
      <c r="GX10" s="3">
        <v>0</v>
      </c>
      <c r="GY10" s="3">
        <v>-88.00706135023924</v>
      </c>
      <c r="GZ10" s="3" t="s">
        <v>274</v>
      </c>
      <c r="HA10" s="3">
        <v>6449.3531208725553</v>
      </c>
      <c r="HB10" s="3">
        <v>912.15830313093375</v>
      </c>
      <c r="HC10" s="3">
        <v>-4.5860125106851726</v>
      </c>
      <c r="HD10" s="3">
        <v>-67.960735604242927</v>
      </c>
      <c r="HE10" s="3">
        <v>0</v>
      </c>
      <c r="HF10" s="3">
        <v>-75.553311846577955</v>
      </c>
      <c r="HG10" s="3">
        <v>0</v>
      </c>
      <c r="HH10" s="3">
        <v>-24.589085167110419</v>
      </c>
    </row>
    <row r="11" spans="1:216" x14ac:dyDescent="0.3">
      <c r="A11" s="13" t="s">
        <v>269</v>
      </c>
      <c r="B11" s="13"/>
      <c r="C11" s="3">
        <v>-987.61652735937969</v>
      </c>
      <c r="D11" s="3">
        <v>-7753.2107016482732</v>
      </c>
      <c r="E11" s="3">
        <v>-4743.6533523754824</v>
      </c>
      <c r="F11" s="3">
        <v>-1346.3152917841926</v>
      </c>
      <c r="G11" s="3">
        <v>-2996.7736166483719</v>
      </c>
      <c r="H11" s="3">
        <v>-17.822966513848769</v>
      </c>
      <c r="I11" s="3">
        <v>-237.69909937733291</v>
      </c>
      <c r="J11" s="3">
        <v>-225.10006434364823</v>
      </c>
      <c r="K11" s="3">
        <v>-2153.0212305994883</v>
      </c>
      <c r="L11" s="3">
        <v>-1017.2948785865456</v>
      </c>
      <c r="M11" s="3">
        <v>-1856.4939368659407</v>
      </c>
      <c r="N11" s="3">
        <v>-1301.6224246108213</v>
      </c>
      <c r="O11" s="3">
        <v>-1207.4396957111167</v>
      </c>
      <c r="P11" s="3">
        <v>-1774.4304964523499</v>
      </c>
      <c r="Q11" s="3">
        <v>-2582.6312871643895</v>
      </c>
      <c r="R11" s="3">
        <v>-735.42705532657965</v>
      </c>
      <c r="S11" s="3">
        <v>-2726.133744635019</v>
      </c>
      <c r="T11" s="3">
        <v>-2223.5074441303677</v>
      </c>
      <c r="U11" s="3">
        <v>-123.64053131196761</v>
      </c>
      <c r="V11" s="3">
        <v>-505.96415582273039</v>
      </c>
      <c r="W11" s="3">
        <v>-334.44039319893545</v>
      </c>
      <c r="X11" s="3">
        <v>1217.9674436879523</v>
      </c>
      <c r="Y11" s="3">
        <v>-3310.5044506299328</v>
      </c>
      <c r="Z11" s="3">
        <v>-1273.6954487050243</v>
      </c>
      <c r="AA11" s="3">
        <v>-7289.8116827830017</v>
      </c>
      <c r="AB11" s="3">
        <v>810.7426160603377</v>
      </c>
      <c r="AC11" s="3">
        <v>-968.25839257393363</v>
      </c>
      <c r="AD11" s="3">
        <v>-4954.4188036525611</v>
      </c>
      <c r="AE11" s="3">
        <v>-1935.3450661398574</v>
      </c>
      <c r="AF11" s="3">
        <v>-3188.3602854850469</v>
      </c>
      <c r="AG11" s="3">
        <v>761.776277588222</v>
      </c>
      <c r="AH11" s="3">
        <v>2177.66367226277</v>
      </c>
      <c r="AI11" s="3">
        <v>-2802.5324078083904</v>
      </c>
      <c r="AJ11" s="3">
        <v>-644.22653546880611</v>
      </c>
      <c r="AK11" s="3">
        <v>-868.49688094246721</v>
      </c>
      <c r="AL11" s="3">
        <v>-3180.8655184362142</v>
      </c>
      <c r="AM11" s="3">
        <v>-3416.8609230453949</v>
      </c>
      <c r="AN11" s="3">
        <v>-2978.3547941363959</v>
      </c>
      <c r="AO11" s="3">
        <v>-5252.176638794117</v>
      </c>
      <c r="AP11" s="3">
        <v>-383.44206179421963</v>
      </c>
      <c r="AQ11" s="3">
        <v>-1180.9355402595647</v>
      </c>
      <c r="AR11" s="3">
        <v>-8341.4933812834606</v>
      </c>
      <c r="AS11" s="3">
        <v>-268.54162327836275</v>
      </c>
      <c r="AT11" s="3">
        <v>-3311.4995019319667</v>
      </c>
      <c r="AU11" s="3">
        <v>-1027.2301232747195</v>
      </c>
      <c r="AV11" s="3">
        <v>-7213.0679288941865</v>
      </c>
      <c r="AW11" s="3">
        <v>-3727.0474765625277</v>
      </c>
      <c r="AX11" s="3">
        <v>-4818.7294857669622</v>
      </c>
      <c r="AY11" s="3">
        <v>-2427.5710898248308</v>
      </c>
      <c r="AZ11" s="3">
        <v>-5810.7401120572213</v>
      </c>
      <c r="BA11" s="3">
        <v>-741.39299994189241</v>
      </c>
      <c r="BB11" s="3">
        <v>-1644.2569300254299</v>
      </c>
      <c r="BC11" s="3">
        <v>-3077.2516479329861</v>
      </c>
      <c r="BD11" s="3">
        <v>1679.9513361945017</v>
      </c>
      <c r="BE11" s="3">
        <v>778.87047685441348</v>
      </c>
      <c r="BF11" s="3">
        <v>-3087.851601344566</v>
      </c>
      <c r="BG11" s="3">
        <v>-6723.4907604140317</v>
      </c>
      <c r="BH11" s="3">
        <v>766.9504013419446</v>
      </c>
      <c r="BI11" s="3">
        <v>2614.3589125591461</v>
      </c>
      <c r="BJ11" s="3">
        <v>757.75937139583721</v>
      </c>
      <c r="BK11" s="3">
        <v>-9195.5907692914552</v>
      </c>
      <c r="BL11" s="3">
        <v>-245.80963620320472</v>
      </c>
      <c r="BM11" s="3">
        <v>-273.69720193028206</v>
      </c>
      <c r="BN11" s="3">
        <v>-1751.401428971591</v>
      </c>
      <c r="BO11" s="3">
        <v>-3026.7799317555937</v>
      </c>
      <c r="BP11" s="3">
        <v>-534.1068015789715</v>
      </c>
      <c r="BQ11" s="3">
        <v>-516.22671021942278</v>
      </c>
      <c r="BR11" s="3">
        <v>-1486.1668728914028</v>
      </c>
      <c r="BS11" s="3">
        <v>1325.3738404268693</v>
      </c>
      <c r="BT11" s="3">
        <v>-311.78996712327989</v>
      </c>
      <c r="BU11" s="3">
        <v>-644.61678177449721</v>
      </c>
      <c r="BV11" s="3">
        <v>241.63826600508855</v>
      </c>
      <c r="BW11" s="3">
        <v>1032.2389923792687</v>
      </c>
      <c r="BX11" s="3">
        <v>-1600.6260408544931</v>
      </c>
      <c r="BY11" s="3">
        <v>-4920.5785747751743</v>
      </c>
      <c r="BZ11" s="3">
        <v>-3969.0252543411643</v>
      </c>
      <c r="CA11" s="3">
        <v>1829.8648565781277</v>
      </c>
      <c r="CB11" s="3">
        <v>-4442.6926894515673</v>
      </c>
      <c r="CC11" s="3">
        <v>-1107.2825772924734</v>
      </c>
      <c r="CD11" s="3">
        <v>-1300.387582239694</v>
      </c>
      <c r="CE11" s="3">
        <v>-4584.2784437068767</v>
      </c>
      <c r="CF11" s="3">
        <v>-6215.2201690474631</v>
      </c>
      <c r="CG11" s="3">
        <v>-447.38078517137001</v>
      </c>
      <c r="CH11" s="3">
        <v>1623.4308170226832</v>
      </c>
      <c r="CI11" s="3">
        <v>140.34753920498133</v>
      </c>
      <c r="CJ11" s="3">
        <v>947.86964964682966</v>
      </c>
      <c r="CK11" s="3">
        <v>-2682.3039087254147</v>
      </c>
      <c r="CL11" s="3">
        <v>152.73297936975541</v>
      </c>
      <c r="CM11" s="3">
        <v>4070.976462493677</v>
      </c>
      <c r="CN11" s="3">
        <v>-12393.671329288609</v>
      </c>
      <c r="CO11" s="3">
        <v>6890.9094202275628</v>
      </c>
      <c r="CP11" s="3">
        <v>824.25896244385513</v>
      </c>
      <c r="CQ11" s="3">
        <v>-299.22838943113766</v>
      </c>
      <c r="CR11" s="3">
        <v>801.55102676666547</v>
      </c>
      <c r="CS11" s="3">
        <v>-2837.314664886535</v>
      </c>
      <c r="CT11" s="3">
        <v>1201.6348067752551</v>
      </c>
      <c r="CU11" s="3">
        <v>-3053.3299630232523</v>
      </c>
      <c r="CV11" s="3">
        <v>287.45392661059032</v>
      </c>
      <c r="CW11" s="3">
        <v>-4154.1881057186329</v>
      </c>
      <c r="CX11" s="3">
        <v>745.08311139572561</v>
      </c>
      <c r="CY11" s="3">
        <v>1164.1541619820307</v>
      </c>
      <c r="CZ11" s="3">
        <v>2321.1069551726105</v>
      </c>
      <c r="DA11" s="3">
        <v>-4247.6001750166415</v>
      </c>
      <c r="DB11" s="3">
        <v>510.81715888750887</v>
      </c>
      <c r="DC11" s="3">
        <v>-615.78844290347479</v>
      </c>
      <c r="DD11" s="3">
        <v>-8041.0611132084159</v>
      </c>
      <c r="DE11" s="3">
        <v>242.33171873095688</v>
      </c>
      <c r="DF11" s="3">
        <v>4304.4675750736988</v>
      </c>
      <c r="DG11" s="3">
        <v>765.39534868140845</v>
      </c>
      <c r="DH11" s="3">
        <v>-237.33707029793129</v>
      </c>
      <c r="DI11" s="3">
        <v>274.52366839573369</v>
      </c>
      <c r="DJ11" s="3">
        <v>606.09148422888711</v>
      </c>
      <c r="DK11" s="3">
        <v>-177.85034754832958</v>
      </c>
      <c r="DL11" s="3">
        <v>369.98973209411997</v>
      </c>
      <c r="DM11" s="3">
        <v>648.5718420939711</v>
      </c>
      <c r="DN11" s="3">
        <v>-8742.0989199939795</v>
      </c>
      <c r="DO11" s="3">
        <v>-8727.3577979690526</v>
      </c>
      <c r="DP11" s="3">
        <v>-1445.3416376579235</v>
      </c>
      <c r="DQ11" s="3">
        <v>-3760.9472854943779</v>
      </c>
      <c r="DR11" s="3">
        <v>1492.3496134564534</v>
      </c>
      <c r="DS11" s="3">
        <v>-8332.4892831526086</v>
      </c>
      <c r="DT11" s="3">
        <v>-167.55549407146384</v>
      </c>
      <c r="DU11" s="3">
        <v>71.219486738927003</v>
      </c>
      <c r="DV11" s="3">
        <v>34.897823525428635</v>
      </c>
      <c r="DW11" s="3">
        <v>-49.686670530102674</v>
      </c>
      <c r="DX11" s="3">
        <v>-450.3935359437055</v>
      </c>
      <c r="DY11" s="3">
        <v>35.124250894951274</v>
      </c>
      <c r="DZ11" s="3">
        <v>129.96728235201033</v>
      </c>
      <c r="EA11" s="3">
        <v>-52.540567170349505</v>
      </c>
      <c r="EB11" s="3">
        <v>176.63298149984973</v>
      </c>
      <c r="EC11" s="3">
        <v>2182.6036994846691</v>
      </c>
      <c r="ED11" s="3">
        <v>85.686805015994651</v>
      </c>
      <c r="EE11" s="3">
        <v>-4574.3746610710987</v>
      </c>
      <c r="EF11" s="3">
        <v>-3780.7124210488128</v>
      </c>
      <c r="EG11" s="3">
        <v>1268.5972825412655</v>
      </c>
      <c r="EH11" s="3">
        <v>-3461.7974103132728</v>
      </c>
      <c r="EI11" s="3">
        <v>-4868.8848343980462</v>
      </c>
      <c r="EJ11" s="3">
        <v>-7069.0767930401344</v>
      </c>
      <c r="EK11" s="3">
        <v>-3743.4940293863892</v>
      </c>
      <c r="EL11" s="3">
        <v>-5530.0525955472513</v>
      </c>
      <c r="EM11" s="3">
        <v>-3695.7344336530623</v>
      </c>
      <c r="EN11" s="3">
        <v>-1467.6725974533347</v>
      </c>
      <c r="EO11" s="3">
        <v>-2792.1461125493497</v>
      </c>
      <c r="EP11" s="3">
        <v>-1631.5456627747926</v>
      </c>
      <c r="EQ11" s="3">
        <v>-7529.6859389478541</v>
      </c>
      <c r="ER11" s="3">
        <v>-10973.222053020512</v>
      </c>
      <c r="ES11" s="3">
        <v>-1442.8568764571828</v>
      </c>
      <c r="ET11" s="3">
        <v>-4238.2685105089004</v>
      </c>
      <c r="EU11" s="3">
        <v>808.4863340956299</v>
      </c>
      <c r="EV11" s="3">
        <v>-3008.0708102759563</v>
      </c>
      <c r="EW11" s="3">
        <v>785.18192276920854</v>
      </c>
      <c r="EX11" s="3">
        <v>867.09758401753243</v>
      </c>
      <c r="EY11" s="3">
        <v>-170.73271282574296</v>
      </c>
      <c r="EZ11" s="3">
        <v>-3825.1225367636798</v>
      </c>
      <c r="FA11" s="3">
        <v>-3244.6136383624544</v>
      </c>
      <c r="FB11" s="3">
        <v>-1612.5344009206055</v>
      </c>
      <c r="FC11" s="3">
        <v>1249.3911378680164</v>
      </c>
      <c r="FD11" s="3">
        <v>-2984.6393331980507</v>
      </c>
      <c r="FE11" s="3">
        <v>-5056.3898660821378</v>
      </c>
      <c r="FF11" s="3">
        <v>136.71426998914831</v>
      </c>
      <c r="FG11" s="3">
        <v>-5650.7685212942924</v>
      </c>
      <c r="FH11" s="3">
        <v>-2817.9747055649932</v>
      </c>
      <c r="FI11" s="3">
        <v>565.41381997617327</v>
      </c>
      <c r="FJ11" s="3">
        <v>-1595.80917218592</v>
      </c>
      <c r="FK11" s="3">
        <v>-2933.1952206550141</v>
      </c>
      <c r="FL11" s="3">
        <v>-2209.515966334734</v>
      </c>
      <c r="FM11" s="3">
        <v>-2299.1955854743755</v>
      </c>
      <c r="FN11" s="3">
        <v>-8138.4421046588868</v>
      </c>
      <c r="FO11" s="3">
        <v>-5418.3429442852739</v>
      </c>
      <c r="FP11" s="3">
        <v>-1445.8538877750198</v>
      </c>
      <c r="FQ11" s="3">
        <v>-1610.7807140735786</v>
      </c>
      <c r="FR11" s="3">
        <v>-1838.8529431548759</v>
      </c>
      <c r="FS11" s="3">
        <v>-6759.054168166931</v>
      </c>
      <c r="FT11" s="3">
        <v>-2761.7070117194962</v>
      </c>
      <c r="FU11" s="3">
        <v>-7866.8466041227148</v>
      </c>
      <c r="FV11" s="3">
        <v>-905.9264454678123</v>
      </c>
      <c r="FW11" s="3">
        <v>-3193.6690756692678</v>
      </c>
      <c r="FX11" s="3">
        <v>-4765.7850857006033</v>
      </c>
      <c r="FY11" s="3">
        <v>1564.5562450136067</v>
      </c>
      <c r="FZ11" s="3">
        <v>-602.54174785214309</v>
      </c>
      <c r="GA11" s="3">
        <v>391.0117810094838</v>
      </c>
      <c r="GB11" s="3">
        <v>-4906.0739801147665</v>
      </c>
      <c r="GC11" s="3">
        <v>-308.63971560349182</v>
      </c>
      <c r="GD11" s="3">
        <v>1260.1499528881013</v>
      </c>
      <c r="GE11" s="3">
        <v>-3189.2850873759835</v>
      </c>
      <c r="GF11" s="3">
        <v>-1865.9509793234756</v>
      </c>
      <c r="GG11" s="3">
        <v>-3027.5853547128991</v>
      </c>
      <c r="GH11" s="3">
        <v>-1324.611823072165</v>
      </c>
      <c r="GI11" s="3">
        <v>-4219.9016572857909</v>
      </c>
      <c r="GJ11" s="3">
        <v>-3345.5135613928651</v>
      </c>
      <c r="GK11" s="3">
        <v>1852.4446652522947</v>
      </c>
      <c r="GL11" s="3">
        <v>-9170.2406779124176</v>
      </c>
      <c r="GM11" s="3">
        <v>-126.67568411943739</v>
      </c>
      <c r="GN11" s="3">
        <v>-4947.7560768221192</v>
      </c>
      <c r="GO11" s="3">
        <v>-1431.5828091069034</v>
      </c>
      <c r="GP11" s="3">
        <v>-2844.1323290418413</v>
      </c>
      <c r="GQ11" s="3">
        <v>-3187.3212709288073</v>
      </c>
      <c r="GR11" s="3">
        <v>-3298.9837699600084</v>
      </c>
      <c r="GS11" s="3">
        <v>-3546.270814872998</v>
      </c>
      <c r="GT11" s="3">
        <v>-2115.851583279331</v>
      </c>
      <c r="GU11" s="3">
        <v>-7632.8991377865113</v>
      </c>
      <c r="GV11" s="3">
        <v>-386581.89669998729</v>
      </c>
      <c r="GW11" s="3">
        <v>601.57678723935533</v>
      </c>
      <c r="GX11" s="3">
        <v>1819.3999999999999</v>
      </c>
      <c r="GY11" s="3">
        <v>117.91603864976074</v>
      </c>
      <c r="GZ11" s="3" t="s">
        <v>274</v>
      </c>
      <c r="HA11" s="3">
        <v>7875.4101208726106</v>
      </c>
      <c r="HB11" s="3">
        <v>-318.3283968690655</v>
      </c>
      <c r="HC11" s="3">
        <v>3.1539874893148276</v>
      </c>
      <c r="HD11" s="3">
        <v>46.739364395757079</v>
      </c>
      <c r="HE11" s="3">
        <v>2577.59</v>
      </c>
      <c r="HF11" s="3">
        <v>51.96108815342204</v>
      </c>
      <c r="HG11" s="3">
        <v>524.99</v>
      </c>
      <c r="HH11" s="3">
        <v>16.910914832889581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750AF-992E-4E14-ABE4-95B0B0E6AA6B}">
  <sheetPr>
    <tabColor rgb="FF00B050"/>
  </sheetPr>
  <dimension ref="A3:L468"/>
  <sheetViews>
    <sheetView topLeftCell="C187" workbookViewId="0">
      <selection activeCell="K239" sqref="K239"/>
    </sheetView>
  </sheetViews>
  <sheetFormatPr baseColWidth="10" defaultRowHeight="14.4" x14ac:dyDescent="0.3"/>
  <cols>
    <col min="1" max="1" width="52.5546875" bestFit="1" customWidth="1"/>
    <col min="3" max="3" width="16.5546875" bestFit="1" customWidth="1"/>
    <col min="4" max="4" width="45.33203125" bestFit="1" customWidth="1"/>
    <col min="5" max="5" width="12.44140625" bestFit="1" customWidth="1"/>
    <col min="6" max="6" width="10.21875" style="6" customWidth="1"/>
    <col min="7" max="7" width="12.44140625" bestFit="1" customWidth="1"/>
    <col min="8" max="8" width="10.33203125" style="6" customWidth="1"/>
    <col min="9" max="9" width="15.5546875" customWidth="1"/>
    <col min="10" max="10" width="9.33203125" style="6" customWidth="1"/>
    <col min="11" max="11" width="13.33203125" bestFit="1" customWidth="1"/>
    <col min="12" max="12" width="9.5546875" style="6" customWidth="1"/>
    <col min="13" max="13" width="3.6640625" customWidth="1"/>
    <col min="14" max="14" width="11.6640625" bestFit="1" customWidth="1"/>
    <col min="15" max="15" width="11.6640625" customWidth="1"/>
  </cols>
  <sheetData>
    <row r="3" spans="1:12" x14ac:dyDescent="0.3">
      <c r="C3" s="1" t="s">
        <v>29</v>
      </c>
      <c r="D3" s="1" t="s">
        <v>24</v>
      </c>
      <c r="E3" s="1" t="s">
        <v>1</v>
      </c>
      <c r="F3" s="5" t="s">
        <v>25</v>
      </c>
      <c r="G3" s="1" t="s">
        <v>2</v>
      </c>
      <c r="H3" s="5" t="s">
        <v>26</v>
      </c>
      <c r="I3" s="1" t="s">
        <v>3</v>
      </c>
      <c r="J3" s="5" t="s">
        <v>27</v>
      </c>
      <c r="K3" s="1" t="s">
        <v>14</v>
      </c>
      <c r="L3" s="5" t="s">
        <v>28</v>
      </c>
    </row>
    <row r="4" spans="1:12" x14ac:dyDescent="0.3">
      <c r="C4">
        <f>SUMIFS(B$16:B$212,C$17:C$213,D4)</f>
        <v>13</v>
      </c>
      <c r="D4" t="s">
        <v>17</v>
      </c>
      <c r="E4" s="3">
        <f t="shared" ref="E4:E10" si="0">SUMIFS(E$24:E$221,C$16:C$213,D4)</f>
        <v>76192.925000000003</v>
      </c>
      <c r="F4" s="6">
        <f>E4/E$11</f>
        <v>7.958288084471439E-2</v>
      </c>
      <c r="G4" s="3">
        <f t="shared" ref="G4:G10" si="1">SUMIFS(G$24:G$221,C$16:C$213,D4)</f>
        <v>424512.641</v>
      </c>
      <c r="H4" s="6">
        <f>G4/G$11</f>
        <v>9.5174918813598838E-2</v>
      </c>
      <c r="I4" s="3">
        <f t="shared" ref="I4:I10" si="2">SUMIFS(I$24:I$221,C$16:C$213,D4)</f>
        <v>-104481.643</v>
      </c>
      <c r="J4" s="6">
        <f>I4/I$11</f>
        <v>9.8350010327577092E-2</v>
      </c>
      <c r="K4" s="3">
        <f t="shared" ref="K4:K10" si="3">SUMIFS(K$24:K$221,C$16:C$213,D4)</f>
        <v>-360640.49699999997</v>
      </c>
      <c r="L4" s="6">
        <f>K4/K$11</f>
        <v>0.1049476271016424</v>
      </c>
    </row>
    <row r="5" spans="1:12" x14ac:dyDescent="0.3">
      <c r="C5">
        <f t="shared" ref="C5:C10" si="4">SUMIFS(B$16:B$205,C$17:C$206,D5)</f>
        <v>20</v>
      </c>
      <c r="D5" t="s">
        <v>22</v>
      </c>
      <c r="E5" s="3">
        <f t="shared" si="0"/>
        <v>147413.054</v>
      </c>
      <c r="F5" s="6">
        <f t="shared" ref="F5:F10" si="5">E5/E$11</f>
        <v>0.15397171734038886</v>
      </c>
      <c r="G5" s="3">
        <f t="shared" si="1"/>
        <v>772075.4870000002</v>
      </c>
      <c r="H5" s="6">
        <f t="shared" ref="H5:H10" si="6">G5/G$11</f>
        <v>0.1730978413742803</v>
      </c>
      <c r="I5" s="3">
        <f t="shared" si="2"/>
        <v>-179653.11300000001</v>
      </c>
      <c r="J5" s="6">
        <f t="shared" ref="J5:J10" si="7">I5/I$11</f>
        <v>0.16910995091196426</v>
      </c>
      <c r="K5" s="3">
        <f t="shared" si="3"/>
        <v>-545394.8870000001</v>
      </c>
      <c r="L5" s="6">
        <f t="shared" ref="L5:L10" si="8">K5/K$11</f>
        <v>0.15871179110541878</v>
      </c>
    </row>
    <row r="6" spans="1:12" x14ac:dyDescent="0.3">
      <c r="C6">
        <f t="shared" si="4"/>
        <v>31</v>
      </c>
      <c r="D6" t="s">
        <v>18</v>
      </c>
      <c r="E6" s="3">
        <f t="shared" si="0"/>
        <v>216506.462</v>
      </c>
      <c r="F6" s="6">
        <f t="shared" si="5"/>
        <v>0.22613921131728024</v>
      </c>
      <c r="G6" s="3">
        <f t="shared" si="1"/>
        <v>970371.77499999979</v>
      </c>
      <c r="H6" s="6">
        <f t="shared" si="6"/>
        <v>0.21755548830554797</v>
      </c>
      <c r="I6" s="3">
        <f t="shared" si="2"/>
        <v>-231621.43299999999</v>
      </c>
      <c r="J6" s="6">
        <f t="shared" si="7"/>
        <v>0.21802844665869395</v>
      </c>
      <c r="K6" s="3">
        <f t="shared" si="3"/>
        <v>-749793.46199999982</v>
      </c>
      <c r="L6" s="6">
        <f t="shared" si="8"/>
        <v>0.21819248062212346</v>
      </c>
    </row>
    <row r="7" spans="1:12" x14ac:dyDescent="0.3">
      <c r="C7">
        <f t="shared" si="4"/>
        <v>15</v>
      </c>
      <c r="D7" t="s">
        <v>19</v>
      </c>
      <c r="E7" s="3">
        <f t="shared" si="0"/>
        <v>111853.87800000001</v>
      </c>
      <c r="F7" s="6">
        <f t="shared" si="5"/>
        <v>0.11683045171048653</v>
      </c>
      <c r="G7" s="3">
        <f t="shared" si="1"/>
        <v>484909.55600000004</v>
      </c>
      <c r="H7" s="6">
        <f t="shared" si="6"/>
        <v>0.10871579116118303</v>
      </c>
      <c r="I7" s="3">
        <f t="shared" si="2"/>
        <v>-122858.55499999999</v>
      </c>
      <c r="J7" s="6">
        <f t="shared" si="7"/>
        <v>0.11564845082959882</v>
      </c>
      <c r="K7" s="3">
        <f t="shared" si="3"/>
        <v>-378195.72499999998</v>
      </c>
      <c r="L7" s="6">
        <f t="shared" si="8"/>
        <v>0.1100562589307193</v>
      </c>
    </row>
    <row r="8" spans="1:12" x14ac:dyDescent="0.3">
      <c r="C8">
        <f t="shared" si="4"/>
        <v>19</v>
      </c>
      <c r="D8" t="s">
        <v>23</v>
      </c>
      <c r="E8" s="3">
        <f t="shared" si="0"/>
        <v>111694.68699999999</v>
      </c>
      <c r="F8" s="6">
        <f t="shared" si="5"/>
        <v>0.11666417802582942</v>
      </c>
      <c r="G8" s="3">
        <f t="shared" si="1"/>
        <v>598038.35400000005</v>
      </c>
      <c r="H8" s="6">
        <f t="shared" si="6"/>
        <v>0.13407905040304391</v>
      </c>
      <c r="I8" s="3">
        <f t="shared" si="2"/>
        <v>-135866.943</v>
      </c>
      <c r="J8" s="6">
        <f t="shared" si="7"/>
        <v>0.12789342571140777</v>
      </c>
      <c r="K8" s="3">
        <f t="shared" si="3"/>
        <v>-482481.72500000003</v>
      </c>
      <c r="L8" s="6">
        <f t="shared" si="8"/>
        <v>0.14040384421569047</v>
      </c>
    </row>
    <row r="9" spans="1:12" x14ac:dyDescent="0.3">
      <c r="C9">
        <f t="shared" si="4"/>
        <v>18</v>
      </c>
      <c r="D9" t="s">
        <v>20</v>
      </c>
      <c r="E9" s="3">
        <f t="shared" si="0"/>
        <v>143232.72700000001</v>
      </c>
      <c r="F9" s="6">
        <f t="shared" si="5"/>
        <v>0.14960540031642711</v>
      </c>
      <c r="G9" s="3">
        <f t="shared" si="1"/>
        <v>558596.82700000005</v>
      </c>
      <c r="H9" s="6">
        <f t="shared" si="6"/>
        <v>0.12523633579914742</v>
      </c>
      <c r="I9" s="3">
        <f t="shared" si="2"/>
        <v>-127172.22899999998</v>
      </c>
      <c r="J9" s="6">
        <f t="shared" si="7"/>
        <v>0.11970897160883082</v>
      </c>
      <c r="K9" s="3">
        <f t="shared" si="3"/>
        <v>-394686.24700000003</v>
      </c>
      <c r="L9" s="6">
        <f t="shared" si="8"/>
        <v>0.11485505764568291</v>
      </c>
    </row>
    <row r="10" spans="1:12" x14ac:dyDescent="0.3">
      <c r="C10">
        <f t="shared" si="4"/>
        <v>28</v>
      </c>
      <c r="D10" t="s">
        <v>21</v>
      </c>
      <c r="E10" s="3">
        <f t="shared" si="0"/>
        <v>150509.72099999999</v>
      </c>
      <c r="F10" s="6">
        <f t="shared" si="5"/>
        <v>0.15720616044487343</v>
      </c>
      <c r="G10" s="3">
        <f t="shared" si="1"/>
        <v>651836.86900000018</v>
      </c>
      <c r="H10" s="6">
        <f t="shared" si="6"/>
        <v>0.14614057414319845</v>
      </c>
      <c r="I10" s="3">
        <f t="shared" si="2"/>
        <v>-160691.09700000001</v>
      </c>
      <c r="J10" s="6">
        <f t="shared" si="7"/>
        <v>0.15126074395192746</v>
      </c>
      <c r="K10" s="3">
        <f t="shared" si="3"/>
        <v>-525192.89000000013</v>
      </c>
      <c r="L10" s="6">
        <f t="shared" si="8"/>
        <v>0.15283294037872266</v>
      </c>
    </row>
    <row r="11" spans="1:12" x14ac:dyDescent="0.3">
      <c r="C11">
        <f>SUM(C4:C10)</f>
        <v>144</v>
      </c>
      <c r="D11" s="7" t="s">
        <v>30</v>
      </c>
      <c r="E11" s="4">
        <f>SUM(E4:E10)</f>
        <v>957403.45400000003</v>
      </c>
      <c r="F11" s="9">
        <f t="shared" ref="F11:L11" si="9">SUM(F4:F10)</f>
        <v>1</v>
      </c>
      <c r="G11" s="4">
        <f t="shared" si="9"/>
        <v>4460341.5090000005</v>
      </c>
      <c r="H11" s="9">
        <f t="shared" si="9"/>
        <v>0.99999999999999989</v>
      </c>
      <c r="I11" s="4">
        <f t="shared" si="9"/>
        <v>-1062345.0129999998</v>
      </c>
      <c r="J11" s="9">
        <f t="shared" si="9"/>
        <v>1.0000000000000004</v>
      </c>
      <c r="K11" s="4">
        <f t="shared" si="9"/>
        <v>-3436385.4330000002</v>
      </c>
      <c r="L11" s="9">
        <f t="shared" si="9"/>
        <v>1</v>
      </c>
    </row>
    <row r="13" spans="1:12" x14ac:dyDescent="0.3">
      <c r="D13" s="7" t="s">
        <v>13</v>
      </c>
    </row>
    <row r="14" spans="1:12" x14ac:dyDescent="0.3">
      <c r="C14" s="1" t="s">
        <v>24</v>
      </c>
      <c r="D14" s="1" t="s">
        <v>5</v>
      </c>
      <c r="E14" s="1" t="s">
        <v>1</v>
      </c>
      <c r="F14" s="5" t="s">
        <v>25</v>
      </c>
      <c r="G14" s="1" t="s">
        <v>2</v>
      </c>
      <c r="H14" s="5" t="s">
        <v>26</v>
      </c>
      <c r="I14" s="1" t="s">
        <v>3</v>
      </c>
      <c r="J14" s="5" t="s">
        <v>27</v>
      </c>
      <c r="K14" s="1" t="s">
        <v>14</v>
      </c>
      <c r="L14" s="5" t="s">
        <v>28</v>
      </c>
    </row>
    <row r="15" spans="1:12" x14ac:dyDescent="0.3">
      <c r="A15" t="s">
        <v>754</v>
      </c>
      <c r="B15">
        <v>1</v>
      </c>
      <c r="C15" t="s">
        <v>23</v>
      </c>
      <c r="D15" t="s">
        <v>754</v>
      </c>
      <c r="E15" s="3">
        <v>391.17899999999997</v>
      </c>
      <c r="F15" s="6">
        <f t="shared" ref="F15:F46" si="10">E15/E$235</f>
        <v>2.765957604171942E-4</v>
      </c>
      <c r="G15" s="3">
        <v>0</v>
      </c>
      <c r="H15" s="6">
        <f t="shared" ref="H15:H46" si="11">G15/G$235</f>
        <v>0</v>
      </c>
      <c r="I15" s="3">
        <v>0</v>
      </c>
      <c r="J15" s="6">
        <f t="shared" ref="J15:J46" si="12">I15/I$235</f>
        <v>0</v>
      </c>
      <c r="K15" s="3">
        <v>391.17899999999997</v>
      </c>
      <c r="L15" s="6">
        <f t="shared" ref="L15:L46" si="13">K15/K$235</f>
        <v>-7.6521929169753544E-5</v>
      </c>
    </row>
    <row r="16" spans="1:12" x14ac:dyDescent="0.3">
      <c r="A16" t="s">
        <v>755</v>
      </c>
      <c r="B16">
        <v>1</v>
      </c>
      <c r="C16" t="s">
        <v>23</v>
      </c>
      <c r="D16" t="s">
        <v>755</v>
      </c>
      <c r="E16" s="3">
        <v>9865.8790000000008</v>
      </c>
      <c r="F16" s="6">
        <f t="shared" si="10"/>
        <v>6.9759887524356561E-3</v>
      </c>
      <c r="G16" s="3">
        <v>22717.277999999998</v>
      </c>
      <c r="H16" s="6">
        <f t="shared" si="11"/>
        <v>3.4523651962008084E-3</v>
      </c>
      <c r="I16" s="3">
        <v>-6262.7290000000003</v>
      </c>
      <c r="J16" s="6">
        <f t="shared" si="12"/>
        <v>3.9582101831172603E-3</v>
      </c>
      <c r="K16" s="3">
        <v>-16530.113000000005</v>
      </c>
      <c r="L16" s="6">
        <f t="shared" si="13"/>
        <v>3.2335992886990935E-3</v>
      </c>
    </row>
    <row r="17" spans="1:12" x14ac:dyDescent="0.3">
      <c r="A17" t="s">
        <v>756</v>
      </c>
      <c r="B17">
        <v>1</v>
      </c>
      <c r="C17" t="s">
        <v>23</v>
      </c>
      <c r="D17" t="s">
        <v>756</v>
      </c>
      <c r="E17" s="3">
        <v>4713.6880000000001</v>
      </c>
      <c r="F17" s="6">
        <f t="shared" si="10"/>
        <v>3.3329655138169567E-3</v>
      </c>
      <c r="G17" s="3">
        <v>29078.434000000001</v>
      </c>
      <c r="H17" s="6">
        <f t="shared" si="11"/>
        <v>4.4190758021987612E-3</v>
      </c>
      <c r="I17" s="3">
        <v>-7309.9319999999998</v>
      </c>
      <c r="J17" s="6">
        <f t="shared" si="12"/>
        <v>4.6200701451866617E-3</v>
      </c>
      <c r="K17" s="3">
        <v>-23149.699999999997</v>
      </c>
      <c r="L17" s="6">
        <f t="shared" si="13"/>
        <v>4.528514321323597E-3</v>
      </c>
    </row>
    <row r="18" spans="1:12" x14ac:dyDescent="0.3">
      <c r="A18" t="s">
        <v>757</v>
      </c>
      <c r="B18">
        <v>1</v>
      </c>
      <c r="C18" t="s">
        <v>291</v>
      </c>
      <c r="D18" t="s">
        <v>757</v>
      </c>
      <c r="E18" s="3">
        <v>7403.344000000001</v>
      </c>
      <c r="F18" s="6">
        <f t="shared" si="10"/>
        <v>5.2347737565413078E-3</v>
      </c>
      <c r="G18" s="3">
        <v>60262.727000000006</v>
      </c>
      <c r="H18" s="6">
        <f t="shared" si="11"/>
        <v>9.1581808931048333E-3</v>
      </c>
      <c r="I18" s="3">
        <v>-14443.038999999999</v>
      </c>
      <c r="J18" s="6">
        <f t="shared" si="12"/>
        <v>9.1283822188313948E-3</v>
      </c>
      <c r="K18" s="3">
        <v>-51230.972000000002</v>
      </c>
      <c r="L18" s="6">
        <f t="shared" si="13"/>
        <v>1.0021736367958473E-2</v>
      </c>
    </row>
    <row r="19" spans="1:12" x14ac:dyDescent="0.3">
      <c r="A19" t="s">
        <v>758</v>
      </c>
      <c r="B19">
        <v>1</v>
      </c>
      <c r="C19" t="s">
        <v>22</v>
      </c>
      <c r="D19" t="s">
        <v>758</v>
      </c>
      <c r="E19" s="3">
        <v>5414.6519999999991</v>
      </c>
      <c r="F19" s="6">
        <f t="shared" si="10"/>
        <v>3.8286047751399772E-3</v>
      </c>
      <c r="G19" s="3">
        <v>41163.746000000006</v>
      </c>
      <c r="H19" s="6">
        <f t="shared" si="11"/>
        <v>6.2556915505304058E-3</v>
      </c>
      <c r="I19" s="3">
        <v>-10855.169</v>
      </c>
      <c r="J19" s="6">
        <f t="shared" si="12"/>
        <v>6.8607535908481428E-3</v>
      </c>
      <c r="K19" s="3">
        <v>-37569.912000000011</v>
      </c>
      <c r="L19" s="6">
        <f t="shared" si="13"/>
        <v>7.3493775099836003E-3</v>
      </c>
    </row>
    <row r="20" spans="1:12" x14ac:dyDescent="0.3">
      <c r="A20" t="s">
        <v>1032</v>
      </c>
      <c r="B20">
        <v>1</v>
      </c>
      <c r="C20" t="s">
        <v>21</v>
      </c>
      <c r="D20" t="s">
        <v>1032</v>
      </c>
      <c r="E20" s="3">
        <v>-11.032999999999999</v>
      </c>
      <c r="F20" s="6">
        <f t="shared" si="10"/>
        <v>-7.8012393934308925E-6</v>
      </c>
      <c r="G20" s="3">
        <v>0</v>
      </c>
      <c r="H20" s="6">
        <f t="shared" si="11"/>
        <v>0</v>
      </c>
      <c r="I20" s="3">
        <v>0</v>
      </c>
      <c r="J20" s="6">
        <f t="shared" si="12"/>
        <v>0</v>
      </c>
      <c r="K20" s="3">
        <v>-11.032999999999999</v>
      </c>
      <c r="L20" s="6">
        <f t="shared" si="13"/>
        <v>2.1582611656809054E-6</v>
      </c>
    </row>
    <row r="21" spans="1:12" x14ac:dyDescent="0.3">
      <c r="A21" t="s">
        <v>759</v>
      </c>
      <c r="B21">
        <v>1</v>
      </c>
      <c r="C21" t="s">
        <v>291</v>
      </c>
      <c r="D21" t="s">
        <v>759</v>
      </c>
      <c r="E21" s="3">
        <v>25121.690999999999</v>
      </c>
      <c r="F21" s="6">
        <f t="shared" si="10"/>
        <v>1.7763103911791745E-2</v>
      </c>
      <c r="G21" s="3">
        <v>6022.5019999999995</v>
      </c>
      <c r="H21" s="6">
        <f t="shared" si="11"/>
        <v>9.1524505263569699E-4</v>
      </c>
      <c r="I21" s="3">
        <v>-2326.2280000000001</v>
      </c>
      <c r="J21" s="6">
        <f t="shared" si="12"/>
        <v>1.4702375526471762E-3</v>
      </c>
      <c r="K21" s="3">
        <v>11815.102000000003</v>
      </c>
      <c r="L21" s="6">
        <f t="shared" si="13"/>
        <v>-2.3112549456320857E-3</v>
      </c>
    </row>
    <row r="22" spans="1:12" x14ac:dyDescent="0.3">
      <c r="A22" t="s">
        <v>760</v>
      </c>
      <c r="B22">
        <v>1</v>
      </c>
      <c r="C22" t="s">
        <v>18</v>
      </c>
      <c r="D22" t="s">
        <v>760</v>
      </c>
      <c r="E22" s="3">
        <v>6722.8540000000003</v>
      </c>
      <c r="F22" s="6">
        <f t="shared" si="10"/>
        <v>4.7536112989290729E-3</v>
      </c>
      <c r="G22" s="3">
        <v>5543.3280000000004</v>
      </c>
      <c r="H22" s="6">
        <f t="shared" si="11"/>
        <v>8.4242454832508709E-4</v>
      </c>
      <c r="I22" s="3">
        <v>-1473.34</v>
      </c>
      <c r="J22" s="6">
        <f t="shared" si="12"/>
        <v>9.3118980418823534E-4</v>
      </c>
      <c r="K22" s="3">
        <v>765.2210000000016</v>
      </c>
      <c r="L22" s="6">
        <f t="shared" si="13"/>
        <v>-1.4969154060214915E-4</v>
      </c>
    </row>
    <row r="23" spans="1:12" x14ac:dyDescent="0.3">
      <c r="A23" t="s">
        <v>761</v>
      </c>
      <c r="B23">
        <v>1</v>
      </c>
      <c r="C23" t="s">
        <v>17</v>
      </c>
      <c r="D23" t="s">
        <v>761</v>
      </c>
      <c r="E23" s="3">
        <v>7256.2009999999991</v>
      </c>
      <c r="F23" s="6">
        <f t="shared" si="10"/>
        <v>5.130731540637418E-3</v>
      </c>
      <c r="G23" s="3">
        <v>49343.272000000012</v>
      </c>
      <c r="H23" s="6">
        <f t="shared" si="11"/>
        <v>7.4987414830011727E-3</v>
      </c>
      <c r="I23" s="3">
        <v>-12020.995000000001</v>
      </c>
      <c r="J23" s="6">
        <f t="shared" si="12"/>
        <v>7.597586422820094E-3</v>
      </c>
      <c r="K23" s="3">
        <v>-36968.137999999984</v>
      </c>
      <c r="L23" s="6">
        <f t="shared" si="13"/>
        <v>7.2316592597600421E-3</v>
      </c>
    </row>
    <row r="24" spans="1:12" x14ac:dyDescent="0.3">
      <c r="A24" t="s">
        <v>762</v>
      </c>
      <c r="B24">
        <v>1</v>
      </c>
      <c r="C24" t="s">
        <v>291</v>
      </c>
      <c r="D24" t="s">
        <v>762</v>
      </c>
      <c r="E24" s="3">
        <v>1807.0839999999998</v>
      </c>
      <c r="F24" s="6">
        <f t="shared" si="10"/>
        <v>1.2777571728486061E-3</v>
      </c>
      <c r="G24" s="3">
        <v>-181.214</v>
      </c>
      <c r="H24" s="6">
        <f t="shared" si="11"/>
        <v>-2.7539254776225096E-5</v>
      </c>
      <c r="I24" s="3">
        <v>0</v>
      </c>
      <c r="J24" s="6">
        <f t="shared" si="12"/>
        <v>0</v>
      </c>
      <c r="K24" s="3">
        <v>1625.87</v>
      </c>
      <c r="L24" s="6">
        <f t="shared" si="13"/>
        <v>-3.180505829280897E-4</v>
      </c>
    </row>
    <row r="25" spans="1:12" x14ac:dyDescent="0.3">
      <c r="A25" t="s">
        <v>763</v>
      </c>
      <c r="B25">
        <v>1</v>
      </c>
      <c r="C25" t="s">
        <v>17</v>
      </c>
      <c r="D25" t="s">
        <v>763</v>
      </c>
      <c r="E25" s="3">
        <v>2174.2639999999997</v>
      </c>
      <c r="F25" s="6">
        <f t="shared" si="10"/>
        <v>1.5373836643268943E-3</v>
      </c>
      <c r="G25" s="3">
        <v>7697.8409999999994</v>
      </c>
      <c r="H25" s="6">
        <f t="shared" si="11"/>
        <v>1.1698478292288198E-3</v>
      </c>
      <c r="I25" s="3">
        <v>0</v>
      </c>
      <c r="J25" s="6">
        <f t="shared" si="12"/>
        <v>0</v>
      </c>
      <c r="K25" s="3">
        <v>9872.1049999999996</v>
      </c>
      <c r="L25" s="6">
        <f t="shared" si="13"/>
        <v>-1.9311683898327104E-3</v>
      </c>
    </row>
    <row r="26" spans="1:12" x14ac:dyDescent="0.3">
      <c r="A26" t="s">
        <v>1033</v>
      </c>
      <c r="B26">
        <v>1</v>
      </c>
      <c r="C26" t="s">
        <v>21</v>
      </c>
      <c r="D26" t="s">
        <v>1033</v>
      </c>
      <c r="E26" s="3">
        <v>16.62</v>
      </c>
      <c r="F26" s="6">
        <f t="shared" si="10"/>
        <v>1.1751708394708734E-5</v>
      </c>
      <c r="G26" s="3">
        <v>-32.067999999999998</v>
      </c>
      <c r="H26" s="6">
        <f t="shared" si="11"/>
        <v>-4.8734028395377088E-6</v>
      </c>
      <c r="I26" s="3">
        <v>0</v>
      </c>
      <c r="J26" s="6">
        <f t="shared" si="12"/>
        <v>0</v>
      </c>
      <c r="K26" s="3">
        <v>-15.447999999999997</v>
      </c>
      <c r="L26" s="6">
        <f t="shared" si="13"/>
        <v>3.0219177456211929E-6</v>
      </c>
    </row>
    <row r="27" spans="1:12" x14ac:dyDescent="0.3">
      <c r="A27" t="s">
        <v>764</v>
      </c>
      <c r="B27">
        <v>1</v>
      </c>
      <c r="C27" t="s">
        <v>23</v>
      </c>
      <c r="D27" t="s">
        <v>764</v>
      </c>
      <c r="E27" s="3">
        <v>310.18799999999999</v>
      </c>
      <c r="F27" s="6">
        <f t="shared" si="10"/>
        <v>2.19328455086517E-4</v>
      </c>
      <c r="G27" s="3">
        <v>18339.909999999996</v>
      </c>
      <c r="H27" s="6">
        <f t="shared" si="11"/>
        <v>2.7871326391064617E-3</v>
      </c>
      <c r="I27" s="3">
        <v>-5058.8270000000002</v>
      </c>
      <c r="J27" s="6">
        <f t="shared" si="12"/>
        <v>3.1973123132149799E-3</v>
      </c>
      <c r="K27" s="3">
        <v>-21472.504000000001</v>
      </c>
      <c r="L27" s="6">
        <f t="shared" si="13"/>
        <v>4.2004234127733077E-3</v>
      </c>
    </row>
    <row r="28" spans="1:12" x14ac:dyDescent="0.3">
      <c r="A28" t="s">
        <v>765</v>
      </c>
      <c r="B28">
        <v>1</v>
      </c>
      <c r="C28" t="s">
        <v>18</v>
      </c>
      <c r="D28" t="s">
        <v>765</v>
      </c>
      <c r="E28" s="3">
        <v>4065.6880000000001</v>
      </c>
      <c r="F28" s="6">
        <f t="shared" si="10"/>
        <v>2.8747761612434755E-3</v>
      </c>
      <c r="G28" s="3">
        <v>24877.791000000005</v>
      </c>
      <c r="H28" s="6">
        <f t="shared" si="11"/>
        <v>3.7807003025079732E-3</v>
      </c>
      <c r="I28" s="3">
        <v>0</v>
      </c>
      <c r="J28" s="6">
        <f t="shared" si="12"/>
        <v>0</v>
      </c>
      <c r="K28" s="3">
        <v>-15320.970999999998</v>
      </c>
      <c r="L28" s="6">
        <f t="shared" si="13"/>
        <v>2.9970684972195545E-3</v>
      </c>
    </row>
    <row r="29" spans="1:12" x14ac:dyDescent="0.3">
      <c r="A29" t="s">
        <v>766</v>
      </c>
      <c r="B29">
        <v>1</v>
      </c>
      <c r="C29" t="s">
        <v>18</v>
      </c>
      <c r="D29" t="s">
        <v>766</v>
      </c>
      <c r="E29" s="3">
        <v>5359.375</v>
      </c>
      <c r="F29" s="6">
        <f t="shared" si="10"/>
        <v>3.7895193849513909E-3</v>
      </c>
      <c r="G29" s="3">
        <v>22589.678</v>
      </c>
      <c r="H29" s="6">
        <f t="shared" si="11"/>
        <v>3.4329737092878422E-3</v>
      </c>
      <c r="I29" s="3">
        <v>-5408.1540000000005</v>
      </c>
      <c r="J29" s="6">
        <f t="shared" si="12"/>
        <v>3.4180962060894448E-3</v>
      </c>
      <c r="K29" s="3">
        <v>-17234.061000000002</v>
      </c>
      <c r="L29" s="6">
        <f t="shared" si="13"/>
        <v>3.3713046844263423E-3</v>
      </c>
    </row>
    <row r="30" spans="1:12" x14ac:dyDescent="0.3">
      <c r="A30" t="s">
        <v>767</v>
      </c>
      <c r="B30">
        <v>1</v>
      </c>
      <c r="C30" t="s">
        <v>22</v>
      </c>
      <c r="D30" t="s">
        <v>767</v>
      </c>
      <c r="E30" s="3">
        <v>8264.5929999999989</v>
      </c>
      <c r="F30" s="6">
        <f t="shared" si="10"/>
        <v>5.8437477098045136E-3</v>
      </c>
      <c r="G30" s="3">
        <v>17173.338</v>
      </c>
      <c r="H30" s="6">
        <f t="shared" si="11"/>
        <v>2.6098476416845716E-3</v>
      </c>
      <c r="I30" s="3">
        <v>-4288.1689999999999</v>
      </c>
      <c r="J30" s="6">
        <f t="shared" si="12"/>
        <v>2.7102360971914571E-3</v>
      </c>
      <c r="K30" s="3">
        <v>-7565.0640000000039</v>
      </c>
      <c r="L30" s="6">
        <f t="shared" si="13"/>
        <v>1.4798680184075648E-3</v>
      </c>
    </row>
    <row r="31" spans="1:12" x14ac:dyDescent="0.3">
      <c r="A31" t="s">
        <v>768</v>
      </c>
      <c r="B31">
        <v>1</v>
      </c>
      <c r="C31" t="s">
        <v>19</v>
      </c>
      <c r="D31" t="s">
        <v>768</v>
      </c>
      <c r="E31" s="3">
        <v>3561.3290000000002</v>
      </c>
      <c r="F31" s="6">
        <f t="shared" si="10"/>
        <v>2.5181528222394502E-3</v>
      </c>
      <c r="G31" s="3">
        <v>16467.36</v>
      </c>
      <c r="H31" s="6">
        <f t="shared" si="11"/>
        <v>2.5025595292406666E-3</v>
      </c>
      <c r="I31" s="3">
        <v>-4072.4160000000002</v>
      </c>
      <c r="J31" s="6">
        <f t="shared" si="12"/>
        <v>2.5738745012102008E-3</v>
      </c>
      <c r="K31" s="3">
        <v>-12467.007999999998</v>
      </c>
      <c r="L31" s="6">
        <f t="shared" si="13"/>
        <v>2.4387799527447809E-3</v>
      </c>
    </row>
    <row r="32" spans="1:12" x14ac:dyDescent="0.3">
      <c r="A32" t="s">
        <v>769</v>
      </c>
      <c r="B32">
        <v>1</v>
      </c>
      <c r="C32" t="s">
        <v>19</v>
      </c>
      <c r="D32" t="s">
        <v>769</v>
      </c>
      <c r="E32" s="3">
        <v>7330.5019999999986</v>
      </c>
      <c r="F32" s="6">
        <f t="shared" si="10"/>
        <v>5.1832684651521741E-3</v>
      </c>
      <c r="G32" s="3">
        <v>38567.289000000012</v>
      </c>
      <c r="H32" s="6">
        <f t="shared" si="11"/>
        <v>5.8611056419443528E-3</v>
      </c>
      <c r="I32" s="3">
        <v>-9945.5939999999991</v>
      </c>
      <c r="J32" s="6">
        <f t="shared" si="12"/>
        <v>6.2858781607746262E-3</v>
      </c>
      <c r="K32" s="3">
        <v>-33502.481</v>
      </c>
      <c r="L32" s="6">
        <f t="shared" si="13"/>
        <v>6.5537119275140381E-3</v>
      </c>
    </row>
    <row r="33" spans="1:12" x14ac:dyDescent="0.3">
      <c r="A33" t="s">
        <v>770</v>
      </c>
      <c r="B33">
        <v>1</v>
      </c>
      <c r="C33" t="s">
        <v>22</v>
      </c>
      <c r="D33" t="s">
        <v>770</v>
      </c>
      <c r="E33" s="3">
        <v>6102.9489999999996</v>
      </c>
      <c r="F33" s="6">
        <f t="shared" si="10"/>
        <v>4.3152874245354546E-3</v>
      </c>
      <c r="G33" s="3">
        <v>23941.995999999999</v>
      </c>
      <c r="H33" s="6">
        <f t="shared" si="11"/>
        <v>3.6384866936073489E-3</v>
      </c>
      <c r="I33" s="3">
        <v>-5997.8320000000003</v>
      </c>
      <c r="J33" s="6">
        <f t="shared" si="12"/>
        <v>3.790788280800041E-3</v>
      </c>
      <c r="K33" s="3">
        <v>-18409.788000000008</v>
      </c>
      <c r="L33" s="6">
        <f t="shared" si="13"/>
        <v>3.6012988768982473E-3</v>
      </c>
    </row>
    <row r="34" spans="1:12" x14ac:dyDescent="0.3">
      <c r="A34" t="s">
        <v>771</v>
      </c>
      <c r="B34">
        <v>1</v>
      </c>
      <c r="C34" t="s">
        <v>292</v>
      </c>
      <c r="D34" t="s">
        <v>771</v>
      </c>
      <c r="E34" s="3">
        <v>6610.1810000000005</v>
      </c>
      <c r="F34" s="6">
        <f t="shared" si="10"/>
        <v>4.6739422110856901E-3</v>
      </c>
      <c r="G34" s="3">
        <v>24201.918999999998</v>
      </c>
      <c r="H34" s="6">
        <f t="shared" si="11"/>
        <v>3.677987425996683E-3</v>
      </c>
      <c r="I34" s="3">
        <v>-6002.8099999999995</v>
      </c>
      <c r="J34" s="6">
        <f t="shared" si="12"/>
        <v>3.7939345083138859E-3</v>
      </c>
      <c r="K34" s="3">
        <v>-17828.094000000005</v>
      </c>
      <c r="L34" s="6">
        <f t="shared" si="13"/>
        <v>3.4875086502591103E-3</v>
      </c>
    </row>
    <row r="35" spans="1:12" x14ac:dyDescent="0.3">
      <c r="A35" t="s">
        <v>1034</v>
      </c>
      <c r="B35">
        <v>1</v>
      </c>
      <c r="C35" t="s">
        <v>21</v>
      </c>
      <c r="D35" t="s">
        <v>1034</v>
      </c>
      <c r="E35" s="3">
        <v>784.00599999999997</v>
      </c>
      <c r="F35" s="6">
        <f t="shared" si="10"/>
        <v>5.5435679252118018E-4</v>
      </c>
      <c r="G35" s="3">
        <v>815.36100000000022</v>
      </c>
      <c r="H35" s="6">
        <f t="shared" si="11"/>
        <v>1.2391114546115464E-4</v>
      </c>
      <c r="I35" s="3">
        <v>-341.41</v>
      </c>
      <c r="J35" s="6">
        <f t="shared" si="12"/>
        <v>2.1578013971514074E-4</v>
      </c>
      <c r="K35" s="3">
        <v>-1508.7129999999995</v>
      </c>
      <c r="L35" s="6">
        <f t="shared" si="13"/>
        <v>2.9513248237631964E-4</v>
      </c>
    </row>
    <row r="36" spans="1:12" x14ac:dyDescent="0.3">
      <c r="A36" t="s">
        <v>772</v>
      </c>
      <c r="B36">
        <v>1</v>
      </c>
      <c r="C36" t="s">
        <v>18</v>
      </c>
      <c r="D36" t="s">
        <v>772</v>
      </c>
      <c r="E36" s="3">
        <v>11196.559000000001</v>
      </c>
      <c r="F36" s="6">
        <f t="shared" si="10"/>
        <v>7.9168890729333103E-3</v>
      </c>
      <c r="G36" s="3">
        <v>63765.98599999999</v>
      </c>
      <c r="H36" s="6">
        <f t="shared" si="11"/>
        <v>9.6905743182712292E-3</v>
      </c>
      <c r="I36" s="3">
        <v>-15267.428</v>
      </c>
      <c r="J36" s="6">
        <f t="shared" si="12"/>
        <v>9.6494178463748907E-3</v>
      </c>
      <c r="K36" s="3">
        <v>-44573.699000000037</v>
      </c>
      <c r="L36" s="6">
        <f t="shared" si="13"/>
        <v>8.7194492488398348E-3</v>
      </c>
    </row>
    <row r="37" spans="1:12" x14ac:dyDescent="0.3">
      <c r="A37" t="s">
        <v>773</v>
      </c>
      <c r="B37">
        <v>1</v>
      </c>
      <c r="C37" t="s">
        <v>19</v>
      </c>
      <c r="D37" t="s">
        <v>773</v>
      </c>
      <c r="E37" s="3">
        <v>4028.579999999999</v>
      </c>
      <c r="F37" s="6">
        <f t="shared" si="10"/>
        <v>2.8485377499853008E-3</v>
      </c>
      <c r="G37" s="3">
        <v>19262.202999999998</v>
      </c>
      <c r="H37" s="6">
        <f t="shared" si="11"/>
        <v>2.9272943369075643E-3</v>
      </c>
      <c r="I37" s="3">
        <v>-4809.8710000000001</v>
      </c>
      <c r="J37" s="6">
        <f t="shared" si="12"/>
        <v>3.0399655440432431E-3</v>
      </c>
      <c r="K37" s="3">
        <v>-15197.118999999999</v>
      </c>
      <c r="L37" s="6">
        <f t="shared" si="13"/>
        <v>2.9728407294418047E-3</v>
      </c>
    </row>
    <row r="38" spans="1:12" x14ac:dyDescent="0.3">
      <c r="A38" t="s">
        <v>774</v>
      </c>
      <c r="B38">
        <v>1</v>
      </c>
      <c r="C38" t="s">
        <v>23</v>
      </c>
      <c r="D38" t="s">
        <v>774</v>
      </c>
      <c r="E38" s="3">
        <v>11531.063</v>
      </c>
      <c r="F38" s="6">
        <f t="shared" si="10"/>
        <v>8.1534109420586809E-3</v>
      </c>
      <c r="G38" s="3">
        <v>32236.413999999997</v>
      </c>
      <c r="H38" s="6">
        <f t="shared" si="11"/>
        <v>4.8989968667866139E-3</v>
      </c>
      <c r="I38" s="3">
        <v>-8934.4990000000016</v>
      </c>
      <c r="J38" s="6">
        <f t="shared" si="12"/>
        <v>5.6468394086429379E-3</v>
      </c>
      <c r="K38" s="3">
        <v>-25271.416000000012</v>
      </c>
      <c r="L38" s="6">
        <f t="shared" si="13"/>
        <v>4.9435616563552175E-3</v>
      </c>
    </row>
    <row r="39" spans="1:12" x14ac:dyDescent="0.3">
      <c r="A39" t="s">
        <v>775</v>
      </c>
      <c r="B39">
        <v>1</v>
      </c>
      <c r="C39" t="s">
        <v>20</v>
      </c>
      <c r="D39" t="s">
        <v>775</v>
      </c>
      <c r="E39" s="3">
        <v>11074.405000000001</v>
      </c>
      <c r="F39" s="6">
        <f t="shared" si="10"/>
        <v>7.8305161374792043E-3</v>
      </c>
      <c r="G39" s="3">
        <v>69758.570999999996</v>
      </c>
      <c r="H39" s="6">
        <f t="shared" si="11"/>
        <v>1.0601272857474519E-2</v>
      </c>
      <c r="I39" s="3">
        <v>-15914.072</v>
      </c>
      <c r="J39" s="6">
        <f t="shared" si="12"/>
        <v>1.0058113938070969E-2</v>
      </c>
      <c r="K39" s="3">
        <v>-42727.476999999999</v>
      </c>
      <c r="L39" s="6">
        <f t="shared" si="13"/>
        <v>8.3582936931590746E-3</v>
      </c>
    </row>
    <row r="40" spans="1:12" x14ac:dyDescent="0.3">
      <c r="A40" t="s">
        <v>776</v>
      </c>
      <c r="B40">
        <v>1</v>
      </c>
      <c r="C40" t="s">
        <v>18</v>
      </c>
      <c r="D40" t="s">
        <v>776</v>
      </c>
      <c r="E40" s="3">
        <v>4805.208999999998</v>
      </c>
      <c r="F40" s="6">
        <f t="shared" si="10"/>
        <v>3.3976783961269514E-3</v>
      </c>
      <c r="G40" s="3">
        <v>28294.647999999997</v>
      </c>
      <c r="H40" s="6">
        <f t="shared" si="11"/>
        <v>4.299963137923162E-3</v>
      </c>
      <c r="I40" s="3">
        <v>-5823.7079999999996</v>
      </c>
      <c r="J40" s="6">
        <f t="shared" si="12"/>
        <v>3.6807373126158658E-3</v>
      </c>
      <c r="K40" s="3">
        <v>-15765.053000000007</v>
      </c>
      <c r="L40" s="6">
        <f t="shared" si="13"/>
        <v>3.0839392427083542E-3</v>
      </c>
    </row>
    <row r="41" spans="1:12" x14ac:dyDescent="0.3">
      <c r="A41" t="s">
        <v>777</v>
      </c>
      <c r="B41">
        <v>1</v>
      </c>
      <c r="C41" t="s">
        <v>21</v>
      </c>
      <c r="D41" t="s">
        <v>777</v>
      </c>
      <c r="E41" s="3">
        <v>5421.8010000000004</v>
      </c>
      <c r="F41" s="6">
        <f t="shared" si="10"/>
        <v>3.8336597067473049E-3</v>
      </c>
      <c r="G41" s="3">
        <v>65230.390999999996</v>
      </c>
      <c r="H41" s="6">
        <f t="shared" si="11"/>
        <v>9.9131212649231325E-3</v>
      </c>
      <c r="I41" s="3">
        <v>-13752.275</v>
      </c>
      <c r="J41" s="6">
        <f t="shared" si="12"/>
        <v>8.6918011215284755E-3</v>
      </c>
      <c r="K41" s="3">
        <v>-40901.817000000017</v>
      </c>
      <c r="L41" s="6">
        <f t="shared" si="13"/>
        <v>8.0011604492782658E-3</v>
      </c>
    </row>
    <row r="42" spans="1:12" x14ac:dyDescent="0.3">
      <c r="A42" t="s">
        <v>778</v>
      </c>
      <c r="B42">
        <v>1</v>
      </c>
      <c r="C42" t="s">
        <v>21</v>
      </c>
      <c r="D42" t="s">
        <v>778</v>
      </c>
      <c r="E42" s="3">
        <v>4141.9080000000004</v>
      </c>
      <c r="F42" s="6">
        <f t="shared" si="10"/>
        <v>2.9286699767575972E-3</v>
      </c>
      <c r="G42" s="3">
        <v>18863.316000000003</v>
      </c>
      <c r="H42" s="6">
        <f t="shared" si="11"/>
        <v>2.8666751202911659E-3</v>
      </c>
      <c r="I42" s="3">
        <v>-4099.0259999999998</v>
      </c>
      <c r="J42" s="6">
        <f t="shared" si="12"/>
        <v>2.5906927242201295E-3</v>
      </c>
      <c r="K42" s="3">
        <v>-11794.329999999996</v>
      </c>
      <c r="L42" s="6">
        <f t="shared" si="13"/>
        <v>2.3071915539042208E-3</v>
      </c>
    </row>
    <row r="43" spans="1:12" x14ac:dyDescent="0.3">
      <c r="A43" t="s">
        <v>779</v>
      </c>
      <c r="B43">
        <v>1</v>
      </c>
      <c r="C43" t="s">
        <v>21</v>
      </c>
      <c r="D43" t="s">
        <v>779</v>
      </c>
      <c r="E43" s="3">
        <v>4392.3190000000004</v>
      </c>
      <c r="F43" s="6">
        <f t="shared" si="10"/>
        <v>3.1057311711515448E-3</v>
      </c>
      <c r="G43" s="3">
        <v>33010.968999999997</v>
      </c>
      <c r="H43" s="6">
        <f t="shared" si="11"/>
        <v>5.0167066876790345E-3</v>
      </c>
      <c r="I43" s="3">
        <v>-7167.5039999999999</v>
      </c>
      <c r="J43" s="6">
        <f t="shared" si="12"/>
        <v>4.5300518863795143E-3</v>
      </c>
      <c r="K43" s="3">
        <v>-21881.146999999997</v>
      </c>
      <c r="L43" s="6">
        <f t="shared" si="13"/>
        <v>4.2803616269967591E-3</v>
      </c>
    </row>
    <row r="44" spans="1:12" x14ac:dyDescent="0.3">
      <c r="A44" t="s">
        <v>780</v>
      </c>
      <c r="B44">
        <v>1</v>
      </c>
      <c r="C44" t="s">
        <v>21</v>
      </c>
      <c r="D44" t="s">
        <v>780</v>
      </c>
      <c r="E44" s="3">
        <v>5875.3009999999995</v>
      </c>
      <c r="F44" s="6">
        <f t="shared" si="10"/>
        <v>4.1543215453153197E-3</v>
      </c>
      <c r="G44" s="3">
        <v>35349.548999999992</v>
      </c>
      <c r="H44" s="6">
        <f t="shared" si="11"/>
        <v>5.3721027963383235E-3</v>
      </c>
      <c r="I44" s="3">
        <v>-9296.3850000000002</v>
      </c>
      <c r="J44" s="6">
        <f t="shared" si="12"/>
        <v>5.8755609213137832E-3</v>
      </c>
      <c r="K44" s="3">
        <v>-32236.259000000005</v>
      </c>
      <c r="L44" s="6">
        <f t="shared" si="13"/>
        <v>6.306015220387165E-3</v>
      </c>
    </row>
    <row r="45" spans="1:12" x14ac:dyDescent="0.3">
      <c r="A45" t="s">
        <v>781</v>
      </c>
      <c r="B45">
        <v>1</v>
      </c>
      <c r="C45" t="s">
        <v>18</v>
      </c>
      <c r="D45" t="s">
        <v>781</v>
      </c>
      <c r="E45" s="3">
        <v>15884.699000000004</v>
      </c>
      <c r="F45" s="6">
        <f t="shared" si="10"/>
        <v>1.1231790047275659E-2</v>
      </c>
      <c r="G45" s="3">
        <v>84387.512999999992</v>
      </c>
      <c r="H45" s="6">
        <f t="shared" si="11"/>
        <v>1.2824446347627708E-2</v>
      </c>
      <c r="I45" s="3">
        <v>-22235.496999999999</v>
      </c>
      <c r="J45" s="6">
        <f t="shared" si="12"/>
        <v>1.4053421543878598E-2</v>
      </c>
      <c r="K45" s="3">
        <v>-69209.456000000006</v>
      </c>
      <c r="L45" s="6">
        <f t="shared" si="13"/>
        <v>1.3538664115172785E-2</v>
      </c>
    </row>
    <row r="46" spans="1:12" x14ac:dyDescent="0.3">
      <c r="A46" t="s">
        <v>782</v>
      </c>
      <c r="B46">
        <v>1</v>
      </c>
      <c r="C46" t="s">
        <v>17</v>
      </c>
      <c r="D46" t="s">
        <v>782</v>
      </c>
      <c r="E46" s="3">
        <v>7374.8129999999974</v>
      </c>
      <c r="F46" s="6">
        <f t="shared" si="10"/>
        <v>5.2145999904637226E-3</v>
      </c>
      <c r="G46" s="3">
        <v>43333.13</v>
      </c>
      <c r="H46" s="6">
        <f t="shared" si="11"/>
        <v>6.585374790696541E-3</v>
      </c>
      <c r="I46" s="3">
        <v>-10940.144</v>
      </c>
      <c r="J46" s="6">
        <f t="shared" si="12"/>
        <v>6.9144600358037513E-3</v>
      </c>
      <c r="K46" s="3">
        <v>-34696.870000000003</v>
      </c>
      <c r="L46" s="6">
        <f t="shared" si="13"/>
        <v>6.7873567562475156E-3</v>
      </c>
    </row>
    <row r="47" spans="1:12" x14ac:dyDescent="0.3">
      <c r="A47" t="s">
        <v>783</v>
      </c>
      <c r="B47">
        <v>1</v>
      </c>
      <c r="C47" t="s">
        <v>21</v>
      </c>
      <c r="D47" t="s">
        <v>783</v>
      </c>
      <c r="E47" s="3">
        <v>5204.9710000000005</v>
      </c>
      <c r="F47" s="6">
        <f t="shared" ref="F47:F78" si="14">E47/E$235</f>
        <v>3.6803430442187432E-3</v>
      </c>
      <c r="G47" s="3">
        <v>12712.480000000001</v>
      </c>
      <c r="H47" s="6">
        <f t="shared" ref="H47:H78" si="15">G47/G$235</f>
        <v>1.9319270341014827E-3</v>
      </c>
      <c r="I47" s="3">
        <v>-3340.0819999999999</v>
      </c>
      <c r="J47" s="6">
        <f t="shared" ref="J47:J78" si="16">I47/I$235</f>
        <v>2.111020065668922E-3</v>
      </c>
      <c r="K47" s="3">
        <v>-7826.7119999999977</v>
      </c>
      <c r="L47" s="6">
        <f t="shared" ref="L47:L78" si="17">K47/K$235</f>
        <v>1.5310512611772615E-3</v>
      </c>
    </row>
    <row r="48" spans="1:12" x14ac:dyDescent="0.3">
      <c r="A48" t="s">
        <v>784</v>
      </c>
      <c r="B48">
        <v>1</v>
      </c>
      <c r="C48" t="s">
        <v>19</v>
      </c>
      <c r="D48" t="s">
        <v>784</v>
      </c>
      <c r="E48" s="3">
        <v>5416.732</v>
      </c>
      <c r="F48" s="6">
        <f t="shared" si="14"/>
        <v>3.830075506395152E-3</v>
      </c>
      <c r="G48" s="3">
        <v>18104.009000000002</v>
      </c>
      <c r="H48" s="6">
        <f t="shared" si="15"/>
        <v>2.7512825516906652E-3</v>
      </c>
      <c r="I48" s="3">
        <v>-5010.4080000000004</v>
      </c>
      <c r="J48" s="6">
        <f t="shared" si="16"/>
        <v>3.1667102260328019E-3</v>
      </c>
      <c r="K48" s="3">
        <v>-17501.990999999998</v>
      </c>
      <c r="L48" s="6">
        <f t="shared" si="17"/>
        <v>3.4237168038971006E-3</v>
      </c>
    </row>
    <row r="49" spans="1:12" x14ac:dyDescent="0.3">
      <c r="A49" t="s">
        <v>785</v>
      </c>
      <c r="B49">
        <v>1</v>
      </c>
      <c r="C49" t="s">
        <v>21</v>
      </c>
      <c r="D49" t="s">
        <v>785</v>
      </c>
      <c r="E49" s="3">
        <v>9732.2109999999993</v>
      </c>
      <c r="F49" s="6">
        <f t="shared" si="14"/>
        <v>6.8814744709853586E-3</v>
      </c>
      <c r="G49" s="3">
        <v>36033.336999999992</v>
      </c>
      <c r="H49" s="6">
        <f t="shared" si="15"/>
        <v>5.4760186744985395E-3</v>
      </c>
      <c r="I49" s="3">
        <v>-9367.8880000000008</v>
      </c>
      <c r="J49" s="6">
        <f t="shared" si="16"/>
        <v>5.9207527063524518E-3</v>
      </c>
      <c r="K49" s="3">
        <v>-29517.658999999992</v>
      </c>
      <c r="L49" s="6">
        <f t="shared" si="17"/>
        <v>5.7742062105965242E-3</v>
      </c>
    </row>
    <row r="50" spans="1:12" x14ac:dyDescent="0.3">
      <c r="A50" t="s">
        <v>786</v>
      </c>
      <c r="B50">
        <v>1</v>
      </c>
      <c r="C50" t="s">
        <v>23</v>
      </c>
      <c r="D50" t="s">
        <v>786</v>
      </c>
      <c r="E50" s="3">
        <v>7890.009</v>
      </c>
      <c r="F50" s="6">
        <f t="shared" si="14"/>
        <v>5.5788859807236737E-3</v>
      </c>
      <c r="G50" s="3">
        <v>20686.388000000003</v>
      </c>
      <c r="H50" s="6">
        <f t="shared" si="15"/>
        <v>3.1437290139384685E-3</v>
      </c>
      <c r="I50" s="3">
        <v>-6021.9189999999999</v>
      </c>
      <c r="J50" s="6">
        <f t="shared" si="16"/>
        <v>3.8060119011548007E-3</v>
      </c>
      <c r="K50" s="3">
        <v>-19042.614999999991</v>
      </c>
      <c r="L50" s="6">
        <f t="shared" si="17"/>
        <v>3.7250916747496306E-3</v>
      </c>
    </row>
    <row r="51" spans="1:12" x14ac:dyDescent="0.3">
      <c r="A51" t="s">
        <v>787</v>
      </c>
      <c r="B51">
        <v>1</v>
      </c>
      <c r="C51" t="s">
        <v>18</v>
      </c>
      <c r="D51" t="s">
        <v>787</v>
      </c>
      <c r="E51" s="3">
        <v>3676.2780000000002</v>
      </c>
      <c r="F51" s="6">
        <f t="shared" si="14"/>
        <v>2.5994312294755134E-3</v>
      </c>
      <c r="G51" s="3">
        <v>25348.269</v>
      </c>
      <c r="H51" s="6">
        <f t="shared" si="15"/>
        <v>3.8521992678672099E-3</v>
      </c>
      <c r="I51" s="3">
        <v>-5847.8620000000001</v>
      </c>
      <c r="J51" s="6">
        <f t="shared" si="16"/>
        <v>3.6960032787407E-3</v>
      </c>
      <c r="K51" s="3">
        <v>-16942.881000000001</v>
      </c>
      <c r="L51" s="6">
        <f t="shared" si="17"/>
        <v>3.3143444300782077E-3</v>
      </c>
    </row>
    <row r="52" spans="1:12" x14ac:dyDescent="0.3">
      <c r="A52" t="s">
        <v>788</v>
      </c>
      <c r="B52">
        <v>1</v>
      </c>
      <c r="C52" t="s">
        <v>19</v>
      </c>
      <c r="D52" t="s">
        <v>788</v>
      </c>
      <c r="E52" s="3">
        <v>5319.128999999999</v>
      </c>
      <c r="F52" s="6">
        <f t="shared" si="14"/>
        <v>3.7610621493284388E-3</v>
      </c>
      <c r="G52" s="3">
        <v>34707.770000000004</v>
      </c>
      <c r="H52" s="6">
        <f t="shared" si="15"/>
        <v>5.2745710637402314E-3</v>
      </c>
      <c r="I52" s="3">
        <v>-7295.0379999999996</v>
      </c>
      <c r="J52" s="6">
        <f t="shared" si="16"/>
        <v>4.610656743701886E-3</v>
      </c>
      <c r="K52" s="3">
        <v>-26328.485999999997</v>
      </c>
      <c r="L52" s="6">
        <f t="shared" si="17"/>
        <v>5.1503443202187433E-3</v>
      </c>
    </row>
    <row r="53" spans="1:12" x14ac:dyDescent="0.3">
      <c r="A53" t="s">
        <v>789</v>
      </c>
      <c r="B53">
        <v>1</v>
      </c>
      <c r="C53" t="s">
        <v>17</v>
      </c>
      <c r="D53" t="s">
        <v>789</v>
      </c>
      <c r="E53" s="3">
        <v>5206.2880000000005</v>
      </c>
      <c r="F53" s="6">
        <f t="shared" si="14"/>
        <v>3.6812742716529089E-3</v>
      </c>
      <c r="G53" s="3">
        <v>22041.84</v>
      </c>
      <c r="H53" s="6">
        <f t="shared" si="15"/>
        <v>3.3497182750603675E-3</v>
      </c>
      <c r="I53" s="3">
        <v>-5715.7370000000001</v>
      </c>
      <c r="J53" s="6">
        <f t="shared" si="16"/>
        <v>3.6124967881286411E-3</v>
      </c>
      <c r="K53" s="3">
        <v>-17878.850999999999</v>
      </c>
      <c r="L53" s="6">
        <f t="shared" si="17"/>
        <v>3.4974376688385045E-3</v>
      </c>
    </row>
    <row r="54" spans="1:12" x14ac:dyDescent="0.3">
      <c r="A54" t="s">
        <v>790</v>
      </c>
      <c r="B54">
        <v>1</v>
      </c>
      <c r="C54" t="s">
        <v>23</v>
      </c>
      <c r="D54" t="s">
        <v>790</v>
      </c>
      <c r="E54" s="3">
        <v>4625.3049999999994</v>
      </c>
      <c r="F54" s="6">
        <f t="shared" si="14"/>
        <v>3.2704714558717371E-3</v>
      </c>
      <c r="G54" s="3">
        <v>13100.161000000002</v>
      </c>
      <c r="H54" s="6">
        <f t="shared" si="15"/>
        <v>1.9908432648060733E-3</v>
      </c>
      <c r="I54" s="3">
        <v>-3844.357</v>
      </c>
      <c r="J54" s="6">
        <f t="shared" si="16"/>
        <v>2.4297351881165732E-3</v>
      </c>
      <c r="K54" s="3">
        <v>-12029.404999999999</v>
      </c>
      <c r="L54" s="6">
        <f t="shared" si="17"/>
        <v>2.3531766208418118E-3</v>
      </c>
    </row>
    <row r="55" spans="1:12" x14ac:dyDescent="0.3">
      <c r="A55" t="s">
        <v>791</v>
      </c>
      <c r="B55">
        <v>1</v>
      </c>
      <c r="C55" t="s">
        <v>20</v>
      </c>
      <c r="D55" t="s">
        <v>791</v>
      </c>
      <c r="E55" s="3">
        <v>9951.5659999999971</v>
      </c>
      <c r="F55" s="6">
        <f t="shared" si="14"/>
        <v>7.0365765164078203E-3</v>
      </c>
      <c r="G55" s="3">
        <v>24757.957999999999</v>
      </c>
      <c r="H55" s="6">
        <f t="shared" si="15"/>
        <v>3.7624891735797473E-3</v>
      </c>
      <c r="I55" s="3">
        <v>-6858.7650000000003</v>
      </c>
      <c r="J55" s="6">
        <f t="shared" si="16"/>
        <v>4.3349206817999393E-3</v>
      </c>
      <c r="K55" s="3">
        <v>-18964.174999999996</v>
      </c>
      <c r="L55" s="6">
        <f t="shared" si="17"/>
        <v>3.7097473435762419E-3</v>
      </c>
    </row>
    <row r="56" spans="1:12" x14ac:dyDescent="0.3">
      <c r="A56" t="s">
        <v>792</v>
      </c>
      <c r="B56">
        <v>1</v>
      </c>
      <c r="C56" t="s">
        <v>18</v>
      </c>
      <c r="D56" t="s">
        <v>792</v>
      </c>
      <c r="E56" s="3">
        <v>5266.0129999999999</v>
      </c>
      <c r="F56" s="6">
        <f t="shared" si="14"/>
        <v>3.7235047640640988E-3</v>
      </c>
      <c r="G56" s="3">
        <v>28645.457999999999</v>
      </c>
      <c r="H56" s="6">
        <f t="shared" si="15"/>
        <v>4.3532760495527687E-3</v>
      </c>
      <c r="I56" s="3">
        <v>-7467.9189999999999</v>
      </c>
      <c r="J56" s="6">
        <f t="shared" si="16"/>
        <v>4.7199221030472275E-3</v>
      </c>
      <c r="K56" s="3">
        <v>-25436.896000000008</v>
      </c>
      <c r="L56" s="6">
        <f t="shared" si="17"/>
        <v>4.975932639559864E-3</v>
      </c>
    </row>
    <row r="57" spans="1:12" x14ac:dyDescent="0.3">
      <c r="A57" t="s">
        <v>793</v>
      </c>
      <c r="B57">
        <v>1</v>
      </c>
      <c r="C57" t="s">
        <v>18</v>
      </c>
      <c r="D57" t="s">
        <v>793</v>
      </c>
      <c r="E57" s="3">
        <v>808.31</v>
      </c>
      <c r="F57" s="6">
        <f t="shared" si="14"/>
        <v>5.7154172157202257E-4</v>
      </c>
      <c r="G57" s="3">
        <v>2363.826</v>
      </c>
      <c r="H57" s="6">
        <f t="shared" si="15"/>
        <v>3.5923276601512613E-4</v>
      </c>
      <c r="I57" s="3">
        <v>-2149.48</v>
      </c>
      <c r="J57" s="6">
        <f t="shared" si="16"/>
        <v>1.3585281471395119E-3</v>
      </c>
      <c r="K57" s="3">
        <v>-2703.529</v>
      </c>
      <c r="L57" s="6">
        <f t="shared" si="17"/>
        <v>5.2886084029657682E-4</v>
      </c>
    </row>
    <row r="58" spans="1:12" x14ac:dyDescent="0.3">
      <c r="A58" t="s">
        <v>794</v>
      </c>
      <c r="B58">
        <v>1</v>
      </c>
      <c r="C58" t="s">
        <v>20</v>
      </c>
      <c r="D58" t="s">
        <v>794</v>
      </c>
      <c r="E58" s="3">
        <v>0</v>
      </c>
      <c r="F58" s="6">
        <f t="shared" si="14"/>
        <v>0</v>
      </c>
      <c r="G58" s="3">
        <v>266.303</v>
      </c>
      <c r="H58" s="6">
        <f t="shared" si="15"/>
        <v>4.0470306734982239E-5</v>
      </c>
      <c r="I58" s="3">
        <v>-177.37899999999999</v>
      </c>
      <c r="J58" s="6">
        <f t="shared" si="16"/>
        <v>1.1210821417806141E-4</v>
      </c>
      <c r="K58" s="3">
        <v>-1035.213</v>
      </c>
      <c r="L58" s="6">
        <f t="shared" si="17"/>
        <v>2.025070258413874E-4</v>
      </c>
    </row>
    <row r="59" spans="1:12" x14ac:dyDescent="0.3">
      <c r="A59" t="s">
        <v>795</v>
      </c>
      <c r="B59">
        <v>1</v>
      </c>
      <c r="C59" t="s">
        <v>20</v>
      </c>
      <c r="D59" t="s">
        <v>795</v>
      </c>
      <c r="E59" s="3">
        <v>5047.8580000000011</v>
      </c>
      <c r="F59" s="6">
        <f t="shared" si="14"/>
        <v>3.5692512174426987E-3</v>
      </c>
      <c r="G59" s="3">
        <v>19736.182000000004</v>
      </c>
      <c r="H59" s="6">
        <f t="shared" si="15"/>
        <v>2.9993253523897044E-3</v>
      </c>
      <c r="I59" s="3">
        <v>-6232.1080000000002</v>
      </c>
      <c r="J59" s="6">
        <f t="shared" si="16"/>
        <v>3.9388569021406705E-3</v>
      </c>
      <c r="K59" s="3">
        <v>-24328.323999999997</v>
      </c>
      <c r="L59" s="6">
        <f t="shared" si="17"/>
        <v>4.7590752211821574E-3</v>
      </c>
    </row>
    <row r="60" spans="1:12" x14ac:dyDescent="0.3">
      <c r="A60" t="s">
        <v>796</v>
      </c>
      <c r="B60">
        <v>1</v>
      </c>
      <c r="C60" t="s">
        <v>17</v>
      </c>
      <c r="D60" t="s">
        <v>796</v>
      </c>
      <c r="E60" s="3">
        <v>3995.6749999999997</v>
      </c>
      <c r="F60" s="6">
        <f t="shared" si="14"/>
        <v>2.8252712057778469E-3</v>
      </c>
      <c r="G60" s="3">
        <v>10575.546</v>
      </c>
      <c r="H60" s="6">
        <f t="shared" si="15"/>
        <v>1.6071752496589018E-3</v>
      </c>
      <c r="I60" s="3">
        <v>-2724.3519999999999</v>
      </c>
      <c r="J60" s="6">
        <f t="shared" si="16"/>
        <v>1.7218624386902055E-3</v>
      </c>
      <c r="K60" s="3">
        <v>-6307.3859999999977</v>
      </c>
      <c r="L60" s="6">
        <f t="shared" si="17"/>
        <v>1.2338426774911103E-3</v>
      </c>
    </row>
    <row r="61" spans="1:12" x14ac:dyDescent="0.3">
      <c r="A61" t="s">
        <v>797</v>
      </c>
      <c r="B61">
        <v>1</v>
      </c>
      <c r="C61" t="s">
        <v>18</v>
      </c>
      <c r="D61" t="s">
        <v>797</v>
      </c>
      <c r="E61" s="3">
        <v>4390.9989999999998</v>
      </c>
      <c r="F61" s="6">
        <f t="shared" si="14"/>
        <v>3.1047978224703759E-3</v>
      </c>
      <c r="G61" s="3">
        <v>28951.562000000002</v>
      </c>
      <c r="H61" s="6">
        <f t="shared" si="15"/>
        <v>4.399794950101411E-3</v>
      </c>
      <c r="I61" s="3">
        <v>-7030.76</v>
      </c>
      <c r="J61" s="6">
        <f t="shared" si="16"/>
        <v>4.4436260657380365E-3</v>
      </c>
      <c r="K61" s="3">
        <v>-26912.347999999998</v>
      </c>
      <c r="L61" s="6">
        <f t="shared" si="17"/>
        <v>5.2645586482090254E-3</v>
      </c>
    </row>
    <row r="62" spans="1:12" x14ac:dyDescent="0.3">
      <c r="A62" t="s">
        <v>798</v>
      </c>
      <c r="B62">
        <v>1</v>
      </c>
      <c r="C62" t="s">
        <v>21</v>
      </c>
      <c r="D62" t="s">
        <v>798</v>
      </c>
      <c r="E62" s="3">
        <v>11267.248999999998</v>
      </c>
      <c r="F62" s="6">
        <f t="shared" si="14"/>
        <v>7.9668727231392029E-3</v>
      </c>
      <c r="G62" s="3">
        <v>82692.782000000007</v>
      </c>
      <c r="H62" s="6">
        <f t="shared" si="15"/>
        <v>1.2566896551330697E-2</v>
      </c>
      <c r="I62" s="3">
        <v>-19170.415000000001</v>
      </c>
      <c r="J62" s="6">
        <f t="shared" si="16"/>
        <v>1.2116208743438182E-2</v>
      </c>
      <c r="K62" s="3">
        <v>-63248.910000000011</v>
      </c>
      <c r="L62" s="6">
        <f t="shared" si="17"/>
        <v>1.2372669829116894E-2</v>
      </c>
    </row>
    <row r="63" spans="1:12" x14ac:dyDescent="0.3">
      <c r="A63" t="s">
        <v>799</v>
      </c>
      <c r="B63">
        <v>1</v>
      </c>
      <c r="C63" t="s">
        <v>17</v>
      </c>
      <c r="D63" t="s">
        <v>799</v>
      </c>
      <c r="E63" s="3">
        <v>5043.9889999999996</v>
      </c>
      <c r="F63" s="6">
        <f t="shared" si="14"/>
        <v>3.5665155158916065E-3</v>
      </c>
      <c r="G63" s="3">
        <v>27746.663000000004</v>
      </c>
      <c r="H63" s="6">
        <f t="shared" si="15"/>
        <v>4.2166853639733042E-3</v>
      </c>
      <c r="I63" s="3">
        <v>-6394.0190000000002</v>
      </c>
      <c r="J63" s="6">
        <f t="shared" si="16"/>
        <v>4.0411889316694432E-3</v>
      </c>
      <c r="K63" s="3">
        <v>-23522.856999999989</v>
      </c>
      <c r="L63" s="6">
        <f t="shared" si="17"/>
        <v>4.6015108102025939E-3</v>
      </c>
    </row>
    <row r="64" spans="1:12" x14ac:dyDescent="0.3">
      <c r="A64" t="s">
        <v>800</v>
      </c>
      <c r="B64">
        <v>1</v>
      </c>
      <c r="C64" t="s">
        <v>22</v>
      </c>
      <c r="D64" t="s">
        <v>800</v>
      </c>
      <c r="E64" s="3">
        <v>7609.76</v>
      </c>
      <c r="F64" s="6">
        <f t="shared" si="14"/>
        <v>5.3807268636413197E-3</v>
      </c>
      <c r="G64" s="3">
        <v>47243.147999999994</v>
      </c>
      <c r="H64" s="6">
        <f t="shared" si="15"/>
        <v>7.1795837474086383E-3</v>
      </c>
      <c r="I64" s="3">
        <v>-12683.361000000001</v>
      </c>
      <c r="J64" s="6">
        <f t="shared" si="16"/>
        <v>8.0162192338758889E-3</v>
      </c>
      <c r="K64" s="3">
        <v>-44930.757999999973</v>
      </c>
      <c r="L64" s="6">
        <f t="shared" si="17"/>
        <v>8.7892966678153363E-3</v>
      </c>
    </row>
    <row r="65" spans="1:12" x14ac:dyDescent="0.3">
      <c r="A65" t="s">
        <v>801</v>
      </c>
      <c r="B65">
        <v>1</v>
      </c>
      <c r="C65" t="s">
        <v>291</v>
      </c>
      <c r="D65" t="s">
        <v>801</v>
      </c>
      <c r="E65" s="3">
        <v>12015.377999999999</v>
      </c>
      <c r="F65" s="6">
        <f t="shared" si="14"/>
        <v>8.4958615227556326E-3</v>
      </c>
      <c r="G65" s="3">
        <v>30474.522000000001</v>
      </c>
      <c r="H65" s="6">
        <f t="shared" si="15"/>
        <v>4.6312405528362976E-3</v>
      </c>
      <c r="I65" s="3">
        <v>-6837.1139999999996</v>
      </c>
      <c r="J65" s="6">
        <f t="shared" si="16"/>
        <v>4.3212366778018936E-3</v>
      </c>
      <c r="K65" s="3">
        <v>-11992.953999999996</v>
      </c>
      <c r="L65" s="6">
        <f t="shared" si="17"/>
        <v>2.346046123447609E-3</v>
      </c>
    </row>
    <row r="66" spans="1:12" x14ac:dyDescent="0.3">
      <c r="A66" t="s">
        <v>802</v>
      </c>
      <c r="B66">
        <v>1</v>
      </c>
      <c r="C66" t="s">
        <v>23</v>
      </c>
      <c r="D66" t="s">
        <v>802</v>
      </c>
      <c r="E66" s="3">
        <v>15583.996000000001</v>
      </c>
      <c r="F66" s="6">
        <f t="shared" si="14"/>
        <v>1.1019168268129202E-2</v>
      </c>
      <c r="G66" s="3">
        <v>71880.751999999979</v>
      </c>
      <c r="H66" s="6">
        <f t="shared" si="15"/>
        <v>1.0923782615220961E-2</v>
      </c>
      <c r="I66" s="3">
        <v>-17034.953999999998</v>
      </c>
      <c r="J66" s="6">
        <f t="shared" si="16"/>
        <v>1.0766540974666809E-2</v>
      </c>
      <c r="K66" s="3">
        <v>-46899.647000000012</v>
      </c>
      <c r="L66" s="6">
        <f t="shared" si="17"/>
        <v>9.1744481831091268E-3</v>
      </c>
    </row>
    <row r="67" spans="1:12" x14ac:dyDescent="0.3">
      <c r="A67" t="s">
        <v>803</v>
      </c>
      <c r="B67">
        <v>1</v>
      </c>
      <c r="C67" t="s">
        <v>17</v>
      </c>
      <c r="D67" t="s">
        <v>803</v>
      </c>
      <c r="E67" s="3">
        <v>16727.687000000005</v>
      </c>
      <c r="F67" s="6">
        <f t="shared" si="14"/>
        <v>1.1827851970033706E-2</v>
      </c>
      <c r="G67" s="3">
        <v>25911.398999999998</v>
      </c>
      <c r="H67" s="6">
        <f t="shared" si="15"/>
        <v>3.9377786411062292E-3</v>
      </c>
      <c r="I67" s="3">
        <v>-6328.6819999999998</v>
      </c>
      <c r="J67" s="6">
        <f t="shared" si="16"/>
        <v>3.9998942215304072E-3</v>
      </c>
      <c r="K67" s="3">
        <v>-10142.544999999998</v>
      </c>
      <c r="L67" s="6">
        <f t="shared" si="17"/>
        <v>1.9840715122515212E-3</v>
      </c>
    </row>
    <row r="68" spans="1:12" x14ac:dyDescent="0.3">
      <c r="A68" t="s">
        <v>804</v>
      </c>
      <c r="B68">
        <v>1</v>
      </c>
      <c r="C68" t="s">
        <v>20</v>
      </c>
      <c r="D68" t="s">
        <v>804</v>
      </c>
      <c r="E68" s="3">
        <v>8269.6540000000023</v>
      </c>
      <c r="F68" s="6">
        <f t="shared" si="14"/>
        <v>5.8473262534979951E-3</v>
      </c>
      <c r="G68" s="3">
        <v>48175.151000000005</v>
      </c>
      <c r="H68" s="6">
        <f t="shared" si="15"/>
        <v>7.321221082654295E-3</v>
      </c>
      <c r="I68" s="3">
        <v>-11156.184999999999</v>
      </c>
      <c r="J68" s="6">
        <f t="shared" si="16"/>
        <v>7.051003655393683E-3</v>
      </c>
      <c r="K68" s="3">
        <v>-45628.571999999971</v>
      </c>
      <c r="L68" s="6">
        <f t="shared" si="17"/>
        <v>8.9258021384097767E-3</v>
      </c>
    </row>
    <row r="69" spans="1:12" x14ac:dyDescent="0.3">
      <c r="A69" t="s">
        <v>805</v>
      </c>
      <c r="B69">
        <v>1</v>
      </c>
      <c r="C69" t="s">
        <v>17</v>
      </c>
      <c r="D69" t="s">
        <v>805</v>
      </c>
      <c r="E69" s="3">
        <v>12783.126000000002</v>
      </c>
      <c r="F69" s="6">
        <f t="shared" si="14"/>
        <v>9.0387225706870938E-3</v>
      </c>
      <c r="G69" s="3">
        <v>35442.021000000001</v>
      </c>
      <c r="H69" s="6">
        <f t="shared" si="15"/>
        <v>5.3861558494560039E-3</v>
      </c>
      <c r="I69" s="3">
        <v>-9033.5679999999993</v>
      </c>
      <c r="J69" s="6">
        <f t="shared" si="16"/>
        <v>5.7094536339481099E-3</v>
      </c>
      <c r="K69" s="3">
        <v>-20920.775999999998</v>
      </c>
      <c r="L69" s="6">
        <f t="shared" si="17"/>
        <v>4.0924950962303187E-3</v>
      </c>
    </row>
    <row r="70" spans="1:12" x14ac:dyDescent="0.3">
      <c r="A70" t="s">
        <v>806</v>
      </c>
      <c r="B70">
        <v>1</v>
      </c>
      <c r="C70" t="s">
        <v>18</v>
      </c>
      <c r="D70" t="s">
        <v>806</v>
      </c>
      <c r="E70" s="3">
        <v>5085.3019999999997</v>
      </c>
      <c r="F70" s="6">
        <f t="shared" si="14"/>
        <v>3.5957272083651688E-3</v>
      </c>
      <c r="G70" s="3">
        <v>35552.532999999996</v>
      </c>
      <c r="H70" s="6">
        <f t="shared" si="15"/>
        <v>5.4029504576199976E-3</v>
      </c>
      <c r="I70" s="3">
        <v>-8074.348</v>
      </c>
      <c r="J70" s="6">
        <f t="shared" si="16"/>
        <v>5.1032012523027073E-3</v>
      </c>
      <c r="K70" s="3">
        <v>-28902.058999999994</v>
      </c>
      <c r="L70" s="6">
        <f t="shared" si="17"/>
        <v>5.6537833361658928E-3</v>
      </c>
    </row>
    <row r="71" spans="1:12" x14ac:dyDescent="0.3">
      <c r="A71" t="s">
        <v>807</v>
      </c>
      <c r="B71">
        <v>1</v>
      </c>
      <c r="C71" t="s">
        <v>22</v>
      </c>
      <c r="D71" t="s">
        <v>807</v>
      </c>
      <c r="E71" s="3">
        <v>21234.737000000005</v>
      </c>
      <c r="F71" s="6">
        <f t="shared" si="14"/>
        <v>1.5014707404472454E-2</v>
      </c>
      <c r="G71" s="3">
        <v>72373.637000000017</v>
      </c>
      <c r="H71" s="6">
        <f t="shared" si="15"/>
        <v>1.0998686792549317E-2</v>
      </c>
      <c r="I71" s="3">
        <v>-17328.719000000001</v>
      </c>
      <c r="J71" s="6">
        <f t="shared" si="16"/>
        <v>1.0952208215648089E-2</v>
      </c>
      <c r="K71" s="3">
        <v>-61749.768999999971</v>
      </c>
      <c r="L71" s="6">
        <f t="shared" si="17"/>
        <v>1.2079409808979116E-2</v>
      </c>
    </row>
    <row r="72" spans="1:12" x14ac:dyDescent="0.3">
      <c r="A72" t="s">
        <v>808</v>
      </c>
      <c r="B72">
        <v>1</v>
      </c>
      <c r="C72" t="s">
        <v>21</v>
      </c>
      <c r="D72" t="s">
        <v>808</v>
      </c>
      <c r="E72" s="3">
        <v>8744.7980000000007</v>
      </c>
      <c r="F72" s="6">
        <f t="shared" si="14"/>
        <v>6.1832921821078305E-3</v>
      </c>
      <c r="G72" s="3">
        <v>66640.881999999998</v>
      </c>
      <c r="H72" s="6">
        <f t="shared" si="15"/>
        <v>1.0127474852441606E-2</v>
      </c>
      <c r="I72" s="3">
        <v>-15945.859</v>
      </c>
      <c r="J72" s="6">
        <f t="shared" si="16"/>
        <v>1.0078204161852126E-2</v>
      </c>
      <c r="K72" s="3">
        <v>-52758.391000000003</v>
      </c>
      <c r="L72" s="6">
        <f t="shared" si="17"/>
        <v>1.0320528093819359E-2</v>
      </c>
    </row>
    <row r="73" spans="1:12" x14ac:dyDescent="0.3">
      <c r="A73" t="s">
        <v>809</v>
      </c>
      <c r="B73">
        <v>1</v>
      </c>
      <c r="C73" t="s">
        <v>19</v>
      </c>
      <c r="D73" t="s">
        <v>809</v>
      </c>
      <c r="E73" s="3">
        <v>6774.8540000000003</v>
      </c>
      <c r="F73" s="6">
        <f t="shared" si="14"/>
        <v>4.7903795803084263E-3</v>
      </c>
      <c r="G73" s="3">
        <v>92403.5</v>
      </c>
      <c r="H73" s="6">
        <f t="shared" si="15"/>
        <v>1.4042643110989857E-2</v>
      </c>
      <c r="I73" s="3">
        <v>-16089.04</v>
      </c>
      <c r="J73" s="6">
        <f t="shared" si="16"/>
        <v>1.0168698336552789E-2</v>
      </c>
      <c r="K73" s="3">
        <v>-52666.260000000017</v>
      </c>
      <c r="L73" s="6">
        <f t="shared" si="17"/>
        <v>1.0302505546963988E-2</v>
      </c>
    </row>
    <row r="74" spans="1:12" x14ac:dyDescent="0.3">
      <c r="A74" t="s">
        <v>810</v>
      </c>
      <c r="B74">
        <v>1</v>
      </c>
      <c r="C74" t="s">
        <v>18</v>
      </c>
      <c r="D74" t="s">
        <v>810</v>
      </c>
      <c r="E74" s="3">
        <v>7884.3749999999991</v>
      </c>
      <c r="F74" s="6">
        <f t="shared" si="14"/>
        <v>5.5749022788526871E-3</v>
      </c>
      <c r="G74" s="3">
        <v>84520.887999999992</v>
      </c>
      <c r="H74" s="6">
        <f t="shared" si="15"/>
        <v>1.2844715466491475E-2</v>
      </c>
      <c r="I74" s="3">
        <v>-16853.753000000001</v>
      </c>
      <c r="J74" s="6">
        <f t="shared" si="16"/>
        <v>1.0652017155515283E-2</v>
      </c>
      <c r="K74" s="3">
        <v>-57484.96699999999</v>
      </c>
      <c r="L74" s="6">
        <f t="shared" si="17"/>
        <v>1.1245134767202788E-2</v>
      </c>
    </row>
    <row r="75" spans="1:12" x14ac:dyDescent="0.3">
      <c r="A75" t="s">
        <v>811</v>
      </c>
      <c r="B75">
        <v>1</v>
      </c>
      <c r="C75" t="s">
        <v>22</v>
      </c>
      <c r="D75" t="s">
        <v>811</v>
      </c>
      <c r="E75" s="3">
        <v>4756.5690000000013</v>
      </c>
      <c r="F75" s="6">
        <f t="shared" si="14"/>
        <v>3.3632859113905738E-3</v>
      </c>
      <c r="G75" s="3">
        <v>17531.842000000001</v>
      </c>
      <c r="H75" s="6">
        <f t="shared" si="15"/>
        <v>2.6643298174231782E-3</v>
      </c>
      <c r="I75" s="3">
        <v>-4372.17</v>
      </c>
      <c r="J75" s="6">
        <f t="shared" si="16"/>
        <v>2.7633269484149464E-3</v>
      </c>
      <c r="K75" s="3">
        <v>-13241.610999999999</v>
      </c>
      <c r="L75" s="6">
        <f t="shared" si="17"/>
        <v>2.5903067880316414E-3</v>
      </c>
    </row>
    <row r="76" spans="1:12" x14ac:dyDescent="0.3">
      <c r="A76" t="s">
        <v>812</v>
      </c>
      <c r="B76">
        <v>1</v>
      </c>
      <c r="C76" t="s">
        <v>22</v>
      </c>
      <c r="D76" t="s">
        <v>812</v>
      </c>
      <c r="E76" s="3">
        <v>3972.61</v>
      </c>
      <c r="F76" s="6">
        <f t="shared" si="14"/>
        <v>2.8089623517391013E-3</v>
      </c>
      <c r="G76" s="3">
        <v>32713.817000000003</v>
      </c>
      <c r="H76" s="6">
        <f t="shared" si="15"/>
        <v>4.9715482306323128E-3</v>
      </c>
      <c r="I76" s="3">
        <v>-8829.1949999999997</v>
      </c>
      <c r="J76" s="6">
        <f t="shared" si="16"/>
        <v>5.580284498615219E-3</v>
      </c>
      <c r="K76" s="3">
        <v>-33525.022999999994</v>
      </c>
      <c r="L76" s="6">
        <f t="shared" si="17"/>
        <v>6.5581215643486946E-3</v>
      </c>
    </row>
    <row r="77" spans="1:12" x14ac:dyDescent="0.3">
      <c r="A77" t="s">
        <v>813</v>
      </c>
      <c r="B77">
        <v>1</v>
      </c>
      <c r="C77" t="s">
        <v>23</v>
      </c>
      <c r="D77" t="s">
        <v>813</v>
      </c>
      <c r="E77" s="3">
        <v>6808.0289999999995</v>
      </c>
      <c r="F77" s="6">
        <f t="shared" si="14"/>
        <v>4.8138370367461188E-3</v>
      </c>
      <c r="G77" s="3">
        <v>57872.627999999997</v>
      </c>
      <c r="H77" s="6">
        <f t="shared" si="15"/>
        <v>8.7949553956189822E-3</v>
      </c>
      <c r="I77" s="3">
        <v>-13448.996000000001</v>
      </c>
      <c r="J77" s="6">
        <f t="shared" si="16"/>
        <v>8.5001207811967114E-3</v>
      </c>
      <c r="K77" s="3">
        <v>-47276.453000000001</v>
      </c>
      <c r="L77" s="6">
        <f t="shared" si="17"/>
        <v>9.248158484640492E-3</v>
      </c>
    </row>
    <row r="78" spans="1:12" x14ac:dyDescent="0.3">
      <c r="A78" t="s">
        <v>814</v>
      </c>
      <c r="B78">
        <v>1</v>
      </c>
      <c r="C78" t="s">
        <v>21</v>
      </c>
      <c r="D78" t="s">
        <v>814</v>
      </c>
      <c r="E78" s="3">
        <v>4245.857</v>
      </c>
      <c r="F78" s="6">
        <f t="shared" si="14"/>
        <v>3.0021704783172584E-3</v>
      </c>
      <c r="G78" s="3">
        <v>27743.760999999999</v>
      </c>
      <c r="H78" s="6">
        <f t="shared" si="15"/>
        <v>4.2162443444198434E-3</v>
      </c>
      <c r="I78" s="3">
        <v>-7282.8580000000002</v>
      </c>
      <c r="J78" s="6">
        <f t="shared" si="16"/>
        <v>4.6029586619183108E-3</v>
      </c>
      <c r="K78" s="3">
        <v>-25604.990000000009</v>
      </c>
      <c r="L78" s="6">
        <f t="shared" si="17"/>
        <v>5.0088149700578217E-3</v>
      </c>
    </row>
    <row r="79" spans="1:12" x14ac:dyDescent="0.3">
      <c r="A79" t="s">
        <v>815</v>
      </c>
      <c r="B79">
        <v>1</v>
      </c>
      <c r="C79" t="s">
        <v>23</v>
      </c>
      <c r="D79" t="s">
        <v>815</v>
      </c>
      <c r="E79" s="3">
        <v>6364.7</v>
      </c>
      <c r="F79" s="6">
        <f t="shared" ref="F79:F110" si="18">E79/E$235</f>
        <v>4.5003669325994391E-3</v>
      </c>
      <c r="G79" s="3">
        <v>20296.177999999996</v>
      </c>
      <c r="H79" s="6">
        <f t="shared" ref="H79:H110" si="19">G79/G$235</f>
        <v>3.0844284488263304E-3</v>
      </c>
      <c r="I79" s="3">
        <v>-4712.2129999999997</v>
      </c>
      <c r="J79" s="6">
        <f t="shared" ref="J79:J110" si="20">I79/I$235</f>
        <v>2.9782431080152966E-3</v>
      </c>
      <c r="K79" s="3">
        <v>-13967.755000000008</v>
      </c>
      <c r="L79" s="6">
        <f t="shared" ref="L79:L110" si="21">K79/K$235</f>
        <v>2.7323541365218266E-3</v>
      </c>
    </row>
    <row r="80" spans="1:12" x14ac:dyDescent="0.3">
      <c r="A80" t="s">
        <v>816</v>
      </c>
      <c r="B80">
        <v>1</v>
      </c>
      <c r="C80" t="s">
        <v>292</v>
      </c>
      <c r="D80" t="s">
        <v>816</v>
      </c>
      <c r="E80" s="3">
        <v>4406.1710000000012</v>
      </c>
      <c r="F80" s="6">
        <f t="shared" si="18"/>
        <v>3.1155256756451376E-3</v>
      </c>
      <c r="G80" s="3">
        <v>24390.818999999996</v>
      </c>
      <c r="H80" s="6">
        <f t="shared" si="19"/>
        <v>3.7066947291147026E-3</v>
      </c>
      <c r="I80" s="3">
        <v>-6137.2629999999999</v>
      </c>
      <c r="J80" s="6">
        <f t="shared" si="20"/>
        <v>3.8789123564294068E-3</v>
      </c>
      <c r="K80" s="3">
        <v>-21503.214000000007</v>
      </c>
      <c r="L80" s="6">
        <f t="shared" si="21"/>
        <v>4.2064308631855323E-3</v>
      </c>
    </row>
    <row r="81" spans="1:12" x14ac:dyDescent="0.3">
      <c r="A81" t="s">
        <v>817</v>
      </c>
      <c r="B81">
        <v>1</v>
      </c>
      <c r="C81" t="s">
        <v>20</v>
      </c>
      <c r="D81" t="s">
        <v>817</v>
      </c>
      <c r="E81" s="3">
        <v>3506.0630000000001</v>
      </c>
      <c r="F81" s="6">
        <f t="shared" si="18"/>
        <v>2.4790752099565394E-3</v>
      </c>
      <c r="G81" s="3">
        <v>15333.599</v>
      </c>
      <c r="H81" s="6">
        <f t="shared" si="19"/>
        <v>2.3302608490374387E-3</v>
      </c>
      <c r="I81" s="3">
        <v>-3660.8</v>
      </c>
      <c r="J81" s="6">
        <f t="shared" si="20"/>
        <v>2.3137223147218513E-3</v>
      </c>
      <c r="K81" s="3">
        <v>-9347.6899999999951</v>
      </c>
      <c r="L81" s="6">
        <f t="shared" si="21"/>
        <v>1.8285830069630863E-3</v>
      </c>
    </row>
    <row r="82" spans="1:12" x14ac:dyDescent="0.3">
      <c r="A82" t="s">
        <v>818</v>
      </c>
      <c r="B82">
        <v>1</v>
      </c>
      <c r="C82" t="s">
        <v>20</v>
      </c>
      <c r="D82" t="s">
        <v>818</v>
      </c>
      <c r="E82" s="3">
        <v>6071.3710000000001</v>
      </c>
      <c r="F82" s="6">
        <f t="shared" si="18"/>
        <v>4.2929591785855091E-3</v>
      </c>
      <c r="G82" s="3">
        <v>48145.638999999996</v>
      </c>
      <c r="H82" s="6">
        <f t="shared" si="19"/>
        <v>7.3167361174366176E-3</v>
      </c>
      <c r="I82" s="3">
        <v>-10477.816999999999</v>
      </c>
      <c r="J82" s="6">
        <f t="shared" si="20"/>
        <v>6.6222571575808454E-3</v>
      </c>
      <c r="K82" s="3">
        <v>-42149.214000000007</v>
      </c>
      <c r="L82" s="6">
        <f t="shared" si="21"/>
        <v>8.2451746342947479E-3</v>
      </c>
    </row>
    <row r="83" spans="1:12" x14ac:dyDescent="0.3">
      <c r="A83" t="s">
        <v>819</v>
      </c>
      <c r="B83">
        <v>1</v>
      </c>
      <c r="C83" t="s">
        <v>17</v>
      </c>
      <c r="D83" t="s">
        <v>819</v>
      </c>
      <c r="E83" s="3">
        <v>6695.99</v>
      </c>
      <c r="F83" s="6">
        <f t="shared" si="18"/>
        <v>4.7346162391026306E-3</v>
      </c>
      <c r="G83" s="3">
        <v>13458.454</v>
      </c>
      <c r="H83" s="6">
        <f t="shared" si="19"/>
        <v>2.0452933746846588E-3</v>
      </c>
      <c r="I83" s="3">
        <v>-6.86</v>
      </c>
      <c r="J83" s="6">
        <f t="shared" si="20"/>
        <v>4.3357012344274203E-6</v>
      </c>
      <c r="K83" s="3">
        <v>20147.583999999999</v>
      </c>
      <c r="L83" s="6">
        <f t="shared" si="21"/>
        <v>-3.9412442789353722E-3</v>
      </c>
    </row>
    <row r="84" spans="1:12" x14ac:dyDescent="0.3">
      <c r="A84" t="s">
        <v>820</v>
      </c>
      <c r="B84">
        <v>1</v>
      </c>
      <c r="C84" t="s">
        <v>17</v>
      </c>
      <c r="D84" t="s">
        <v>820</v>
      </c>
      <c r="E84" s="3">
        <v>12371.272999999999</v>
      </c>
      <c r="F84" s="6">
        <f t="shared" si="18"/>
        <v>8.7475085900922678E-3</v>
      </c>
      <c r="G84" s="3">
        <v>32697.884000000002</v>
      </c>
      <c r="H84" s="6">
        <f t="shared" si="19"/>
        <v>4.9691268782735016E-3</v>
      </c>
      <c r="I84" s="3">
        <v>-8810.259</v>
      </c>
      <c r="J84" s="6">
        <f t="shared" si="20"/>
        <v>5.5683164463447938E-3</v>
      </c>
      <c r="K84" s="3">
        <v>-25327.582000000002</v>
      </c>
      <c r="L84" s="6">
        <f t="shared" si="21"/>
        <v>4.9545487765067274E-3</v>
      </c>
    </row>
    <row r="85" spans="1:12" x14ac:dyDescent="0.3">
      <c r="A85" t="s">
        <v>821</v>
      </c>
      <c r="B85">
        <v>1</v>
      </c>
      <c r="C85" t="s">
        <v>17</v>
      </c>
      <c r="D85" t="s">
        <v>821</v>
      </c>
      <c r="E85" s="3">
        <v>5232.2029999999995</v>
      </c>
      <c r="F85" s="6">
        <f t="shared" si="18"/>
        <v>3.6995983103441763E-3</v>
      </c>
      <c r="G85" s="3">
        <v>12047.007000000001</v>
      </c>
      <c r="H85" s="6">
        <f t="shared" si="19"/>
        <v>1.8307945029852396E-3</v>
      </c>
      <c r="I85" s="3">
        <v>-4109.0199999999995</v>
      </c>
      <c r="J85" s="6">
        <f t="shared" si="20"/>
        <v>2.5970091962517427E-3</v>
      </c>
      <c r="K85" s="3">
        <v>-16728.505999999998</v>
      </c>
      <c r="L85" s="6">
        <f t="shared" si="21"/>
        <v>3.2724086703217635E-3</v>
      </c>
    </row>
    <row r="86" spans="1:12" x14ac:dyDescent="0.3">
      <c r="A86" t="s">
        <v>822</v>
      </c>
      <c r="B86">
        <v>1</v>
      </c>
      <c r="C86" t="s">
        <v>20</v>
      </c>
      <c r="D86" t="s">
        <v>822</v>
      </c>
      <c r="E86" s="3">
        <v>12667.762999999999</v>
      </c>
      <c r="F86" s="6">
        <f t="shared" si="18"/>
        <v>8.957151431364661E-3</v>
      </c>
      <c r="G86" s="3">
        <v>56386.210000000014</v>
      </c>
      <c r="H86" s="6">
        <f t="shared" si="19"/>
        <v>8.5690631135327943E-3</v>
      </c>
      <c r="I86" s="3">
        <v>-14867.419</v>
      </c>
      <c r="J86" s="6">
        <f t="shared" si="20"/>
        <v>9.3966015905320235E-3</v>
      </c>
      <c r="K86" s="3">
        <v>-45040.945999999989</v>
      </c>
      <c r="L86" s="6">
        <f t="shared" si="21"/>
        <v>8.8108515016161234E-3</v>
      </c>
    </row>
    <row r="87" spans="1:12" x14ac:dyDescent="0.3">
      <c r="A87" t="s">
        <v>823</v>
      </c>
      <c r="B87">
        <v>1</v>
      </c>
      <c r="C87" t="s">
        <v>20</v>
      </c>
      <c r="D87" t="s">
        <v>823</v>
      </c>
      <c r="E87" s="3">
        <v>4103.5909999999994</v>
      </c>
      <c r="F87" s="6">
        <f t="shared" si="18"/>
        <v>2.9015767029573524E-3</v>
      </c>
      <c r="G87" s="3">
        <v>11018.409</v>
      </c>
      <c r="H87" s="6">
        <f t="shared" si="19"/>
        <v>1.6744775385988478E-3</v>
      </c>
      <c r="I87" s="3">
        <v>-2786.482</v>
      </c>
      <c r="J87" s="6">
        <f t="shared" si="20"/>
        <v>1.7611302401034673E-3</v>
      </c>
      <c r="K87" s="3">
        <v>-6104.9289999999964</v>
      </c>
      <c r="L87" s="6">
        <f t="shared" si="21"/>
        <v>1.1942383014537439E-3</v>
      </c>
    </row>
    <row r="88" spans="1:12" x14ac:dyDescent="0.3">
      <c r="A88" t="s">
        <v>824</v>
      </c>
      <c r="B88">
        <v>1</v>
      </c>
      <c r="C88" t="s">
        <v>20</v>
      </c>
      <c r="D88" t="s">
        <v>824</v>
      </c>
      <c r="E88" s="3">
        <v>9890.2520000000004</v>
      </c>
      <c r="F88" s="6">
        <f t="shared" si="18"/>
        <v>6.9932224701675597E-3</v>
      </c>
      <c r="G88" s="3">
        <v>56365.671999999991</v>
      </c>
      <c r="H88" s="6">
        <f t="shared" si="19"/>
        <v>8.5659419351768462E-3</v>
      </c>
      <c r="I88" s="3">
        <v>-14104.605</v>
      </c>
      <c r="J88" s="6">
        <f t="shared" si="20"/>
        <v>8.9144829897392364E-3</v>
      </c>
      <c r="K88" s="3">
        <v>-48673.082999999999</v>
      </c>
      <c r="L88" s="6">
        <f t="shared" si="21"/>
        <v>9.5213654357711834E-3</v>
      </c>
    </row>
    <row r="89" spans="1:12" x14ac:dyDescent="0.3">
      <c r="A89" t="s">
        <v>825</v>
      </c>
      <c r="B89">
        <v>1</v>
      </c>
      <c r="C89" t="s">
        <v>22</v>
      </c>
      <c r="D89" t="s">
        <v>825</v>
      </c>
      <c r="E89" s="3">
        <v>19480.881999999998</v>
      </c>
      <c r="F89" s="6">
        <f t="shared" si="18"/>
        <v>1.377458751719195E-2</v>
      </c>
      <c r="G89" s="3">
        <v>31423.222999999998</v>
      </c>
      <c r="H89" s="6">
        <f t="shared" si="19"/>
        <v>4.7754154981797005E-3</v>
      </c>
      <c r="I89" s="3">
        <v>-7952.4189999999999</v>
      </c>
      <c r="J89" s="6">
        <f t="shared" si="20"/>
        <v>5.0261389030589023E-3</v>
      </c>
      <c r="K89" s="3">
        <v>-11100.916000000003</v>
      </c>
      <c r="L89" s="6">
        <f t="shared" si="21"/>
        <v>2.1715468056091561E-3</v>
      </c>
    </row>
    <row r="90" spans="1:12" x14ac:dyDescent="0.3">
      <c r="A90" t="s">
        <v>826</v>
      </c>
      <c r="B90">
        <v>1</v>
      </c>
      <c r="C90" t="s">
        <v>17</v>
      </c>
      <c r="D90" t="s">
        <v>826</v>
      </c>
      <c r="E90" s="3">
        <v>4080.2929999999997</v>
      </c>
      <c r="F90" s="6">
        <f t="shared" si="18"/>
        <v>2.8851030987347339E-3</v>
      </c>
      <c r="G90" s="3">
        <v>19191.458999999995</v>
      </c>
      <c r="H90" s="6">
        <f t="shared" si="19"/>
        <v>2.9165433075175099E-3</v>
      </c>
      <c r="I90" s="3">
        <v>-4883.951</v>
      </c>
      <c r="J90" s="6">
        <f t="shared" si="20"/>
        <v>3.0867860611637071E-3</v>
      </c>
      <c r="K90" s="3">
        <v>-17324.526000000005</v>
      </c>
      <c r="L90" s="6">
        <f t="shared" si="21"/>
        <v>3.389001330520182E-3</v>
      </c>
    </row>
    <row r="91" spans="1:12" x14ac:dyDescent="0.3">
      <c r="A91" t="s">
        <v>827</v>
      </c>
      <c r="B91">
        <v>1</v>
      </c>
      <c r="C91" t="s">
        <v>21</v>
      </c>
      <c r="D91" t="s">
        <v>827</v>
      </c>
      <c r="E91" s="3">
        <v>5310.2429999999995</v>
      </c>
      <c r="F91" s="6">
        <f t="shared" si="18"/>
        <v>3.7547790157065751E-3</v>
      </c>
      <c r="G91" s="3">
        <v>16865.696</v>
      </c>
      <c r="H91" s="6">
        <f t="shared" si="19"/>
        <v>2.5630950098908503E-3</v>
      </c>
      <c r="I91" s="3">
        <v>-5022.25</v>
      </c>
      <c r="J91" s="6">
        <f t="shared" si="20"/>
        <v>3.1741946828867506E-3</v>
      </c>
      <c r="K91" s="3">
        <v>-18906.165000000008</v>
      </c>
      <c r="L91" s="6">
        <f t="shared" si="21"/>
        <v>3.6983995025338125E-3</v>
      </c>
    </row>
    <row r="92" spans="1:12" x14ac:dyDescent="0.3">
      <c r="A92" t="s">
        <v>828</v>
      </c>
      <c r="B92">
        <v>1</v>
      </c>
      <c r="C92" t="s">
        <v>21</v>
      </c>
      <c r="D92" t="s">
        <v>828</v>
      </c>
      <c r="E92" s="3">
        <v>3148.116</v>
      </c>
      <c r="F92" s="6">
        <f t="shared" si="18"/>
        <v>2.2259772096700891E-3</v>
      </c>
      <c r="G92" s="3">
        <v>90107.962</v>
      </c>
      <c r="H92" s="6">
        <f t="shared" si="19"/>
        <v>1.369378813383298E-2</v>
      </c>
      <c r="I92" s="3">
        <v>-22020.409</v>
      </c>
      <c r="J92" s="6">
        <f t="shared" si="20"/>
        <v>1.3917480245465987E-2</v>
      </c>
      <c r="K92" s="3">
        <v>-68446.982999999978</v>
      </c>
      <c r="L92" s="6">
        <f t="shared" si="21"/>
        <v>1.3389510134770332E-2</v>
      </c>
    </row>
    <row r="93" spans="1:12" x14ac:dyDescent="0.3">
      <c r="A93" t="s">
        <v>829</v>
      </c>
      <c r="B93">
        <v>1</v>
      </c>
      <c r="C93" t="s">
        <v>17</v>
      </c>
      <c r="D93" t="s">
        <v>829</v>
      </c>
      <c r="E93" s="3">
        <v>4017.0630000000006</v>
      </c>
      <c r="F93" s="6">
        <f t="shared" si="18"/>
        <v>2.8403942827421092E-3</v>
      </c>
      <c r="G93" s="3">
        <v>18903.991000000002</v>
      </c>
      <c r="H93" s="6">
        <f t="shared" si="19"/>
        <v>2.8728565366719257E-3</v>
      </c>
      <c r="I93" s="3">
        <v>-4686.2380000000003</v>
      </c>
      <c r="J93" s="6">
        <f t="shared" si="20"/>
        <v>2.9618262217814407E-3</v>
      </c>
      <c r="K93" s="3">
        <v>-16958.823999999997</v>
      </c>
      <c r="L93" s="6">
        <f t="shared" si="21"/>
        <v>3.317463179082508E-3</v>
      </c>
    </row>
    <row r="94" spans="1:12" x14ac:dyDescent="0.3">
      <c r="A94" t="s">
        <v>830</v>
      </c>
      <c r="B94">
        <v>1</v>
      </c>
      <c r="C94" t="s">
        <v>292</v>
      </c>
      <c r="D94" t="s">
        <v>830</v>
      </c>
      <c r="E94" s="3">
        <v>4548.7029999999995</v>
      </c>
      <c r="F94" s="6">
        <f t="shared" si="18"/>
        <v>3.216307534905944E-3</v>
      </c>
      <c r="G94" s="3">
        <v>15509.833000000001</v>
      </c>
      <c r="H94" s="6">
        <f t="shared" si="19"/>
        <v>2.3570432887288161E-3</v>
      </c>
      <c r="I94" s="3">
        <v>-4062.0749999999998</v>
      </c>
      <c r="J94" s="6">
        <f t="shared" si="20"/>
        <v>2.5673387160111897E-3</v>
      </c>
      <c r="K94" s="3">
        <v>-10871.643999999997</v>
      </c>
      <c r="L94" s="6">
        <f t="shared" si="21"/>
        <v>2.1266969140132162E-3</v>
      </c>
    </row>
    <row r="95" spans="1:12" x14ac:dyDescent="0.3">
      <c r="A95" t="s">
        <v>831</v>
      </c>
      <c r="B95">
        <v>1</v>
      </c>
      <c r="C95" t="s">
        <v>291</v>
      </c>
      <c r="D95" t="s">
        <v>831</v>
      </c>
      <c r="E95" s="3">
        <v>7739.2639999999992</v>
      </c>
      <c r="F95" s="6">
        <f t="shared" si="18"/>
        <v>5.4722968542519302E-3</v>
      </c>
      <c r="G95" s="3">
        <v>14731.397999999999</v>
      </c>
      <c r="H95" s="6">
        <f t="shared" si="19"/>
        <v>2.238743820742177E-3</v>
      </c>
      <c r="I95" s="3">
        <v>-3241.4989999999998</v>
      </c>
      <c r="J95" s="6">
        <f t="shared" si="20"/>
        <v>2.0487130052033887E-3</v>
      </c>
      <c r="K95" s="3">
        <v>-3622.1830000000009</v>
      </c>
      <c r="L95" s="6">
        <f t="shared" si="21"/>
        <v>7.0856674557142761E-4</v>
      </c>
    </row>
    <row r="96" spans="1:12" x14ac:dyDescent="0.3">
      <c r="A96" t="s">
        <v>832</v>
      </c>
      <c r="B96">
        <v>1</v>
      </c>
      <c r="C96" t="s">
        <v>23</v>
      </c>
      <c r="D96" t="s">
        <v>832</v>
      </c>
      <c r="E96" s="3">
        <v>5107.6680000000006</v>
      </c>
      <c r="F96" s="6">
        <f t="shared" si="18"/>
        <v>3.6115418118522966E-3</v>
      </c>
      <c r="G96" s="3">
        <v>21656.617000000002</v>
      </c>
      <c r="H96" s="6">
        <f t="shared" si="19"/>
        <v>3.2911755888293823E-3</v>
      </c>
      <c r="I96" s="3">
        <v>-6099.1210000000001</v>
      </c>
      <c r="J96" s="6">
        <f t="shared" si="20"/>
        <v>3.8548056047554226E-3</v>
      </c>
      <c r="K96" s="3">
        <v>-18817.617999999995</v>
      </c>
      <c r="L96" s="6">
        <f t="shared" si="21"/>
        <v>3.6810780531150167E-3</v>
      </c>
    </row>
    <row r="97" spans="1:12" x14ac:dyDescent="0.3">
      <c r="A97" t="s">
        <v>833</v>
      </c>
      <c r="B97">
        <v>1</v>
      </c>
      <c r="C97" t="s">
        <v>18</v>
      </c>
      <c r="D97" t="s">
        <v>833</v>
      </c>
      <c r="E97" s="3">
        <v>6268.2380000000003</v>
      </c>
      <c r="F97" s="6">
        <f t="shared" si="18"/>
        <v>4.4321603564760701E-3</v>
      </c>
      <c r="G97" s="3">
        <v>31638.087</v>
      </c>
      <c r="H97" s="6">
        <f t="shared" si="19"/>
        <v>4.8080685737601683E-3</v>
      </c>
      <c r="I97" s="3">
        <v>-6939.1890000000003</v>
      </c>
      <c r="J97" s="6">
        <f t="shared" si="20"/>
        <v>4.3857507745226204E-3</v>
      </c>
      <c r="K97" s="3">
        <v>-16621.678999999996</v>
      </c>
      <c r="L97" s="6">
        <f t="shared" si="21"/>
        <v>3.2515113109864787E-3</v>
      </c>
    </row>
    <row r="98" spans="1:12" x14ac:dyDescent="0.3">
      <c r="A98" t="s">
        <v>834</v>
      </c>
      <c r="B98">
        <v>1</v>
      </c>
      <c r="C98" t="s">
        <v>18</v>
      </c>
      <c r="D98" t="s">
        <v>834</v>
      </c>
      <c r="E98" s="3">
        <v>1930.8910000000001</v>
      </c>
      <c r="F98" s="6">
        <f t="shared" si="18"/>
        <v>1.3652989154011757E-3</v>
      </c>
      <c r="G98" s="3">
        <v>11012.561</v>
      </c>
      <c r="H98" s="6">
        <f t="shared" si="19"/>
        <v>1.6735888127723036E-3</v>
      </c>
      <c r="I98" s="3">
        <v>-3008.6010000000001</v>
      </c>
      <c r="J98" s="6">
        <f t="shared" si="20"/>
        <v>1.9015153162681589E-3</v>
      </c>
      <c r="K98" s="3">
        <v>-10636.114000000001</v>
      </c>
      <c r="L98" s="6">
        <f t="shared" si="21"/>
        <v>2.080622840565123E-3</v>
      </c>
    </row>
    <row r="99" spans="1:12" x14ac:dyDescent="0.3">
      <c r="A99" t="s">
        <v>835</v>
      </c>
      <c r="B99">
        <v>1</v>
      </c>
      <c r="C99" t="s">
        <v>716</v>
      </c>
      <c r="D99" t="s">
        <v>835</v>
      </c>
      <c r="E99" s="3">
        <v>3115.5330000000004</v>
      </c>
      <c r="F99" s="6">
        <f t="shared" si="18"/>
        <v>2.2029383459742534E-3</v>
      </c>
      <c r="G99" s="3">
        <v>19652.865000000002</v>
      </c>
      <c r="H99" s="6">
        <f t="shared" si="19"/>
        <v>2.9866635928667601E-3</v>
      </c>
      <c r="I99" s="3">
        <v>-5068.076</v>
      </c>
      <c r="J99" s="6">
        <f t="shared" si="20"/>
        <v>3.2031579255644288E-3</v>
      </c>
      <c r="K99" s="3">
        <v>-18236.063000000009</v>
      </c>
      <c r="L99" s="6">
        <f t="shared" si="21"/>
        <v>3.5673150174757953E-3</v>
      </c>
    </row>
    <row r="100" spans="1:12" x14ac:dyDescent="0.3">
      <c r="A100" t="s">
        <v>836</v>
      </c>
      <c r="B100">
        <v>1</v>
      </c>
      <c r="C100" t="s">
        <v>715</v>
      </c>
      <c r="D100" t="s">
        <v>836</v>
      </c>
      <c r="E100" s="3">
        <v>3480.0660000000003</v>
      </c>
      <c r="F100" s="6">
        <f t="shared" si="18"/>
        <v>2.4606931905138654E-3</v>
      </c>
      <c r="G100" s="3">
        <v>13109.82</v>
      </c>
      <c r="H100" s="6">
        <f t="shared" si="19"/>
        <v>1.9923111517346965E-3</v>
      </c>
      <c r="I100" s="3">
        <v>-3957.1329999999998</v>
      </c>
      <c r="J100" s="6">
        <f t="shared" si="20"/>
        <v>2.5010125995471545E-3</v>
      </c>
      <c r="K100" s="3">
        <v>-13450.395999999999</v>
      </c>
      <c r="L100" s="6">
        <f t="shared" si="21"/>
        <v>2.631149039230471E-3</v>
      </c>
    </row>
    <row r="101" spans="1:12" x14ac:dyDescent="0.3">
      <c r="A101" t="s">
        <v>837</v>
      </c>
      <c r="B101">
        <v>1</v>
      </c>
      <c r="C101" t="s">
        <v>20</v>
      </c>
      <c r="D101" t="s">
        <v>837</v>
      </c>
      <c r="E101" s="3">
        <v>2037.0410000000002</v>
      </c>
      <c r="F101" s="6">
        <f t="shared" si="18"/>
        <v>1.440355705178452E-3</v>
      </c>
      <c r="G101" s="3">
        <v>9208.0939999999991</v>
      </c>
      <c r="H101" s="6">
        <f t="shared" si="19"/>
        <v>1.3993623377301402E-3</v>
      </c>
      <c r="I101" s="3">
        <v>-2492.71</v>
      </c>
      <c r="J101" s="6">
        <f t="shared" si="20"/>
        <v>1.5754585749372556E-3</v>
      </c>
      <c r="K101" s="3">
        <v>-7977.4570000000031</v>
      </c>
      <c r="L101" s="6">
        <f t="shared" si="21"/>
        <v>1.5605398027725285E-3</v>
      </c>
    </row>
    <row r="102" spans="1:12" x14ac:dyDescent="0.3">
      <c r="A102" t="s">
        <v>838</v>
      </c>
      <c r="B102">
        <v>1</v>
      </c>
      <c r="C102" t="s">
        <v>715</v>
      </c>
      <c r="D102" t="s">
        <v>838</v>
      </c>
      <c r="E102" s="3">
        <v>2459.3080000000004</v>
      </c>
      <c r="F102" s="6">
        <f t="shared" si="18"/>
        <v>1.7389332412018261E-3</v>
      </c>
      <c r="G102" s="3">
        <v>4388.0879999999997</v>
      </c>
      <c r="H102" s="6">
        <f t="shared" si="19"/>
        <v>6.6686168514847651E-4</v>
      </c>
      <c r="I102" s="3">
        <v>-1204.1889999999999</v>
      </c>
      <c r="J102" s="6">
        <f t="shared" si="20"/>
        <v>7.610792614845364E-4</v>
      </c>
      <c r="K102" s="3">
        <v>-2704.1210000000005</v>
      </c>
      <c r="L102" s="6">
        <f t="shared" si="21"/>
        <v>5.2897664656958369E-4</v>
      </c>
    </row>
    <row r="103" spans="1:12" x14ac:dyDescent="0.3">
      <c r="A103" t="s">
        <v>839</v>
      </c>
      <c r="B103">
        <v>1</v>
      </c>
      <c r="C103" t="s">
        <v>715</v>
      </c>
      <c r="D103" t="s">
        <v>839</v>
      </c>
      <c r="E103" s="3">
        <v>5349.195999999999</v>
      </c>
      <c r="F103" s="6">
        <f t="shared" si="18"/>
        <v>3.7823219938713818E-3</v>
      </c>
      <c r="G103" s="3">
        <v>38585.935999999994</v>
      </c>
      <c r="H103" s="6">
        <f t="shared" si="19"/>
        <v>5.8639394433273135E-3</v>
      </c>
      <c r="I103" s="3">
        <v>-9835.6810000000005</v>
      </c>
      <c r="J103" s="6">
        <f t="shared" si="20"/>
        <v>6.2164102409816794E-3</v>
      </c>
      <c r="K103" s="3">
        <v>-32726.108000000004</v>
      </c>
      <c r="L103" s="6">
        <f t="shared" si="21"/>
        <v>6.4018388471203851E-3</v>
      </c>
    </row>
    <row r="104" spans="1:12" x14ac:dyDescent="0.3">
      <c r="A104" t="s">
        <v>840</v>
      </c>
      <c r="B104">
        <v>1</v>
      </c>
      <c r="C104" t="s">
        <v>18</v>
      </c>
      <c r="D104" t="s">
        <v>840</v>
      </c>
      <c r="E104" s="3">
        <v>10092.692999999999</v>
      </c>
      <c r="F104" s="6">
        <f t="shared" si="18"/>
        <v>7.1363649249890533E-3</v>
      </c>
      <c r="G104" s="3">
        <v>75540.245999999999</v>
      </c>
      <c r="H104" s="6">
        <f t="shared" si="19"/>
        <v>1.1479919214038202E-2</v>
      </c>
      <c r="I104" s="3">
        <v>-17826.075000000001</v>
      </c>
      <c r="J104" s="6">
        <f t="shared" si="20"/>
        <v>1.1266550347302591E-2</v>
      </c>
      <c r="K104" s="3">
        <v>-56937.347999999998</v>
      </c>
      <c r="L104" s="6">
        <f t="shared" si="21"/>
        <v>1.1138010247916193E-2</v>
      </c>
    </row>
    <row r="105" spans="1:12" x14ac:dyDescent="0.3">
      <c r="A105" t="s">
        <v>841</v>
      </c>
      <c r="B105">
        <v>1</v>
      </c>
      <c r="C105" t="s">
        <v>18</v>
      </c>
      <c r="D105" t="s">
        <v>841</v>
      </c>
      <c r="E105" s="3">
        <v>3015.6419999999994</v>
      </c>
      <c r="F105" s="6">
        <f t="shared" si="18"/>
        <v>2.1323071845268486E-3</v>
      </c>
      <c r="G105" s="3">
        <v>19191.915999999997</v>
      </c>
      <c r="H105" s="6">
        <f t="shared" si="19"/>
        <v>2.9166127582190711E-3</v>
      </c>
      <c r="I105" s="3">
        <v>-4549.9390000000003</v>
      </c>
      <c r="J105" s="6">
        <f t="shared" si="20"/>
        <v>2.8756816528964228E-3</v>
      </c>
      <c r="K105" s="3">
        <v>-17032.056000000004</v>
      </c>
      <c r="L105" s="6">
        <f t="shared" si="21"/>
        <v>3.3317887280433669E-3</v>
      </c>
    </row>
    <row r="106" spans="1:12" x14ac:dyDescent="0.3">
      <c r="A106" t="s">
        <v>842</v>
      </c>
      <c r="B106">
        <v>1</v>
      </c>
      <c r="C106" t="s">
        <v>22</v>
      </c>
      <c r="D106" t="s">
        <v>842</v>
      </c>
      <c r="E106" s="3">
        <v>4547.3390000000009</v>
      </c>
      <c r="F106" s="6">
        <f t="shared" si="18"/>
        <v>3.2153430746020713E-3</v>
      </c>
      <c r="G106" s="3">
        <v>16390.728000000003</v>
      </c>
      <c r="H106" s="6">
        <f t="shared" si="19"/>
        <v>2.4909136951880456E-3</v>
      </c>
      <c r="I106" s="3">
        <v>-3892.3130000000001</v>
      </c>
      <c r="J106" s="6">
        <f t="shared" si="20"/>
        <v>2.4600446470667485E-3</v>
      </c>
      <c r="K106" s="3">
        <v>-9733.8959999999988</v>
      </c>
      <c r="L106" s="6">
        <f t="shared" si="21"/>
        <v>1.9041321243158434E-3</v>
      </c>
    </row>
    <row r="107" spans="1:12" x14ac:dyDescent="0.3">
      <c r="A107" t="s">
        <v>843</v>
      </c>
      <c r="B107">
        <v>1</v>
      </c>
      <c r="C107" t="s">
        <v>19</v>
      </c>
      <c r="D107" t="s">
        <v>843</v>
      </c>
      <c r="E107" s="3">
        <v>10226.648000000001</v>
      </c>
      <c r="F107" s="6">
        <f t="shared" si="18"/>
        <v>7.2310821390692715E-3</v>
      </c>
      <c r="G107" s="3">
        <v>47792.077999999994</v>
      </c>
      <c r="H107" s="6">
        <f t="shared" si="19"/>
        <v>7.2630051338595375E-3</v>
      </c>
      <c r="I107" s="3">
        <v>-11594.407999999999</v>
      </c>
      <c r="J107" s="6">
        <f t="shared" si="20"/>
        <v>7.3279721688127046E-3</v>
      </c>
      <c r="K107" s="3">
        <v>-33331.457999999999</v>
      </c>
      <c r="L107" s="6">
        <f t="shared" si="21"/>
        <v>6.5202566298308839E-3</v>
      </c>
    </row>
    <row r="108" spans="1:12" x14ac:dyDescent="0.3">
      <c r="A108" t="s">
        <v>844</v>
      </c>
      <c r="B108">
        <v>1</v>
      </c>
      <c r="C108" t="s">
        <v>19</v>
      </c>
      <c r="D108" t="s">
        <v>844</v>
      </c>
      <c r="E108" s="3">
        <v>3117.6190000000001</v>
      </c>
      <c r="F108" s="6">
        <f t="shared" si="18"/>
        <v>2.2044133197234323E-3</v>
      </c>
      <c r="G108" s="3">
        <v>13106.495999999999</v>
      </c>
      <c r="H108" s="6">
        <f t="shared" si="19"/>
        <v>1.9918060004611958E-3</v>
      </c>
      <c r="I108" s="3">
        <v>-3422.223</v>
      </c>
      <c r="J108" s="6">
        <f t="shared" si="20"/>
        <v>2.1629353477530477E-3</v>
      </c>
      <c r="K108" s="3">
        <v>-13428.610000000004</v>
      </c>
      <c r="L108" s="6">
        <f t="shared" si="21"/>
        <v>2.626887290136343E-3</v>
      </c>
    </row>
    <row r="109" spans="1:12" x14ac:dyDescent="0.3">
      <c r="A109" t="s">
        <v>845</v>
      </c>
      <c r="B109">
        <v>1</v>
      </c>
      <c r="C109" t="s">
        <v>22</v>
      </c>
      <c r="D109" t="s">
        <v>845</v>
      </c>
      <c r="E109" s="3">
        <v>5297.9610000000002</v>
      </c>
      <c r="F109" s="6">
        <f t="shared" si="18"/>
        <v>3.7460946304777062E-3</v>
      </c>
      <c r="G109" s="3">
        <v>24547.796999999999</v>
      </c>
      <c r="H109" s="6">
        <f t="shared" si="19"/>
        <v>3.7305508171446692E-3</v>
      </c>
      <c r="I109" s="3">
        <v>-5759.317</v>
      </c>
      <c r="J109" s="6">
        <f t="shared" si="20"/>
        <v>3.6400404994692166E-3</v>
      </c>
      <c r="K109" s="3">
        <v>-16354.121000000006</v>
      </c>
      <c r="L109" s="6">
        <f t="shared" si="21"/>
        <v>3.1991719616737595E-3</v>
      </c>
    </row>
    <row r="110" spans="1:12" x14ac:dyDescent="0.3">
      <c r="A110" t="s">
        <v>846</v>
      </c>
      <c r="B110">
        <v>1</v>
      </c>
      <c r="C110" t="s">
        <v>23</v>
      </c>
      <c r="D110" t="s">
        <v>846</v>
      </c>
      <c r="E110" s="3">
        <v>31234.589000000004</v>
      </c>
      <c r="F110" s="6">
        <f t="shared" si="18"/>
        <v>2.2085426098470341E-2</v>
      </c>
      <c r="G110" s="3">
        <v>69897.668000000005</v>
      </c>
      <c r="H110" s="6">
        <f t="shared" si="19"/>
        <v>1.0622411553831361E-2</v>
      </c>
      <c r="I110" s="3">
        <v>-18348.838</v>
      </c>
      <c r="J110" s="6">
        <f t="shared" si="20"/>
        <v>1.1596950374184949E-2</v>
      </c>
      <c r="K110" s="3">
        <v>-42182.445000000022</v>
      </c>
      <c r="L110" s="6">
        <f t="shared" si="21"/>
        <v>8.2516752394607741E-3</v>
      </c>
    </row>
    <row r="111" spans="1:12" x14ac:dyDescent="0.3">
      <c r="A111" t="s">
        <v>847</v>
      </c>
      <c r="B111">
        <v>1</v>
      </c>
      <c r="C111" t="s">
        <v>715</v>
      </c>
      <c r="D111" t="s">
        <v>847</v>
      </c>
      <c r="E111" s="3">
        <v>7221.8070000000007</v>
      </c>
      <c r="F111" s="6">
        <f t="shared" ref="F111:F142" si="22">E111/E$235</f>
        <v>5.1064121508343141E-3</v>
      </c>
      <c r="G111" s="3">
        <v>52479.521000000001</v>
      </c>
      <c r="H111" s="6">
        <f t="shared" ref="H111:H142" si="23">G111/G$235</f>
        <v>7.9753600679486978E-3</v>
      </c>
      <c r="I111" s="3">
        <v>-13542.281999999999</v>
      </c>
      <c r="J111" s="6">
        <f t="shared" ref="J111:J142" si="24">I111/I$235</f>
        <v>8.5590799977207331E-3</v>
      </c>
      <c r="K111" s="3">
        <v>-45499.148000000001</v>
      </c>
      <c r="L111" s="6">
        <f t="shared" ref="L111:L142" si="25">K111/K$235</f>
        <v>8.9004843832110984E-3</v>
      </c>
    </row>
    <row r="112" spans="1:12" x14ac:dyDescent="0.3">
      <c r="A112" t="s">
        <v>848</v>
      </c>
      <c r="B112">
        <v>1</v>
      </c>
      <c r="C112" t="s">
        <v>715</v>
      </c>
      <c r="D112" t="s">
        <v>848</v>
      </c>
      <c r="E112" s="3">
        <v>7894.424</v>
      </c>
      <c r="F112" s="6">
        <f t="shared" si="22"/>
        <v>5.582007749229248E-3</v>
      </c>
      <c r="G112" s="3">
        <v>25816.780999999999</v>
      </c>
      <c r="H112" s="6">
        <f t="shared" si="23"/>
        <v>3.9233994584359231E-3</v>
      </c>
      <c r="I112" s="3">
        <v>-7545.1819999999998</v>
      </c>
      <c r="J112" s="6">
        <f t="shared" si="24"/>
        <v>4.7687543602594092E-3</v>
      </c>
      <c r="K112" s="3">
        <v>-27590.536</v>
      </c>
      <c r="L112" s="6">
        <f t="shared" si="25"/>
        <v>5.3972249061108478E-3</v>
      </c>
    </row>
    <row r="113" spans="1:12" x14ac:dyDescent="0.3">
      <c r="A113" t="s">
        <v>849</v>
      </c>
      <c r="B113">
        <v>1</v>
      </c>
      <c r="C113" t="s">
        <v>716</v>
      </c>
      <c r="D113" t="s">
        <v>849</v>
      </c>
      <c r="E113" s="3">
        <v>7243.8009999999995</v>
      </c>
      <c r="F113" s="6">
        <f t="shared" si="22"/>
        <v>5.1219637196931109E-3</v>
      </c>
      <c r="G113" s="3">
        <v>63244.212999999996</v>
      </c>
      <c r="H113" s="6">
        <f t="shared" si="23"/>
        <v>9.6112800055671594E-3</v>
      </c>
      <c r="I113" s="3">
        <v>-15293.081999999999</v>
      </c>
      <c r="J113" s="6">
        <f t="shared" si="24"/>
        <v>9.6656318521282439E-3</v>
      </c>
      <c r="K113" s="3">
        <v>-46896.55799999999</v>
      </c>
      <c r="L113" s="6">
        <f t="shared" si="25"/>
        <v>9.1738439169312212E-3</v>
      </c>
    </row>
    <row r="114" spans="1:12" x14ac:dyDescent="0.3">
      <c r="A114" t="s">
        <v>850</v>
      </c>
      <c r="B114">
        <v>1</v>
      </c>
      <c r="C114" t="s">
        <v>715</v>
      </c>
      <c r="D114" t="s">
        <v>850</v>
      </c>
      <c r="E114" s="3">
        <v>6906.552999999999</v>
      </c>
      <c r="F114" s="6">
        <f t="shared" si="22"/>
        <v>4.883501616642646E-3</v>
      </c>
      <c r="G114" s="3">
        <v>20221.863000000001</v>
      </c>
      <c r="H114" s="6">
        <f t="shared" si="23"/>
        <v>3.0731347313503348E-3</v>
      </c>
      <c r="I114" s="3">
        <v>-131</v>
      </c>
      <c r="J114" s="6">
        <f t="shared" si="24"/>
        <v>8.2795460890669389E-5</v>
      </c>
      <c r="K114" s="3">
        <v>-13508.124</v>
      </c>
      <c r="L114" s="6">
        <f t="shared" si="25"/>
        <v>2.6424417157982611E-3</v>
      </c>
    </row>
    <row r="115" spans="1:12" x14ac:dyDescent="0.3">
      <c r="A115" t="s">
        <v>851</v>
      </c>
      <c r="B115">
        <v>1</v>
      </c>
      <c r="C115" t="s">
        <v>22</v>
      </c>
      <c r="D115" t="s">
        <v>851</v>
      </c>
      <c r="E115" s="3">
        <v>4617.6709999999994</v>
      </c>
      <c r="F115" s="6">
        <f t="shared" si="22"/>
        <v>3.2650735893323141E-3</v>
      </c>
      <c r="G115" s="3">
        <v>13236.725</v>
      </c>
      <c r="H115" s="6">
        <f t="shared" si="23"/>
        <v>2.0115970188717656E-3</v>
      </c>
      <c r="I115" s="3">
        <v>-3808.5450000000001</v>
      </c>
      <c r="J115" s="6">
        <f t="shared" si="24"/>
        <v>2.4071010579988891E-3</v>
      </c>
      <c r="K115" s="3">
        <v>-11911.556999999999</v>
      </c>
      <c r="L115" s="6">
        <f t="shared" si="25"/>
        <v>2.3301233477652991E-3</v>
      </c>
    </row>
    <row r="116" spans="1:12" x14ac:dyDescent="0.3">
      <c r="A116" t="s">
        <v>852</v>
      </c>
      <c r="B116">
        <v>1</v>
      </c>
      <c r="C116" t="s">
        <v>20</v>
      </c>
      <c r="D116" t="s">
        <v>852</v>
      </c>
      <c r="E116" s="3">
        <v>7795.6289999999999</v>
      </c>
      <c r="F116" s="6">
        <f t="shared" si="22"/>
        <v>5.5121515500201473E-3</v>
      </c>
      <c r="G116" s="3">
        <v>15647.03</v>
      </c>
      <c r="H116" s="6">
        <f t="shared" si="23"/>
        <v>2.3778932403745704E-3</v>
      </c>
      <c r="I116" s="3">
        <v>-4776.8329999999996</v>
      </c>
      <c r="J116" s="6">
        <f t="shared" si="24"/>
        <v>3.0190846552118999E-3</v>
      </c>
      <c r="K116" s="3">
        <v>-16849.707999999991</v>
      </c>
      <c r="L116" s="6">
        <f t="shared" si="25"/>
        <v>3.2961180485328433E-3</v>
      </c>
    </row>
    <row r="117" spans="1:12" x14ac:dyDescent="0.3">
      <c r="A117" t="s">
        <v>853</v>
      </c>
      <c r="B117">
        <v>1</v>
      </c>
      <c r="C117" t="s">
        <v>22</v>
      </c>
      <c r="D117" t="s">
        <v>853</v>
      </c>
      <c r="E117" s="3">
        <v>5487.2550000000001</v>
      </c>
      <c r="F117" s="6">
        <f t="shared" si="22"/>
        <v>3.8799410738512316E-3</v>
      </c>
      <c r="G117" s="3">
        <v>11652.525</v>
      </c>
      <c r="H117" s="6">
        <f t="shared" si="23"/>
        <v>1.7708447181858595E-3</v>
      </c>
      <c r="I117" s="3">
        <v>-3646.625</v>
      </c>
      <c r="J117" s="6">
        <f t="shared" si="24"/>
        <v>2.3047633402323454E-3</v>
      </c>
      <c r="K117" s="3">
        <v>-14657.733000000004</v>
      </c>
      <c r="L117" s="6">
        <f t="shared" si="25"/>
        <v>2.867326738948562E-3</v>
      </c>
    </row>
    <row r="118" spans="1:12" x14ac:dyDescent="0.3">
      <c r="A118" t="s">
        <v>854</v>
      </c>
      <c r="B118">
        <v>1</v>
      </c>
      <c r="C118" t="s">
        <v>21</v>
      </c>
      <c r="D118" t="s">
        <v>854</v>
      </c>
      <c r="E118" s="3">
        <v>7347.764000000001</v>
      </c>
      <c r="F118" s="6">
        <f t="shared" si="22"/>
        <v>5.1954741204054532E-3</v>
      </c>
      <c r="G118" s="3">
        <v>13463.954000000002</v>
      </c>
      <c r="H118" s="6">
        <f t="shared" si="23"/>
        <v>2.0461292146378043E-3</v>
      </c>
      <c r="I118" s="3">
        <v>-7203.1319999999996</v>
      </c>
      <c r="J118" s="6">
        <f t="shared" si="24"/>
        <v>4.5525697236361001E-3</v>
      </c>
      <c r="K118" s="3">
        <v>-36394.716000000008</v>
      </c>
      <c r="L118" s="6">
        <f t="shared" si="25"/>
        <v>7.1194871910437336E-3</v>
      </c>
    </row>
    <row r="119" spans="1:12" x14ac:dyDescent="0.3">
      <c r="A119" t="s">
        <v>855</v>
      </c>
      <c r="B119">
        <v>1</v>
      </c>
      <c r="C119" t="s">
        <v>715</v>
      </c>
      <c r="D119" t="s">
        <v>855</v>
      </c>
      <c r="E119" s="3">
        <v>4146.6619999999994</v>
      </c>
      <c r="F119" s="6">
        <f t="shared" si="22"/>
        <v>2.9320314461744705E-3</v>
      </c>
      <c r="G119" s="3">
        <v>11932.495999999999</v>
      </c>
      <c r="H119" s="6">
        <f t="shared" si="23"/>
        <v>1.8133921631898575E-3</v>
      </c>
      <c r="I119" s="3">
        <v>-3106.8270000000002</v>
      </c>
      <c r="J119" s="6">
        <f t="shared" si="24"/>
        <v>1.9635967433021049E-3</v>
      </c>
      <c r="K119" s="3">
        <v>-9019.4170000000013</v>
      </c>
      <c r="L119" s="6">
        <f t="shared" si="25"/>
        <v>1.7643666680125241E-3</v>
      </c>
    </row>
    <row r="120" spans="1:12" x14ac:dyDescent="0.3">
      <c r="A120" t="s">
        <v>856</v>
      </c>
      <c r="B120">
        <v>1</v>
      </c>
      <c r="C120" t="s">
        <v>23</v>
      </c>
      <c r="D120" t="s">
        <v>856</v>
      </c>
      <c r="E120" s="3">
        <v>6283.2460000000001</v>
      </c>
      <c r="F120" s="6">
        <f t="shared" si="22"/>
        <v>4.4427722481480188E-3</v>
      </c>
      <c r="G120" s="3">
        <v>13400.297</v>
      </c>
      <c r="H120" s="6">
        <f t="shared" si="23"/>
        <v>2.0364552030201024E-3</v>
      </c>
      <c r="I120" s="3">
        <v>-2884.6990000000001</v>
      </c>
      <c r="J120" s="6">
        <f t="shared" si="24"/>
        <v>1.823205978899642E-3</v>
      </c>
      <c r="K120" s="3">
        <v>-3362.6699999999978</v>
      </c>
      <c r="L120" s="6">
        <f t="shared" si="25"/>
        <v>6.5780114873563E-4</v>
      </c>
    </row>
    <row r="121" spans="1:12" x14ac:dyDescent="0.3">
      <c r="A121" t="s">
        <v>857</v>
      </c>
      <c r="B121">
        <v>1</v>
      </c>
      <c r="C121" t="s">
        <v>21</v>
      </c>
      <c r="D121" t="s">
        <v>857</v>
      </c>
      <c r="E121" s="3">
        <v>10516.311</v>
      </c>
      <c r="F121" s="6">
        <f t="shared" si="22"/>
        <v>7.4358977292459556E-3</v>
      </c>
      <c r="G121" s="3">
        <v>35314.786</v>
      </c>
      <c r="H121" s="6">
        <f t="shared" si="23"/>
        <v>5.366819831921746E-3</v>
      </c>
      <c r="I121" s="3">
        <v>-9637.241</v>
      </c>
      <c r="J121" s="6">
        <f t="shared" si="24"/>
        <v>6.0909909183927908E-3</v>
      </c>
      <c r="K121" s="3">
        <v>-32537.763000000006</v>
      </c>
      <c r="L121" s="6">
        <f t="shared" si="25"/>
        <v>6.3649950422395582E-3</v>
      </c>
    </row>
    <row r="122" spans="1:12" x14ac:dyDescent="0.3">
      <c r="A122" t="s">
        <v>858</v>
      </c>
      <c r="B122">
        <v>1</v>
      </c>
      <c r="C122" t="s">
        <v>18</v>
      </c>
      <c r="D122" t="s">
        <v>858</v>
      </c>
      <c r="E122" s="3">
        <v>6883.232</v>
      </c>
      <c r="F122" s="6">
        <f t="shared" si="22"/>
        <v>4.8670117495263404E-3</v>
      </c>
      <c r="G122" s="3">
        <v>15926.401</v>
      </c>
      <c r="H122" s="6">
        <f t="shared" si="23"/>
        <v>2.4203495028382255E-3</v>
      </c>
      <c r="I122" s="3">
        <v>-4988.5640000000003</v>
      </c>
      <c r="J122" s="6">
        <f t="shared" si="24"/>
        <v>3.1529042409358878E-3</v>
      </c>
      <c r="K122" s="3">
        <v>-14739.957</v>
      </c>
      <c r="L122" s="6">
        <f t="shared" si="25"/>
        <v>2.8834112912994128E-3</v>
      </c>
    </row>
    <row r="123" spans="1:12" x14ac:dyDescent="0.3">
      <c r="A123" t="s">
        <v>859</v>
      </c>
      <c r="B123">
        <v>1</v>
      </c>
      <c r="C123" t="s">
        <v>20</v>
      </c>
      <c r="D123" t="s">
        <v>859</v>
      </c>
      <c r="E123" s="3">
        <v>3113.4809999999998</v>
      </c>
      <c r="F123" s="6">
        <f t="shared" si="22"/>
        <v>2.2014874130244365E-3</v>
      </c>
      <c r="G123" s="3">
        <v>16405.623</v>
      </c>
      <c r="H123" s="6">
        <f t="shared" si="23"/>
        <v>2.4931773017520626E-3</v>
      </c>
      <c r="I123" s="3">
        <v>-3903.0450000000001</v>
      </c>
      <c r="J123" s="6">
        <f t="shared" si="24"/>
        <v>2.4668275545955934E-3</v>
      </c>
      <c r="K123" s="3">
        <v>-12302.043</v>
      </c>
      <c r="L123" s="6">
        <f t="shared" si="25"/>
        <v>2.4065097131729016E-3</v>
      </c>
    </row>
    <row r="124" spans="1:12" x14ac:dyDescent="0.3">
      <c r="A124" t="s">
        <v>860</v>
      </c>
      <c r="B124">
        <v>1</v>
      </c>
      <c r="C124" t="s">
        <v>18</v>
      </c>
      <c r="D124" t="s">
        <v>860</v>
      </c>
      <c r="E124" s="3">
        <v>9662.9889999999996</v>
      </c>
      <c r="F124" s="6">
        <f t="shared" si="22"/>
        <v>6.8325288176460976E-3</v>
      </c>
      <c r="G124" s="3">
        <v>29007.708000000002</v>
      </c>
      <c r="H124" s="6">
        <f t="shared" si="23"/>
        <v>4.4083275082849177E-3</v>
      </c>
      <c r="I124" s="3">
        <v>-10.99</v>
      </c>
      <c r="J124" s="6">
        <f t="shared" si="24"/>
        <v>6.9459703449500509E-6</v>
      </c>
      <c r="K124" s="3">
        <v>-20862.623000000003</v>
      </c>
      <c r="L124" s="6">
        <f t="shared" si="25"/>
        <v>4.0811192817131582E-3</v>
      </c>
    </row>
    <row r="125" spans="1:12" x14ac:dyDescent="0.3">
      <c r="A125" t="s">
        <v>861</v>
      </c>
      <c r="B125">
        <v>1</v>
      </c>
      <c r="C125" t="s">
        <v>22</v>
      </c>
      <c r="D125" t="s">
        <v>861</v>
      </c>
      <c r="E125" s="3">
        <v>4111.7039999999997</v>
      </c>
      <c r="F125" s="6">
        <f t="shared" si="22"/>
        <v>2.9073132619348661E-3</v>
      </c>
      <c r="G125" s="3">
        <v>21910.65</v>
      </c>
      <c r="H125" s="6">
        <f t="shared" si="23"/>
        <v>3.329781212614348E-3</v>
      </c>
      <c r="I125" s="3">
        <v>-5795.73</v>
      </c>
      <c r="J125" s="6">
        <f t="shared" si="24"/>
        <v>3.6630544774647273E-3</v>
      </c>
      <c r="K125" s="3">
        <v>-16568.209999999988</v>
      </c>
      <c r="L125" s="6">
        <f t="shared" si="25"/>
        <v>3.2410517744807404E-3</v>
      </c>
    </row>
    <row r="126" spans="1:12" x14ac:dyDescent="0.3">
      <c r="A126" t="s">
        <v>862</v>
      </c>
      <c r="B126">
        <v>1</v>
      </c>
      <c r="C126" t="s">
        <v>21</v>
      </c>
      <c r="D126" t="s">
        <v>862</v>
      </c>
      <c r="E126" s="3">
        <v>9318.5720000000001</v>
      </c>
      <c r="F126" s="6">
        <f t="shared" si="22"/>
        <v>6.5889976413416214E-3</v>
      </c>
      <c r="G126" s="3">
        <v>37700.548000000003</v>
      </c>
      <c r="H126" s="6">
        <f t="shared" si="23"/>
        <v>5.729386231611816E-3</v>
      </c>
      <c r="I126" s="3">
        <v>-9890.2309999999998</v>
      </c>
      <c r="J126" s="6">
        <f t="shared" si="24"/>
        <v>6.2508872821388246E-3</v>
      </c>
      <c r="K126" s="3">
        <v>-31129.047999999988</v>
      </c>
      <c r="L126" s="6">
        <f t="shared" si="25"/>
        <v>6.08942403906615E-3</v>
      </c>
    </row>
    <row r="127" spans="1:12" x14ac:dyDescent="0.3">
      <c r="A127" t="s">
        <v>863</v>
      </c>
      <c r="B127">
        <v>1</v>
      </c>
      <c r="C127" t="s">
        <v>292</v>
      </c>
      <c r="D127" t="s">
        <v>863</v>
      </c>
      <c r="E127" s="3">
        <v>7453.6260000000002</v>
      </c>
      <c r="F127" s="6">
        <f t="shared" si="22"/>
        <v>5.2703272704704741E-3</v>
      </c>
      <c r="G127" s="3">
        <v>22756.239000000001</v>
      </c>
      <c r="H127" s="6">
        <f t="shared" si="23"/>
        <v>3.4582861344579882E-3</v>
      </c>
      <c r="I127" s="3">
        <v>-4993.6570000000002</v>
      </c>
      <c r="J127" s="6">
        <f t="shared" si="24"/>
        <v>3.1561231514879193E-3</v>
      </c>
      <c r="K127" s="3">
        <v>-13368.694</v>
      </c>
      <c r="L127" s="6">
        <f t="shared" si="25"/>
        <v>2.6151665998433177E-3</v>
      </c>
    </row>
    <row r="128" spans="1:12" x14ac:dyDescent="0.3">
      <c r="A128" t="s">
        <v>864</v>
      </c>
      <c r="B128">
        <v>1</v>
      </c>
      <c r="C128" t="s">
        <v>21</v>
      </c>
      <c r="D128" t="s">
        <v>864</v>
      </c>
      <c r="E128" s="3">
        <v>12278.268000000002</v>
      </c>
      <c r="F128" s="6">
        <f t="shared" si="22"/>
        <v>8.6817463975982934E-3</v>
      </c>
      <c r="G128" s="3">
        <v>49632.912000000004</v>
      </c>
      <c r="H128" s="6">
        <f t="shared" si="23"/>
        <v>7.5427583346427979E-3</v>
      </c>
      <c r="I128" s="3">
        <v>-12744.989</v>
      </c>
      <c r="J128" s="6">
        <f t="shared" si="24"/>
        <v>8.0551697580268054E-3</v>
      </c>
      <c r="K128" s="3">
        <v>-38779.071000000025</v>
      </c>
      <c r="L128" s="6">
        <f t="shared" si="25"/>
        <v>7.5859116269811153E-3</v>
      </c>
    </row>
    <row r="129" spans="1:12" x14ac:dyDescent="0.3">
      <c r="A129" t="s">
        <v>865</v>
      </c>
      <c r="B129">
        <v>1</v>
      </c>
      <c r="C129" t="s">
        <v>23</v>
      </c>
      <c r="D129" t="s">
        <v>865</v>
      </c>
      <c r="E129" s="3">
        <v>3364.3010000000004</v>
      </c>
      <c r="F129" s="6">
        <f t="shared" si="22"/>
        <v>2.3788378040930798E-3</v>
      </c>
      <c r="G129" s="3">
        <v>14395.514000000001</v>
      </c>
      <c r="H129" s="6">
        <f t="shared" si="23"/>
        <v>2.1876992267745058E-3</v>
      </c>
      <c r="I129" s="3">
        <v>-3852.835</v>
      </c>
      <c r="J129" s="6">
        <f t="shared" si="24"/>
        <v>2.4350935080969635E-3</v>
      </c>
      <c r="K129" s="3">
        <v>-12592.194999999992</v>
      </c>
      <c r="L129" s="6">
        <f t="shared" si="25"/>
        <v>2.463268871492908E-3</v>
      </c>
    </row>
    <row r="130" spans="1:12" x14ac:dyDescent="0.3">
      <c r="A130" t="s">
        <v>866</v>
      </c>
      <c r="B130">
        <v>1</v>
      </c>
      <c r="C130" t="s">
        <v>23</v>
      </c>
      <c r="D130" t="s">
        <v>866</v>
      </c>
      <c r="E130" s="3">
        <v>2818.4319999999998</v>
      </c>
      <c r="F130" s="6">
        <f t="shared" si="22"/>
        <v>1.9928634773956513E-3</v>
      </c>
      <c r="G130" s="3">
        <v>20249.29</v>
      </c>
      <c r="H130" s="6">
        <f t="shared" si="23"/>
        <v>3.0773028372403188E-3</v>
      </c>
      <c r="I130" s="3">
        <v>-4786.2079999999996</v>
      </c>
      <c r="J130" s="6">
        <f t="shared" si="24"/>
        <v>3.0250099028901445E-3</v>
      </c>
      <c r="K130" s="3">
        <v>-18868.491999999998</v>
      </c>
      <c r="L130" s="6">
        <f t="shared" si="25"/>
        <v>3.6910299590828277E-3</v>
      </c>
    </row>
    <row r="131" spans="1:12" x14ac:dyDescent="0.3">
      <c r="A131" t="s">
        <v>867</v>
      </c>
      <c r="B131">
        <v>1</v>
      </c>
      <c r="C131" t="s">
        <v>292</v>
      </c>
      <c r="D131" t="s">
        <v>867</v>
      </c>
      <c r="E131" s="3">
        <v>73.849999999999994</v>
      </c>
      <c r="F131" s="6">
        <f t="shared" si="22"/>
        <v>5.2218030382024059E-5</v>
      </c>
      <c r="G131" s="3">
        <v>0</v>
      </c>
      <c r="H131" s="6">
        <f t="shared" si="23"/>
        <v>0</v>
      </c>
      <c r="I131" s="3">
        <v>0</v>
      </c>
      <c r="J131" s="6">
        <f t="shared" si="24"/>
        <v>0</v>
      </c>
      <c r="K131" s="3">
        <v>73.849999999999994</v>
      </c>
      <c r="L131" s="6">
        <f t="shared" si="25"/>
        <v>-1.4446441320178994E-5</v>
      </c>
    </row>
    <row r="132" spans="1:12" x14ac:dyDescent="0.3">
      <c r="A132" t="s">
        <v>868</v>
      </c>
      <c r="B132">
        <v>1</v>
      </c>
      <c r="C132" t="s">
        <v>20</v>
      </c>
      <c r="D132" t="s">
        <v>868</v>
      </c>
      <c r="E132" s="3">
        <v>14291.882000000003</v>
      </c>
      <c r="F132" s="6">
        <f t="shared" si="22"/>
        <v>1.0105537284933012E-2</v>
      </c>
      <c r="G132" s="3">
        <v>35849.849000000009</v>
      </c>
      <c r="H132" s="6">
        <f t="shared" si="23"/>
        <v>5.4481338378944161E-3</v>
      </c>
      <c r="I132" s="3">
        <v>-8426.0920000000006</v>
      </c>
      <c r="J132" s="6">
        <f t="shared" si="24"/>
        <v>5.325512753031926E-3</v>
      </c>
      <c r="K132" s="3">
        <v>-15214.876999999989</v>
      </c>
      <c r="L132" s="6">
        <f t="shared" si="25"/>
        <v>2.9763145263945958E-3</v>
      </c>
    </row>
    <row r="133" spans="1:12" x14ac:dyDescent="0.3">
      <c r="A133" t="s">
        <v>869</v>
      </c>
      <c r="B133">
        <v>1</v>
      </c>
      <c r="C133" t="s">
        <v>291</v>
      </c>
      <c r="D133" t="s">
        <v>869</v>
      </c>
      <c r="E133" s="3">
        <v>4788.6959999999999</v>
      </c>
      <c r="F133" s="6">
        <f t="shared" si="22"/>
        <v>3.3860023455420055E-3</v>
      </c>
      <c r="G133" s="3">
        <v>35267.780000000006</v>
      </c>
      <c r="H133" s="6">
        <f t="shared" si="23"/>
        <v>5.359676287769467E-3</v>
      </c>
      <c r="I133" s="3">
        <v>-8499.6229999999996</v>
      </c>
      <c r="J133" s="6">
        <f t="shared" si="24"/>
        <v>5.3719862876483509E-3</v>
      </c>
      <c r="K133" s="3">
        <v>-27071.797999999988</v>
      </c>
      <c r="L133" s="6">
        <f t="shared" si="25"/>
        <v>5.2957500506261197E-3</v>
      </c>
    </row>
    <row r="134" spans="1:12" x14ac:dyDescent="0.3">
      <c r="A134" t="s">
        <v>870</v>
      </c>
      <c r="B134">
        <v>1</v>
      </c>
      <c r="C134" t="s">
        <v>18</v>
      </c>
      <c r="D134" t="s">
        <v>870</v>
      </c>
      <c r="E134" s="3">
        <v>9717.43</v>
      </c>
      <c r="F134" s="6">
        <f t="shared" si="22"/>
        <v>6.8710230870032783E-3</v>
      </c>
      <c r="G134" s="3">
        <v>20534.973000000002</v>
      </c>
      <c r="H134" s="6">
        <f t="shared" si="23"/>
        <v>3.1207183400283832E-3</v>
      </c>
      <c r="I134" s="3">
        <v>-4748.0370000000003</v>
      </c>
      <c r="J134" s="6">
        <f t="shared" si="24"/>
        <v>3.0008848224500092E-3</v>
      </c>
      <c r="K134" s="3">
        <v>-7268.9029999999984</v>
      </c>
      <c r="L134" s="6">
        <f t="shared" si="25"/>
        <v>1.4219333872927968E-3</v>
      </c>
    </row>
    <row r="135" spans="1:12" x14ac:dyDescent="0.3">
      <c r="A135" t="s">
        <v>871</v>
      </c>
      <c r="B135">
        <v>1</v>
      </c>
      <c r="C135" t="s">
        <v>291</v>
      </c>
      <c r="D135" t="s">
        <v>871</v>
      </c>
      <c r="E135" s="3">
        <v>5898.692</v>
      </c>
      <c r="F135" s="6">
        <f t="shared" si="22"/>
        <v>4.1708609081950211E-3</v>
      </c>
      <c r="G135" s="3">
        <v>28387.058999999997</v>
      </c>
      <c r="H135" s="6">
        <f t="shared" si="23"/>
        <v>4.3140069208159057E-3</v>
      </c>
      <c r="I135" s="3">
        <v>-6758.5749999999998</v>
      </c>
      <c r="J135" s="6">
        <f t="shared" si="24"/>
        <v>4.2715979548790519E-3</v>
      </c>
      <c r="K135" s="3">
        <v>-27800.086999999996</v>
      </c>
      <c r="L135" s="6">
        <f t="shared" si="25"/>
        <v>5.4382170012372494E-3</v>
      </c>
    </row>
    <row r="136" spans="1:12" x14ac:dyDescent="0.3">
      <c r="A136" t="s">
        <v>872</v>
      </c>
      <c r="B136">
        <v>1</v>
      </c>
      <c r="C136" t="s">
        <v>21</v>
      </c>
      <c r="D136" t="s">
        <v>872</v>
      </c>
      <c r="E136" s="3">
        <v>10327.111000000003</v>
      </c>
      <c r="F136" s="6">
        <f t="shared" si="22"/>
        <v>7.3021177516118486E-3</v>
      </c>
      <c r="G136" s="3">
        <v>59392.158000000003</v>
      </c>
      <c r="H136" s="6">
        <f t="shared" si="23"/>
        <v>9.0258797381649082E-3</v>
      </c>
      <c r="I136" s="3">
        <v>-16130.412</v>
      </c>
      <c r="J136" s="6">
        <f t="shared" si="24"/>
        <v>1.0194846533560184E-2</v>
      </c>
      <c r="K136" s="3">
        <v>-59654.22100000002</v>
      </c>
      <c r="L136" s="6">
        <f t="shared" si="25"/>
        <v>1.1669481424204332E-2</v>
      </c>
    </row>
    <row r="137" spans="1:12" x14ac:dyDescent="0.3">
      <c r="A137" t="s">
        <v>873</v>
      </c>
      <c r="B137">
        <v>1</v>
      </c>
      <c r="C137" t="s">
        <v>23</v>
      </c>
      <c r="D137" t="s">
        <v>873</v>
      </c>
      <c r="E137" s="3">
        <v>646.37400000000002</v>
      </c>
      <c r="F137" s="6">
        <f t="shared" si="22"/>
        <v>4.5703963669804228E-4</v>
      </c>
      <c r="G137" s="3">
        <v>1886.1869999999999</v>
      </c>
      <c r="H137" s="6">
        <f t="shared" si="23"/>
        <v>2.8664553703689388E-4</v>
      </c>
      <c r="I137" s="3">
        <v>-329.13099999999997</v>
      </c>
      <c r="J137" s="6">
        <f t="shared" si="24"/>
        <v>2.0801948731608325E-4</v>
      </c>
      <c r="K137" s="3">
        <v>-467.44900000000018</v>
      </c>
      <c r="L137" s="6">
        <f t="shared" si="25"/>
        <v>9.1441767754588414E-5</v>
      </c>
    </row>
    <row r="138" spans="1:12" x14ac:dyDescent="0.3">
      <c r="A138" t="s">
        <v>874</v>
      </c>
      <c r="B138">
        <v>1</v>
      </c>
      <c r="C138" t="s">
        <v>21</v>
      </c>
      <c r="D138" t="s">
        <v>874</v>
      </c>
      <c r="E138" s="3">
        <v>1089.902</v>
      </c>
      <c r="F138" s="6">
        <f t="shared" si="22"/>
        <v>7.7065045022923215E-4</v>
      </c>
      <c r="G138" s="3">
        <v>6852.3779999999997</v>
      </c>
      <c r="H138" s="6">
        <f t="shared" si="23"/>
        <v>1.0413620557186518E-3</v>
      </c>
      <c r="I138" s="3">
        <v>-1226.3820000000001</v>
      </c>
      <c r="J138" s="6">
        <f t="shared" si="24"/>
        <v>7.7510582380168637E-4</v>
      </c>
      <c r="K138" s="3">
        <v>-2654.9900000000011</v>
      </c>
      <c r="L138" s="6">
        <f t="shared" si="25"/>
        <v>5.1936570400354842E-4</v>
      </c>
    </row>
    <row r="139" spans="1:12" x14ac:dyDescent="0.3">
      <c r="A139" t="s">
        <v>875</v>
      </c>
      <c r="B139">
        <v>1</v>
      </c>
      <c r="C139" t="s">
        <v>20</v>
      </c>
      <c r="D139" t="s">
        <v>875</v>
      </c>
      <c r="E139" s="3">
        <v>601.95000000000005</v>
      </c>
      <c r="F139" s="6">
        <f t="shared" si="22"/>
        <v>4.2562821108272698E-4</v>
      </c>
      <c r="G139" s="3">
        <v>2019.3230000000001</v>
      </c>
      <c r="H139" s="6">
        <f t="shared" si="23"/>
        <v>3.0687833485542617E-4</v>
      </c>
      <c r="I139" s="3">
        <v>-256.97500000000002</v>
      </c>
      <c r="J139" s="6">
        <f t="shared" si="24"/>
        <v>1.6241498902579976E-4</v>
      </c>
      <c r="K139" s="3">
        <v>-751.26200000000028</v>
      </c>
      <c r="L139" s="6">
        <f t="shared" si="25"/>
        <v>1.4696089910738413E-4</v>
      </c>
    </row>
    <row r="140" spans="1:12" x14ac:dyDescent="0.3">
      <c r="A140" t="s">
        <v>876</v>
      </c>
      <c r="B140">
        <v>1</v>
      </c>
      <c r="C140" t="s">
        <v>22</v>
      </c>
      <c r="D140" t="s">
        <v>876</v>
      </c>
      <c r="E140" s="3">
        <v>467.57399999999996</v>
      </c>
      <c r="F140" s="6">
        <f t="shared" si="22"/>
        <v>3.3061331533980391E-4</v>
      </c>
      <c r="G140" s="3">
        <v>2459.6480000000001</v>
      </c>
      <c r="H140" s="6">
        <f t="shared" si="23"/>
        <v>3.7379492164972084E-4</v>
      </c>
      <c r="I140" s="3">
        <v>-588.86599999999999</v>
      </c>
      <c r="J140" s="6">
        <f t="shared" si="24"/>
        <v>3.7217886925835819E-4</v>
      </c>
      <c r="K140" s="3">
        <v>-1628.2280000000001</v>
      </c>
      <c r="L140" s="6">
        <f t="shared" si="25"/>
        <v>3.1851185183307256E-4</v>
      </c>
    </row>
    <row r="141" spans="1:12" x14ac:dyDescent="0.3">
      <c r="A141" t="s">
        <v>877</v>
      </c>
      <c r="B141">
        <v>1</v>
      </c>
      <c r="C141" t="s">
        <v>18</v>
      </c>
      <c r="D141" t="s">
        <v>877</v>
      </c>
      <c r="E141" s="3">
        <v>771.75799999999992</v>
      </c>
      <c r="F141" s="6">
        <f t="shared" si="22"/>
        <v>5.4569644809167393E-4</v>
      </c>
      <c r="G141" s="3">
        <v>1775.6740000000002</v>
      </c>
      <c r="H141" s="6">
        <f t="shared" si="23"/>
        <v>2.6985077690199833E-4</v>
      </c>
      <c r="I141" s="3">
        <v>-328.41399999999999</v>
      </c>
      <c r="J141" s="6">
        <f t="shared" si="24"/>
        <v>2.0756632437365111E-4</v>
      </c>
      <c r="K141" s="3">
        <v>-170.63699999999949</v>
      </c>
      <c r="L141" s="6">
        <f t="shared" si="25"/>
        <v>3.3379788863254925E-5</v>
      </c>
    </row>
    <row r="142" spans="1:12" x14ac:dyDescent="0.3">
      <c r="A142" t="s">
        <v>878</v>
      </c>
      <c r="B142">
        <v>1</v>
      </c>
      <c r="C142" t="s">
        <v>18</v>
      </c>
      <c r="D142" t="s">
        <v>878</v>
      </c>
      <c r="E142" s="3">
        <v>872.45499999999993</v>
      </c>
      <c r="F142" s="6">
        <f t="shared" si="22"/>
        <v>6.1689751790045769E-4</v>
      </c>
      <c r="G142" s="3">
        <v>50.454999999999998</v>
      </c>
      <c r="H142" s="6">
        <f t="shared" si="23"/>
        <v>7.6676917883520986E-6</v>
      </c>
      <c r="I142" s="3">
        <v>0</v>
      </c>
      <c r="J142" s="6">
        <f t="shared" si="24"/>
        <v>0</v>
      </c>
      <c r="K142" s="3">
        <v>922.91</v>
      </c>
      <c r="L142" s="6">
        <f t="shared" si="25"/>
        <v>-1.8053845848079077E-4</v>
      </c>
    </row>
    <row r="143" spans="1:12" x14ac:dyDescent="0.3">
      <c r="A143" t="s">
        <v>879</v>
      </c>
      <c r="B143">
        <v>1</v>
      </c>
      <c r="C143" t="s">
        <v>292</v>
      </c>
      <c r="D143" t="s">
        <v>879</v>
      </c>
      <c r="E143" s="3">
        <v>874.74599999999998</v>
      </c>
      <c r="F143" s="6">
        <f t="shared" ref="F143:F174" si="26">E143/E$235</f>
        <v>6.1851744352815199E-4</v>
      </c>
      <c r="G143" s="3">
        <v>498.01300000000003</v>
      </c>
      <c r="H143" s="6">
        <f t="shared" ref="H143:H174" si="27">G143/G$235</f>
        <v>7.5683484106482888E-5</v>
      </c>
      <c r="I143" s="3">
        <v>-169.255</v>
      </c>
      <c r="J143" s="6">
        <f t="shared" ref="J143:J174" si="28">I143/I$235</f>
        <v>1.0697363155000189E-4</v>
      </c>
      <c r="K143" s="3">
        <v>128.45399999999984</v>
      </c>
      <c r="L143" s="6">
        <f t="shared" ref="L143:L174" si="29">K143/K$235</f>
        <v>-2.5128005055413276E-5</v>
      </c>
    </row>
    <row r="144" spans="1:12" x14ac:dyDescent="0.3">
      <c r="A144" t="s">
        <v>880</v>
      </c>
      <c r="B144">
        <v>1</v>
      </c>
      <c r="C144" t="s">
        <v>292</v>
      </c>
      <c r="D144" t="s">
        <v>880</v>
      </c>
      <c r="E144" s="3">
        <v>336.59000000000003</v>
      </c>
      <c r="F144" s="6">
        <f t="shared" si="26"/>
        <v>2.3799684287454951E-4</v>
      </c>
      <c r="G144" s="3">
        <v>1227.4000000000001</v>
      </c>
      <c r="H144" s="6">
        <f t="shared" si="27"/>
        <v>1.8652908336187429E-4</v>
      </c>
      <c r="I144" s="3">
        <v>-289.28300000000002</v>
      </c>
      <c r="J144" s="6">
        <f t="shared" si="28"/>
        <v>1.8283449857126348E-4</v>
      </c>
      <c r="K144" s="3">
        <v>-540.87800000000004</v>
      </c>
      <c r="L144" s="6">
        <f t="shared" si="29"/>
        <v>1.0580585360021362E-4</v>
      </c>
    </row>
    <row r="145" spans="1:12" x14ac:dyDescent="0.3">
      <c r="A145" t="s">
        <v>881</v>
      </c>
      <c r="B145">
        <v>1</v>
      </c>
      <c r="C145" t="s">
        <v>18</v>
      </c>
      <c r="D145" t="s">
        <v>881</v>
      </c>
      <c r="E145" s="3">
        <v>2685.3939999999993</v>
      </c>
      <c r="F145" s="6">
        <f t="shared" si="26"/>
        <v>1.8987946578159119E-3</v>
      </c>
      <c r="G145" s="3">
        <v>23651.610000000004</v>
      </c>
      <c r="H145" s="6">
        <f t="shared" si="27"/>
        <v>3.5943564716738961E-3</v>
      </c>
      <c r="I145" s="3">
        <v>-6361.0320000000002</v>
      </c>
      <c r="J145" s="6">
        <f t="shared" si="28"/>
        <v>4.0203402761854693E-3</v>
      </c>
      <c r="K145" s="3">
        <v>-24375.771999999986</v>
      </c>
      <c r="L145" s="6">
        <f t="shared" si="29"/>
        <v>4.7683569374686796E-3</v>
      </c>
    </row>
    <row r="146" spans="1:12" x14ac:dyDescent="0.3">
      <c r="A146" t="s">
        <v>882</v>
      </c>
      <c r="B146">
        <v>1</v>
      </c>
      <c r="C146" t="s">
        <v>18</v>
      </c>
      <c r="D146" t="s">
        <v>882</v>
      </c>
      <c r="E146" s="3">
        <v>4863.2499999999991</v>
      </c>
      <c r="F146" s="6">
        <f t="shared" si="26"/>
        <v>3.4387181618873186E-3</v>
      </c>
      <c r="G146" s="3">
        <v>18326.455000000002</v>
      </c>
      <c r="H146" s="6">
        <f t="shared" si="27"/>
        <v>2.7850878706392685E-3</v>
      </c>
      <c r="I146" s="3">
        <v>-4521.75</v>
      </c>
      <c r="J146" s="6">
        <f t="shared" si="28"/>
        <v>2.8578654601708726E-3</v>
      </c>
      <c r="K146" s="3">
        <v>-12195.553</v>
      </c>
      <c r="L146" s="6">
        <f t="shared" si="29"/>
        <v>2.3856782773410009E-3</v>
      </c>
    </row>
    <row r="147" spans="1:12" x14ac:dyDescent="0.3">
      <c r="A147" t="s">
        <v>883</v>
      </c>
      <c r="B147">
        <v>1</v>
      </c>
      <c r="C147" t="s">
        <v>716</v>
      </c>
      <c r="D147" t="s">
        <v>883</v>
      </c>
      <c r="E147" s="3">
        <v>17585.641999999996</v>
      </c>
      <c r="F147" s="6">
        <f t="shared" si="26"/>
        <v>1.2434496794087991E-2</v>
      </c>
      <c r="G147" s="3">
        <v>83107.282999999981</v>
      </c>
      <c r="H147" s="6">
        <f t="shared" si="27"/>
        <v>1.2629888641588621E-2</v>
      </c>
      <c r="I147" s="3">
        <v>-17017.457999999999</v>
      </c>
      <c r="J147" s="6">
        <f t="shared" si="28"/>
        <v>1.0755483040439762E-2</v>
      </c>
      <c r="K147" s="3">
        <v>-54499.437000000034</v>
      </c>
      <c r="L147" s="6">
        <f t="shared" si="29"/>
        <v>1.0661109256645802E-2</v>
      </c>
    </row>
    <row r="148" spans="1:12" x14ac:dyDescent="0.3">
      <c r="A148" t="s">
        <v>884</v>
      </c>
      <c r="B148">
        <v>1</v>
      </c>
      <c r="C148" t="s">
        <v>716</v>
      </c>
      <c r="D148" t="s">
        <v>884</v>
      </c>
      <c r="E148" s="3">
        <v>7948.1029999999992</v>
      </c>
      <c r="F148" s="6">
        <f t="shared" si="26"/>
        <v>5.6199632218477532E-3</v>
      </c>
      <c r="G148" s="3">
        <v>52878.370999999999</v>
      </c>
      <c r="H148" s="6">
        <f t="shared" si="27"/>
        <v>8.0359736616417744E-3</v>
      </c>
      <c r="I148" s="3">
        <v>-12556.456</v>
      </c>
      <c r="J148" s="6">
        <f t="shared" si="28"/>
        <v>7.9360119211710767E-3</v>
      </c>
      <c r="K148" s="3">
        <v>-42628.29099999999</v>
      </c>
      <c r="L148" s="6">
        <f t="shared" si="29"/>
        <v>8.3388910563441335E-3</v>
      </c>
    </row>
    <row r="149" spans="1:12" x14ac:dyDescent="0.3">
      <c r="A149" t="s">
        <v>885</v>
      </c>
      <c r="B149">
        <v>1</v>
      </c>
      <c r="C149" t="s">
        <v>21</v>
      </c>
      <c r="D149" t="s">
        <v>885</v>
      </c>
      <c r="E149" s="3">
        <v>6348.2379999999985</v>
      </c>
      <c r="F149" s="6">
        <f t="shared" si="26"/>
        <v>4.4887269432135352E-3</v>
      </c>
      <c r="G149" s="3">
        <v>21217.678</v>
      </c>
      <c r="H149" s="6">
        <f t="shared" si="27"/>
        <v>3.2244696337032797E-3</v>
      </c>
      <c r="I149" s="3">
        <v>-4976.576</v>
      </c>
      <c r="J149" s="6">
        <f t="shared" si="28"/>
        <v>3.1453275082247625E-3</v>
      </c>
      <c r="K149" s="3">
        <v>-12726.782999999996</v>
      </c>
      <c r="L149" s="6">
        <f t="shared" si="29"/>
        <v>2.4895968016811314E-3</v>
      </c>
    </row>
    <row r="150" spans="1:12" x14ac:dyDescent="0.3">
      <c r="A150" t="s">
        <v>886</v>
      </c>
      <c r="B150">
        <v>1</v>
      </c>
      <c r="C150" t="s">
        <v>19</v>
      </c>
      <c r="D150" t="s">
        <v>886</v>
      </c>
      <c r="E150" s="3">
        <v>6088.6459999999997</v>
      </c>
      <c r="F150" s="6">
        <f t="shared" si="26"/>
        <v>4.30517402590913E-3</v>
      </c>
      <c r="G150" s="3">
        <v>27039.458000000006</v>
      </c>
      <c r="H150" s="6">
        <f t="shared" si="27"/>
        <v>4.1092107832343978E-3</v>
      </c>
      <c r="I150" s="3">
        <v>-7712.982</v>
      </c>
      <c r="J150" s="6">
        <f t="shared" si="28"/>
        <v>4.8748083933697478E-3</v>
      </c>
      <c r="K150" s="3">
        <v>-28953.087999999992</v>
      </c>
      <c r="L150" s="6">
        <f t="shared" si="29"/>
        <v>5.6637655630328845E-3</v>
      </c>
    </row>
    <row r="151" spans="1:12" x14ac:dyDescent="0.3">
      <c r="A151" t="s">
        <v>887</v>
      </c>
      <c r="B151">
        <v>1</v>
      </c>
      <c r="C151" t="s">
        <v>23</v>
      </c>
      <c r="D151" t="s">
        <v>887</v>
      </c>
      <c r="E151" s="3">
        <v>4762.469000000001</v>
      </c>
      <c r="F151" s="6">
        <f t="shared" si="26"/>
        <v>3.3674576971624618E-3</v>
      </c>
      <c r="G151" s="3">
        <v>13146.991999999998</v>
      </c>
      <c r="H151" s="6">
        <f t="shared" si="27"/>
        <v>1.9979602140507528E-3</v>
      </c>
      <c r="I151" s="3">
        <v>-3270.712</v>
      </c>
      <c r="J151" s="6">
        <f t="shared" si="28"/>
        <v>2.067176392982008E-3</v>
      </c>
      <c r="K151" s="3">
        <v>-7348.3270000000011</v>
      </c>
      <c r="L151" s="6">
        <f t="shared" si="29"/>
        <v>1.4374702072713201E-3</v>
      </c>
    </row>
    <row r="152" spans="1:12" x14ac:dyDescent="0.3">
      <c r="A152" t="s">
        <v>888</v>
      </c>
      <c r="B152">
        <v>1</v>
      </c>
      <c r="C152" t="s">
        <v>19</v>
      </c>
      <c r="D152" t="s">
        <v>888</v>
      </c>
      <c r="E152" s="3">
        <v>5872.6419999999998</v>
      </c>
      <c r="F152" s="6">
        <f t="shared" si="26"/>
        <v>4.152441413388633E-3</v>
      </c>
      <c r="G152" s="3">
        <v>46064.281000000003</v>
      </c>
      <c r="H152" s="6">
        <f t="shared" si="27"/>
        <v>7.0004302677642181E-3</v>
      </c>
      <c r="I152" s="3">
        <v>-12684.887999999999</v>
      </c>
      <c r="J152" s="6">
        <f t="shared" si="28"/>
        <v>8.0171843382177196E-3</v>
      </c>
      <c r="K152" s="3">
        <v>-49210.929000000004</v>
      </c>
      <c r="L152" s="6">
        <f t="shared" si="29"/>
        <v>9.6265781734596462E-3</v>
      </c>
    </row>
    <row r="153" spans="1:12" x14ac:dyDescent="0.3">
      <c r="A153" t="s">
        <v>1035</v>
      </c>
      <c r="B153">
        <v>1</v>
      </c>
      <c r="C153" t="s">
        <v>717</v>
      </c>
      <c r="D153" t="s">
        <v>1035</v>
      </c>
      <c r="E153" s="3">
        <v>0</v>
      </c>
      <c r="F153" s="6">
        <f t="shared" si="26"/>
        <v>0</v>
      </c>
      <c r="G153" s="3">
        <v>183.98099999999999</v>
      </c>
      <c r="H153" s="6">
        <f t="shared" si="27"/>
        <v>2.7959758258107373E-5</v>
      </c>
      <c r="I153" s="3">
        <v>0</v>
      </c>
      <c r="J153" s="6">
        <f t="shared" si="28"/>
        <v>0</v>
      </c>
      <c r="K153" s="3">
        <v>183.98099999999999</v>
      </c>
      <c r="L153" s="6">
        <f t="shared" si="29"/>
        <v>-3.5990124854811805E-5</v>
      </c>
    </row>
    <row r="154" spans="1:12" x14ac:dyDescent="0.3">
      <c r="A154" t="s">
        <v>1036</v>
      </c>
      <c r="B154">
        <v>1</v>
      </c>
      <c r="C154" t="s">
        <v>717</v>
      </c>
      <c r="D154" t="s">
        <v>1036</v>
      </c>
      <c r="E154" s="3">
        <v>0</v>
      </c>
      <c r="F154" s="6">
        <f t="shared" si="26"/>
        <v>0</v>
      </c>
      <c r="G154" s="3">
        <v>-14.718999999999999</v>
      </c>
      <c r="H154" s="6">
        <f t="shared" si="27"/>
        <v>-2.2368596855168874E-6</v>
      </c>
      <c r="I154" s="3">
        <v>0</v>
      </c>
      <c r="J154" s="6">
        <f t="shared" si="28"/>
        <v>0</v>
      </c>
      <c r="K154" s="3">
        <v>-14.718999999999999</v>
      </c>
      <c r="L154" s="6">
        <f t="shared" si="29"/>
        <v>2.8793117101112341E-6</v>
      </c>
    </row>
    <row r="155" spans="1:12" x14ac:dyDescent="0.3">
      <c r="A155" t="s">
        <v>1037</v>
      </c>
      <c r="B155">
        <v>1</v>
      </c>
      <c r="C155" t="s">
        <v>717</v>
      </c>
      <c r="D155" t="s">
        <v>1037</v>
      </c>
      <c r="E155" s="3">
        <v>0</v>
      </c>
      <c r="F155" s="6">
        <f t="shared" si="26"/>
        <v>0</v>
      </c>
      <c r="G155" s="3">
        <v>-5.0540000000000003</v>
      </c>
      <c r="H155" s="6">
        <f t="shared" si="27"/>
        <v>-7.6806093149007055E-7</v>
      </c>
      <c r="I155" s="3">
        <v>0</v>
      </c>
      <c r="J155" s="6">
        <f t="shared" si="28"/>
        <v>0</v>
      </c>
      <c r="K155" s="3">
        <v>-5.0540000000000003</v>
      </c>
      <c r="L155" s="6">
        <f t="shared" si="29"/>
        <v>9.88656932053956E-7</v>
      </c>
    </row>
    <row r="156" spans="1:12" x14ac:dyDescent="0.3">
      <c r="A156" t="s">
        <v>1038</v>
      </c>
      <c r="B156">
        <v>1</v>
      </c>
      <c r="C156" t="s">
        <v>717</v>
      </c>
      <c r="D156" t="s">
        <v>1038</v>
      </c>
      <c r="E156" s="3">
        <v>117.86</v>
      </c>
      <c r="F156" s="6">
        <f t="shared" si="26"/>
        <v>8.3336723910972999E-5</v>
      </c>
      <c r="G156" s="3">
        <v>-53.36699999999999</v>
      </c>
      <c r="H156" s="6">
        <f t="shared" si="27"/>
        <v>-8.1102310508172899E-6</v>
      </c>
      <c r="I156" s="3">
        <v>0</v>
      </c>
      <c r="J156" s="6">
        <f t="shared" si="28"/>
        <v>0</v>
      </c>
      <c r="K156" s="3">
        <v>64.493000000000009</v>
      </c>
      <c r="L156" s="6">
        <f t="shared" si="29"/>
        <v>-1.2616037103077916E-5</v>
      </c>
    </row>
    <row r="157" spans="1:12" x14ac:dyDescent="0.3">
      <c r="A157" t="s">
        <v>891</v>
      </c>
      <c r="B157">
        <v>1</v>
      </c>
      <c r="C157" t="s">
        <v>717</v>
      </c>
      <c r="D157" t="s">
        <v>891</v>
      </c>
      <c r="E157" s="3">
        <v>0</v>
      </c>
      <c r="F157" s="6">
        <f t="shared" si="26"/>
        <v>0</v>
      </c>
      <c r="G157" s="3">
        <v>-9.718</v>
      </c>
      <c r="H157" s="6">
        <f t="shared" si="27"/>
        <v>-1.4768532117571242E-6</v>
      </c>
      <c r="I157" s="3">
        <v>0</v>
      </c>
      <c r="J157" s="6">
        <f t="shared" si="28"/>
        <v>0</v>
      </c>
      <c r="K157" s="3">
        <v>-9.718</v>
      </c>
      <c r="L157" s="6">
        <f t="shared" si="29"/>
        <v>1.9010225693906498E-6</v>
      </c>
    </row>
    <row r="158" spans="1:12" x14ac:dyDescent="0.3">
      <c r="A158" t="s">
        <v>892</v>
      </c>
      <c r="B158">
        <v>1</v>
      </c>
      <c r="C158" t="s">
        <v>717</v>
      </c>
      <c r="D158" t="s">
        <v>892</v>
      </c>
      <c r="E158" s="3">
        <v>1.367</v>
      </c>
      <c r="F158" s="6">
        <f t="shared" si="26"/>
        <v>9.6658155087646435E-7</v>
      </c>
      <c r="G158" s="3">
        <v>50.291000000000004</v>
      </c>
      <c r="H158" s="6">
        <f t="shared" si="27"/>
        <v>7.6427685606583176E-6</v>
      </c>
      <c r="I158" s="3">
        <v>0</v>
      </c>
      <c r="J158" s="6">
        <f t="shared" si="28"/>
        <v>0</v>
      </c>
      <c r="K158" s="3">
        <v>51.658000000000001</v>
      </c>
      <c r="L158" s="6">
        <f t="shared" si="29"/>
        <v>-1.0105271032062378E-5</v>
      </c>
    </row>
    <row r="159" spans="1:12" x14ac:dyDescent="0.3">
      <c r="A159" t="s">
        <v>893</v>
      </c>
      <c r="B159">
        <v>1</v>
      </c>
      <c r="C159" t="s">
        <v>717</v>
      </c>
      <c r="D159" t="s">
        <v>893</v>
      </c>
      <c r="E159" s="3">
        <v>8033.46</v>
      </c>
      <c r="F159" s="6">
        <f t="shared" si="26"/>
        <v>5.6803176486496278E-3</v>
      </c>
      <c r="G159" s="3">
        <v>47496.539000000004</v>
      </c>
      <c r="H159" s="6">
        <f t="shared" si="27"/>
        <v>7.2180918058754387E-3</v>
      </c>
      <c r="I159" s="3">
        <v>-0.01</v>
      </c>
      <c r="J159" s="6">
        <f t="shared" si="28"/>
        <v>6.3202641901274343E-9</v>
      </c>
      <c r="K159" s="3">
        <v>-27455.010999999995</v>
      </c>
      <c r="L159" s="6">
        <f t="shared" si="29"/>
        <v>5.3707136811965983E-3</v>
      </c>
    </row>
    <row r="160" spans="1:12" x14ac:dyDescent="0.3">
      <c r="A160" t="s">
        <v>894</v>
      </c>
      <c r="B160">
        <v>1</v>
      </c>
      <c r="C160" t="s">
        <v>18</v>
      </c>
      <c r="D160" t="s">
        <v>894</v>
      </c>
      <c r="E160" s="3">
        <v>7653.4960000000001</v>
      </c>
      <c r="F160" s="6">
        <f t="shared" si="26"/>
        <v>5.4116518166106922E-3</v>
      </c>
      <c r="G160" s="3">
        <v>22307.844999999998</v>
      </c>
      <c r="H160" s="6">
        <f t="shared" si="27"/>
        <v>3.390143294466979E-3</v>
      </c>
      <c r="I160" s="3">
        <v>-6243.2069999999994</v>
      </c>
      <c r="J160" s="6">
        <f t="shared" si="28"/>
        <v>3.945871763365293E-3</v>
      </c>
      <c r="K160" s="3">
        <v>-19046.54</v>
      </c>
      <c r="L160" s="6">
        <f t="shared" si="29"/>
        <v>3.7258594781644154E-3</v>
      </c>
    </row>
    <row r="161" spans="1:12" x14ac:dyDescent="0.3">
      <c r="A161" t="s">
        <v>895</v>
      </c>
      <c r="B161">
        <v>1</v>
      </c>
      <c r="C161" t="s">
        <v>18</v>
      </c>
      <c r="D161" t="s">
        <v>895</v>
      </c>
      <c r="E161" s="3">
        <v>11613.352000000001</v>
      </c>
      <c r="F161" s="6">
        <f t="shared" si="26"/>
        <v>8.2115960402591743E-3</v>
      </c>
      <c r="G161" s="3">
        <v>43266.657999999996</v>
      </c>
      <c r="H161" s="6">
        <f t="shared" si="27"/>
        <v>6.5752729809937299E-3</v>
      </c>
      <c r="I161" s="3">
        <v>-10612</v>
      </c>
      <c r="J161" s="6">
        <f t="shared" si="28"/>
        <v>6.7070643585632334E-3</v>
      </c>
      <c r="K161" s="3">
        <v>-37977.276000000013</v>
      </c>
      <c r="L161" s="6">
        <f t="shared" si="29"/>
        <v>7.4290655278841204E-3</v>
      </c>
    </row>
    <row r="162" spans="1:12" x14ac:dyDescent="0.3">
      <c r="A162" t="s">
        <v>896</v>
      </c>
      <c r="B162">
        <v>1</v>
      </c>
      <c r="C162" t="s">
        <v>22</v>
      </c>
      <c r="D162" t="s">
        <v>896</v>
      </c>
      <c r="E162" s="3">
        <v>3551.3829999999994</v>
      </c>
      <c r="F162" s="6">
        <f t="shared" si="26"/>
        <v>2.511120181343314E-3</v>
      </c>
      <c r="G162" s="3">
        <v>15009.564</v>
      </c>
      <c r="H162" s="6">
        <f t="shared" si="27"/>
        <v>2.2810169582706428E-3</v>
      </c>
      <c r="I162" s="3">
        <v>-4367.2250000000004</v>
      </c>
      <c r="J162" s="6">
        <f t="shared" si="28"/>
        <v>2.7602015777729288E-3</v>
      </c>
      <c r="K162" s="3">
        <v>-18549.021000000008</v>
      </c>
      <c r="L162" s="6">
        <f t="shared" si="29"/>
        <v>3.6285354559684232E-3</v>
      </c>
    </row>
    <row r="163" spans="1:12" x14ac:dyDescent="0.3">
      <c r="A163" t="s">
        <v>897</v>
      </c>
      <c r="B163">
        <v>1</v>
      </c>
      <c r="C163" t="s">
        <v>22</v>
      </c>
      <c r="D163" t="s">
        <v>897</v>
      </c>
      <c r="E163" s="3">
        <v>7815.8009999999995</v>
      </c>
      <c r="F163" s="6">
        <f t="shared" si="26"/>
        <v>5.5264148148659988E-3</v>
      </c>
      <c r="G163" s="3">
        <v>25118.36</v>
      </c>
      <c r="H163" s="6">
        <f t="shared" si="27"/>
        <v>3.8172597900876393E-3</v>
      </c>
      <c r="I163" s="3">
        <v>-7158.5749999999998</v>
      </c>
      <c r="J163" s="6">
        <f t="shared" si="28"/>
        <v>4.5244085224841494E-3</v>
      </c>
      <c r="K163" s="3">
        <v>-21560.177000000007</v>
      </c>
      <c r="L163" s="6">
        <f t="shared" si="29"/>
        <v>4.2175738914444543E-3</v>
      </c>
    </row>
    <row r="164" spans="1:12" x14ac:dyDescent="0.3">
      <c r="A164" t="s">
        <v>898</v>
      </c>
      <c r="B164">
        <v>1</v>
      </c>
      <c r="C164" t="s">
        <v>716</v>
      </c>
      <c r="D164" t="s">
        <v>898</v>
      </c>
      <c r="E164" s="3">
        <v>5709.4800000000005</v>
      </c>
      <c r="F164" s="6">
        <f t="shared" si="26"/>
        <v>4.0370724455729015E-3</v>
      </c>
      <c r="G164" s="3">
        <v>26872.552999999996</v>
      </c>
      <c r="H164" s="6">
        <f t="shared" si="27"/>
        <v>4.0838460800744535E-3</v>
      </c>
      <c r="I164" s="3">
        <v>-7339.3639999999996</v>
      </c>
      <c r="J164" s="6">
        <f t="shared" si="28"/>
        <v>4.6386719467510443E-3</v>
      </c>
      <c r="K164" s="3">
        <v>-26548.492000000013</v>
      </c>
      <c r="L164" s="6">
        <f t="shared" si="29"/>
        <v>5.1933816088996845E-3</v>
      </c>
    </row>
    <row r="165" spans="1:12" x14ac:dyDescent="0.3">
      <c r="A165" t="s">
        <v>899</v>
      </c>
      <c r="B165">
        <v>1</v>
      </c>
      <c r="C165" t="s">
        <v>22</v>
      </c>
      <c r="D165" t="s">
        <v>899</v>
      </c>
      <c r="E165" s="3">
        <v>5439.0690000000004</v>
      </c>
      <c r="F165" s="6">
        <f t="shared" si="26"/>
        <v>3.8458696044945872E-3</v>
      </c>
      <c r="G165" s="3">
        <v>32499.891</v>
      </c>
      <c r="H165" s="6">
        <f t="shared" si="27"/>
        <v>4.9390377037565811E-3</v>
      </c>
      <c r="I165" s="3">
        <v>-7932.3230000000003</v>
      </c>
      <c r="J165" s="6">
        <f t="shared" si="28"/>
        <v>5.0134377001424223E-3</v>
      </c>
      <c r="K165" s="3">
        <v>-28303.633000000005</v>
      </c>
      <c r="L165" s="6">
        <f t="shared" si="29"/>
        <v>5.5367200173646837E-3</v>
      </c>
    </row>
    <row r="166" spans="1:12" x14ac:dyDescent="0.3">
      <c r="A166" t="s">
        <v>900</v>
      </c>
      <c r="B166">
        <v>1</v>
      </c>
      <c r="C166" t="s">
        <v>22</v>
      </c>
      <c r="D166" t="s">
        <v>900</v>
      </c>
      <c r="E166" s="3">
        <v>16220.757</v>
      </c>
      <c r="F166" s="6">
        <f t="shared" si="26"/>
        <v>1.1469410722348403E-2</v>
      </c>
      <c r="G166" s="3">
        <v>56094.024999999994</v>
      </c>
      <c r="H166" s="6">
        <f t="shared" si="27"/>
        <v>8.5246594959492092E-3</v>
      </c>
      <c r="I166" s="3">
        <v>-13857.919</v>
      </c>
      <c r="J166" s="6">
        <f t="shared" si="28"/>
        <v>8.7585709205386577E-3</v>
      </c>
      <c r="K166" s="3">
        <v>-40488.466000000008</v>
      </c>
      <c r="L166" s="6">
        <f t="shared" si="29"/>
        <v>7.9203012621944825E-3</v>
      </c>
    </row>
    <row r="167" spans="1:12" x14ac:dyDescent="0.3">
      <c r="A167" t="s">
        <v>901</v>
      </c>
      <c r="B167">
        <v>1</v>
      </c>
      <c r="C167" t="s">
        <v>19</v>
      </c>
      <c r="D167" t="s">
        <v>901</v>
      </c>
      <c r="E167" s="3">
        <v>10647.372000000001</v>
      </c>
      <c r="F167" s="6">
        <f t="shared" si="26"/>
        <v>7.528568647050946E-3</v>
      </c>
      <c r="G167" s="3">
        <v>29966.565999999999</v>
      </c>
      <c r="H167" s="6">
        <f t="shared" si="27"/>
        <v>4.5540460220654284E-3</v>
      </c>
      <c r="I167" s="3">
        <v>-7123.3119999999999</v>
      </c>
      <c r="J167" s="6">
        <f t="shared" si="28"/>
        <v>4.5021213748705031E-3</v>
      </c>
      <c r="K167" s="3">
        <v>-14005.415000000003</v>
      </c>
      <c r="L167" s="6">
        <f t="shared" si="29"/>
        <v>2.7397211369296513E-3</v>
      </c>
    </row>
    <row r="168" spans="1:12" x14ac:dyDescent="0.3">
      <c r="A168" t="s">
        <v>902</v>
      </c>
      <c r="B168">
        <v>1</v>
      </c>
      <c r="C168" t="s">
        <v>291</v>
      </c>
      <c r="D168" t="s">
        <v>902</v>
      </c>
      <c r="E168" s="3">
        <v>11155.528</v>
      </c>
      <c r="F168" s="6">
        <f t="shared" si="26"/>
        <v>7.8878767776779986E-3</v>
      </c>
      <c r="G168" s="3">
        <v>67358.516000000003</v>
      </c>
      <c r="H168" s="6">
        <f t="shared" si="27"/>
        <v>1.0236534337702576E-2</v>
      </c>
      <c r="I168" s="3">
        <v>-16810.175999999999</v>
      </c>
      <c r="J168" s="6">
        <f t="shared" si="28"/>
        <v>1.0624475340253963E-2</v>
      </c>
      <c r="K168" s="3">
        <v>-50322.221999999987</v>
      </c>
      <c r="L168" s="6">
        <f t="shared" si="29"/>
        <v>9.843967870332029E-3</v>
      </c>
    </row>
    <row r="169" spans="1:12" x14ac:dyDescent="0.3">
      <c r="A169" t="s">
        <v>903</v>
      </c>
      <c r="B169">
        <v>1</v>
      </c>
      <c r="C169" t="s">
        <v>18</v>
      </c>
      <c r="D169" t="s">
        <v>903</v>
      </c>
      <c r="E169" s="3">
        <v>14047.84</v>
      </c>
      <c r="F169" s="6">
        <f t="shared" si="26"/>
        <v>9.9329794979257004E-3</v>
      </c>
      <c r="G169" s="3">
        <v>65579.53</v>
      </c>
      <c r="H169" s="6">
        <f t="shared" si="27"/>
        <v>9.9661802331778831E-3</v>
      </c>
      <c r="I169" s="3">
        <v>-17056.651000000002</v>
      </c>
      <c r="J169" s="6">
        <f t="shared" si="28"/>
        <v>1.078025405188013E-2</v>
      </c>
      <c r="K169" s="3">
        <v>-51709.114999999991</v>
      </c>
      <c r="L169" s="6">
        <f t="shared" si="29"/>
        <v>1.0115270082137947E-2</v>
      </c>
    </row>
    <row r="170" spans="1:12" x14ac:dyDescent="0.3">
      <c r="A170" t="s">
        <v>904</v>
      </c>
      <c r="B170">
        <v>1</v>
      </c>
      <c r="C170" t="s">
        <v>715</v>
      </c>
      <c r="D170" t="s">
        <v>904</v>
      </c>
      <c r="E170" s="3">
        <v>10405.618000000002</v>
      </c>
      <c r="F170" s="6">
        <f t="shared" si="26"/>
        <v>7.3576286644243278E-3</v>
      </c>
      <c r="G170" s="3">
        <v>65753.803</v>
      </c>
      <c r="H170" s="6">
        <f t="shared" si="27"/>
        <v>9.9926646579332392E-3</v>
      </c>
      <c r="I170" s="3">
        <v>-16774.365000000002</v>
      </c>
      <c r="J170" s="6">
        <f t="shared" si="28"/>
        <v>1.06018418421627E-2</v>
      </c>
      <c r="K170" s="3">
        <v>-52001.107000000018</v>
      </c>
      <c r="L170" s="6">
        <f t="shared" si="29"/>
        <v>1.0172389178874062E-2</v>
      </c>
    </row>
    <row r="171" spans="1:12" x14ac:dyDescent="0.3">
      <c r="A171" t="s">
        <v>905</v>
      </c>
      <c r="B171">
        <v>1</v>
      </c>
      <c r="C171" t="s">
        <v>715</v>
      </c>
      <c r="D171" t="s">
        <v>905</v>
      </c>
      <c r="E171" s="3">
        <v>4299.9949999999999</v>
      </c>
      <c r="F171" s="6">
        <f t="shared" si="26"/>
        <v>3.0404505017271708E-3</v>
      </c>
      <c r="G171" s="3">
        <v>37024.881000000001</v>
      </c>
      <c r="H171" s="6">
        <f t="shared" si="27"/>
        <v>5.6267045091351435E-3</v>
      </c>
      <c r="I171" s="3">
        <v>-3025.373</v>
      </c>
      <c r="J171" s="6">
        <f t="shared" si="28"/>
        <v>1.9121156633678407E-3</v>
      </c>
      <c r="K171" s="3">
        <v>10205.329999999998</v>
      </c>
      <c r="L171" s="6">
        <f t="shared" si="29"/>
        <v>-1.9963534326074787E-3</v>
      </c>
    </row>
    <row r="172" spans="1:12" x14ac:dyDescent="0.3">
      <c r="A172" t="s">
        <v>906</v>
      </c>
      <c r="B172">
        <v>1</v>
      </c>
      <c r="C172" t="s">
        <v>21</v>
      </c>
      <c r="D172" t="s">
        <v>906</v>
      </c>
      <c r="E172" s="3">
        <v>4214.1330000000007</v>
      </c>
      <c r="F172" s="6">
        <f t="shared" si="26"/>
        <v>2.9797389983465166E-3</v>
      </c>
      <c r="G172" s="3">
        <v>13153.955</v>
      </c>
      <c r="H172" s="6">
        <f t="shared" si="27"/>
        <v>1.9990183874314346E-3</v>
      </c>
      <c r="I172" s="3">
        <v>-3175.614</v>
      </c>
      <c r="J172" s="6">
        <f t="shared" si="28"/>
        <v>2.0070719445867344E-3</v>
      </c>
      <c r="K172" s="3">
        <v>-11823.951999999999</v>
      </c>
      <c r="L172" s="6">
        <f t="shared" si="29"/>
        <v>2.3129861711660539E-3</v>
      </c>
    </row>
    <row r="173" spans="1:12" x14ac:dyDescent="0.3">
      <c r="A173" t="s">
        <v>907</v>
      </c>
      <c r="B173">
        <v>1</v>
      </c>
      <c r="C173" t="s">
        <v>716</v>
      </c>
      <c r="D173" t="s">
        <v>907</v>
      </c>
      <c r="E173" s="3">
        <v>7897.0460000000003</v>
      </c>
      <c r="F173" s="6">
        <f t="shared" si="26"/>
        <v>5.5838617191095686E-3</v>
      </c>
      <c r="G173" s="3">
        <v>56959.794999999998</v>
      </c>
      <c r="H173" s="6">
        <f t="shared" si="27"/>
        <v>8.6562313425372888E-3</v>
      </c>
      <c r="I173" s="3">
        <v>-14903.727000000001</v>
      </c>
      <c r="J173" s="6">
        <f t="shared" si="28"/>
        <v>9.4195492057535385E-3</v>
      </c>
      <c r="K173" s="3">
        <v>-45565.65800000001</v>
      </c>
      <c r="L173" s="6">
        <f t="shared" si="29"/>
        <v>8.9134949832409584E-3</v>
      </c>
    </row>
    <row r="174" spans="1:12" x14ac:dyDescent="0.3">
      <c r="A174" t="s">
        <v>908</v>
      </c>
      <c r="B174">
        <v>1</v>
      </c>
      <c r="C174" t="s">
        <v>715</v>
      </c>
      <c r="D174" t="s">
        <v>908</v>
      </c>
      <c r="E174" s="3">
        <v>8260.51</v>
      </c>
      <c r="F174" s="6">
        <f t="shared" si="26"/>
        <v>5.8408606926339014E-3</v>
      </c>
      <c r="G174" s="3">
        <v>41939.822</v>
      </c>
      <c r="H174" s="6">
        <f t="shared" si="27"/>
        <v>6.3736325191625946E-3</v>
      </c>
      <c r="I174" s="3">
        <v>-12626.387999999999</v>
      </c>
      <c r="J174" s="6">
        <f t="shared" si="28"/>
        <v>7.9802107927054756E-3</v>
      </c>
      <c r="K174" s="3">
        <v>-51208.5</v>
      </c>
      <c r="L174" s="6">
        <f t="shared" si="29"/>
        <v>1.0017340424433124E-2</v>
      </c>
    </row>
    <row r="175" spans="1:12" x14ac:dyDescent="0.3">
      <c r="A175" t="s">
        <v>909</v>
      </c>
      <c r="B175">
        <v>1</v>
      </c>
      <c r="C175" t="s">
        <v>715</v>
      </c>
      <c r="D175" t="s">
        <v>909</v>
      </c>
      <c r="E175" s="3">
        <v>10072.91</v>
      </c>
      <c r="F175" s="6">
        <f t="shared" ref="F175:F204" si="30">E175/E$235</f>
        <v>7.1223767151712119E-3</v>
      </c>
      <c r="G175" s="3">
        <v>27928.405999999999</v>
      </c>
      <c r="H175" s="6">
        <f t="shared" ref="H175:H204" si="31">G175/G$235</f>
        <v>4.2443050113559304E-3</v>
      </c>
      <c r="I175" s="3">
        <v>-8838.768</v>
      </c>
      <c r="J175" s="6">
        <f t="shared" ref="J175:J204" si="32">I175/I$235</f>
        <v>5.5863348875244282E-3</v>
      </c>
      <c r="K175" s="3">
        <v>-31215.39599999999</v>
      </c>
      <c r="L175" s="6">
        <f t="shared" ref="L175:L204" si="33">K175/K$235</f>
        <v>6.1063153229539606E-3</v>
      </c>
    </row>
    <row r="176" spans="1:12" x14ac:dyDescent="0.3">
      <c r="A176" t="s">
        <v>910</v>
      </c>
      <c r="B176">
        <v>1</v>
      </c>
      <c r="C176" t="s">
        <v>715</v>
      </c>
      <c r="D176" t="s">
        <v>910</v>
      </c>
      <c r="E176" s="3">
        <v>8244.9510000000009</v>
      </c>
      <c r="F176" s="6">
        <f t="shared" si="30"/>
        <v>5.8298591985957984E-3</v>
      </c>
      <c r="G176" s="3">
        <v>34403.311999999998</v>
      </c>
      <c r="H176" s="6">
        <f t="shared" si="31"/>
        <v>5.2283023072939297E-3</v>
      </c>
      <c r="I176" s="3">
        <v>-9862.6170000000002</v>
      </c>
      <c r="J176" s="6">
        <f t="shared" si="32"/>
        <v>6.2334345046042069E-3</v>
      </c>
      <c r="K176" s="3">
        <v>-40271.286000000015</v>
      </c>
      <c r="L176" s="6">
        <f t="shared" si="33"/>
        <v>7.8778167919721885E-3</v>
      </c>
    </row>
    <row r="177" spans="1:12" x14ac:dyDescent="0.3">
      <c r="A177" t="s">
        <v>911</v>
      </c>
      <c r="B177">
        <v>1</v>
      </c>
      <c r="C177" t="s">
        <v>21</v>
      </c>
      <c r="D177" t="s">
        <v>911</v>
      </c>
      <c r="E177" s="3">
        <v>5275.4529999999995</v>
      </c>
      <c r="F177" s="6">
        <f t="shared" si="30"/>
        <v>3.7301796212991195E-3</v>
      </c>
      <c r="G177" s="3">
        <v>17832.716</v>
      </c>
      <c r="H177" s="6">
        <f t="shared" si="31"/>
        <v>2.7100539101618292E-3</v>
      </c>
      <c r="I177" s="3">
        <v>0</v>
      </c>
      <c r="J177" s="6">
        <f t="shared" si="32"/>
        <v>0</v>
      </c>
      <c r="K177" s="3">
        <v>-15873.82</v>
      </c>
      <c r="L177" s="6">
        <f t="shared" si="33"/>
        <v>3.1052161023301795E-3</v>
      </c>
    </row>
    <row r="178" spans="1:12" x14ac:dyDescent="0.3">
      <c r="A178" t="s">
        <v>912</v>
      </c>
      <c r="B178">
        <v>1</v>
      </c>
      <c r="C178" t="s">
        <v>22</v>
      </c>
      <c r="D178" t="s">
        <v>912</v>
      </c>
      <c r="E178" s="3">
        <v>4035.6390000000001</v>
      </c>
      <c r="F178" s="6">
        <f t="shared" si="30"/>
        <v>2.8535290441825487E-3</v>
      </c>
      <c r="G178" s="3">
        <v>24777.492999999995</v>
      </c>
      <c r="H178" s="6">
        <f t="shared" si="31"/>
        <v>3.7654579251224177E-3</v>
      </c>
      <c r="I178" s="3">
        <v>-0.02</v>
      </c>
      <c r="J178" s="6">
        <f t="shared" si="32"/>
        <v>1.2640528380254869E-8</v>
      </c>
      <c r="K178" s="3">
        <v>-18744.608000000007</v>
      </c>
      <c r="L178" s="6">
        <f t="shared" si="33"/>
        <v>3.6667959315065386E-3</v>
      </c>
    </row>
    <row r="179" spans="1:12" x14ac:dyDescent="0.3">
      <c r="A179" t="s">
        <v>913</v>
      </c>
      <c r="B179">
        <v>1</v>
      </c>
      <c r="C179" t="s">
        <v>18</v>
      </c>
      <c r="D179" t="s">
        <v>913</v>
      </c>
      <c r="E179" s="3">
        <v>4939.1290000000008</v>
      </c>
      <c r="F179" s="6">
        <f t="shared" si="30"/>
        <v>3.492370862325473E-3</v>
      </c>
      <c r="G179" s="3">
        <v>16655.7</v>
      </c>
      <c r="H179" s="6">
        <f t="shared" si="31"/>
        <v>2.5311817286543664E-3</v>
      </c>
      <c r="I179" s="3">
        <v>-4397.0119999999997</v>
      </c>
      <c r="J179" s="6">
        <f t="shared" si="32"/>
        <v>2.7790277487160608E-3</v>
      </c>
      <c r="K179" s="3">
        <v>-13653.199999999993</v>
      </c>
      <c r="L179" s="6">
        <f t="shared" si="33"/>
        <v>2.6708212949582638E-3</v>
      </c>
    </row>
    <row r="180" spans="1:12" x14ac:dyDescent="0.3">
      <c r="A180" t="s">
        <v>914</v>
      </c>
      <c r="B180">
        <v>1</v>
      </c>
      <c r="C180" t="s">
        <v>18</v>
      </c>
      <c r="D180" t="s">
        <v>914</v>
      </c>
      <c r="E180" s="3">
        <v>5555.7709999999988</v>
      </c>
      <c r="F180" s="6">
        <f t="shared" si="30"/>
        <v>3.9283875270625344E-3</v>
      </c>
      <c r="G180" s="3">
        <v>17863.361000000001</v>
      </c>
      <c r="H180" s="6">
        <f t="shared" si="31"/>
        <v>2.7147110584098532E-3</v>
      </c>
      <c r="I180" s="3">
        <v>-4628.7700000000004</v>
      </c>
      <c r="J180" s="6">
        <f t="shared" si="32"/>
        <v>2.9255049275336165E-3</v>
      </c>
      <c r="K180" s="3">
        <v>-14912.302</v>
      </c>
      <c r="L180" s="6">
        <f t="shared" si="33"/>
        <v>2.9171251969097884E-3</v>
      </c>
    </row>
    <row r="181" spans="1:12" x14ac:dyDescent="0.3">
      <c r="A181" t="s">
        <v>915</v>
      </c>
      <c r="B181">
        <v>1</v>
      </c>
      <c r="C181" t="s">
        <v>21</v>
      </c>
      <c r="D181" t="s">
        <v>915</v>
      </c>
      <c r="E181" s="3">
        <v>3190.9029999999998</v>
      </c>
      <c r="F181" s="6">
        <f t="shared" si="30"/>
        <v>2.2562311415042888E-3</v>
      </c>
      <c r="G181" s="3">
        <v>15004.637000000001</v>
      </c>
      <c r="H181" s="6">
        <f t="shared" si="31"/>
        <v>2.2802681976435255E-3</v>
      </c>
      <c r="I181" s="3">
        <v>-3462.7640000000001</v>
      </c>
      <c r="J181" s="6">
        <f t="shared" si="32"/>
        <v>2.1885583308062437E-3</v>
      </c>
      <c r="K181" s="3">
        <v>-9236.7860000000001</v>
      </c>
      <c r="L181" s="6">
        <f t="shared" si="33"/>
        <v>1.8068881101699508E-3</v>
      </c>
    </row>
    <row r="182" spans="1:12" x14ac:dyDescent="0.3">
      <c r="A182" t="s">
        <v>916</v>
      </c>
      <c r="B182">
        <v>1</v>
      </c>
      <c r="C182" t="s">
        <v>19</v>
      </c>
      <c r="D182" t="s">
        <v>916</v>
      </c>
      <c r="E182" s="3">
        <v>13581.793</v>
      </c>
      <c r="F182" s="6">
        <f t="shared" si="30"/>
        <v>9.6034458973102473E-3</v>
      </c>
      <c r="G182" s="3">
        <v>55777.715000000004</v>
      </c>
      <c r="H182" s="6">
        <f t="shared" si="31"/>
        <v>8.4765895803893317E-3</v>
      </c>
      <c r="I182" s="3">
        <v>-14853.908000000001</v>
      </c>
      <c r="J182" s="6">
        <f t="shared" si="32"/>
        <v>9.3880622815847425E-3</v>
      </c>
      <c r="K182" s="3">
        <v>-47058.914000000026</v>
      </c>
      <c r="L182" s="6">
        <f t="shared" si="33"/>
        <v>9.2056037873033212E-3</v>
      </c>
    </row>
    <row r="183" spans="1:12" x14ac:dyDescent="0.3">
      <c r="A183" t="s">
        <v>917</v>
      </c>
      <c r="B183">
        <v>1</v>
      </c>
      <c r="C183" t="s">
        <v>20</v>
      </c>
      <c r="D183" t="s">
        <v>917</v>
      </c>
      <c r="E183" s="3">
        <v>5370.9679999999989</v>
      </c>
      <c r="F183" s="6">
        <f t="shared" si="30"/>
        <v>3.7977165904519833E-3</v>
      </c>
      <c r="G183" s="3">
        <v>42070.286</v>
      </c>
      <c r="H183" s="6">
        <f t="shared" si="31"/>
        <v>6.393459250734799E-3</v>
      </c>
      <c r="I183" s="3">
        <v>-10177.744000000001</v>
      </c>
      <c r="J183" s="6">
        <f t="shared" si="32"/>
        <v>6.4326030939484361E-3</v>
      </c>
      <c r="K183" s="3">
        <v>-34901.179999999986</v>
      </c>
      <c r="L183" s="6">
        <f t="shared" si="33"/>
        <v>6.8273236137441377E-3</v>
      </c>
    </row>
    <row r="184" spans="1:12" x14ac:dyDescent="0.3">
      <c r="A184" t="s">
        <v>1039</v>
      </c>
      <c r="B184">
        <v>1</v>
      </c>
      <c r="C184" t="s">
        <v>21</v>
      </c>
      <c r="D184" t="s">
        <v>1039</v>
      </c>
      <c r="E184" s="3">
        <v>315.95</v>
      </c>
      <c r="F184" s="6">
        <f t="shared" si="30"/>
        <v>2.2340266349628305E-4</v>
      </c>
      <c r="G184" s="3">
        <v>0</v>
      </c>
      <c r="H184" s="6">
        <f t="shared" si="31"/>
        <v>0</v>
      </c>
      <c r="I184" s="3">
        <v>0</v>
      </c>
      <c r="J184" s="6">
        <f t="shared" si="32"/>
        <v>0</v>
      </c>
      <c r="K184" s="3">
        <v>315.95</v>
      </c>
      <c r="L184" s="6">
        <f t="shared" si="33"/>
        <v>-6.1805729656202492E-5</v>
      </c>
    </row>
    <row r="185" spans="1:12" x14ac:dyDescent="0.3">
      <c r="A185" t="s">
        <v>918</v>
      </c>
      <c r="B185">
        <v>1</v>
      </c>
      <c r="C185" t="s">
        <v>291</v>
      </c>
      <c r="D185" t="s">
        <v>918</v>
      </c>
      <c r="E185" s="3">
        <v>5152.9820000000009</v>
      </c>
      <c r="F185" s="6">
        <f t="shared" si="30"/>
        <v>3.6435825407450666E-3</v>
      </c>
      <c r="G185" s="3">
        <v>19762.802999999996</v>
      </c>
      <c r="H185" s="6">
        <f t="shared" si="31"/>
        <v>3.0033709697338262E-3</v>
      </c>
      <c r="I185" s="3">
        <v>-4817.5659999999998</v>
      </c>
      <c r="J185" s="6">
        <f t="shared" si="32"/>
        <v>3.0448289873375462E-3</v>
      </c>
      <c r="K185" s="3">
        <v>-14368.445000000007</v>
      </c>
      <c r="L185" s="6">
        <f t="shared" si="33"/>
        <v>2.8107365951891591E-3</v>
      </c>
    </row>
    <row r="186" spans="1:12" x14ac:dyDescent="0.3">
      <c r="A186" t="s">
        <v>919</v>
      </c>
      <c r="B186">
        <v>1</v>
      </c>
      <c r="C186" t="s">
        <v>716</v>
      </c>
      <c r="D186" t="s">
        <v>919</v>
      </c>
      <c r="E186" s="3">
        <v>4271.6380000000008</v>
      </c>
      <c r="F186" s="6">
        <f t="shared" si="30"/>
        <v>3.020399767975742E-3</v>
      </c>
      <c r="G186" s="3">
        <v>11268.906000000001</v>
      </c>
      <c r="H186" s="6">
        <f t="shared" si="31"/>
        <v>1.7125457932793916E-3</v>
      </c>
      <c r="I186" s="3">
        <v>-2642.5990000000002</v>
      </c>
      <c r="J186" s="6">
        <f t="shared" si="32"/>
        <v>1.6701923828566568E-3</v>
      </c>
      <c r="K186" s="3">
        <v>-4875.1829999999991</v>
      </c>
      <c r="L186" s="6">
        <f t="shared" si="33"/>
        <v>9.5367698218868226E-4</v>
      </c>
    </row>
    <row r="187" spans="1:12" x14ac:dyDescent="0.3">
      <c r="A187" t="s">
        <v>920</v>
      </c>
      <c r="B187">
        <v>1</v>
      </c>
      <c r="C187" t="s">
        <v>19</v>
      </c>
      <c r="D187" t="s">
        <v>920</v>
      </c>
      <c r="E187" s="3">
        <v>4427.3240000000005</v>
      </c>
      <c r="F187" s="6">
        <f t="shared" si="30"/>
        <v>3.1304825882608575E-3</v>
      </c>
      <c r="G187" s="3">
        <v>32173.156999999996</v>
      </c>
      <c r="H187" s="6">
        <f t="shared" si="31"/>
        <v>4.8893836435291412E-3</v>
      </c>
      <c r="I187" s="3">
        <v>0</v>
      </c>
      <c r="J187" s="6">
        <f t="shared" si="32"/>
        <v>0</v>
      </c>
      <c r="K187" s="3">
        <v>-24335.156000000003</v>
      </c>
      <c r="L187" s="6">
        <f t="shared" si="33"/>
        <v>4.7604116881706411E-3</v>
      </c>
    </row>
    <row r="188" spans="1:12" x14ac:dyDescent="0.3">
      <c r="A188" t="s">
        <v>921</v>
      </c>
      <c r="B188">
        <v>1</v>
      </c>
      <c r="C188" t="s">
        <v>23</v>
      </c>
      <c r="D188" t="s">
        <v>921</v>
      </c>
      <c r="E188" s="3">
        <v>7764.4539999999997</v>
      </c>
      <c r="F188" s="6">
        <f t="shared" si="30"/>
        <v>5.4901082582508908E-3</v>
      </c>
      <c r="G188" s="3">
        <v>41009.258999999998</v>
      </c>
      <c r="H188" s="6">
        <f t="shared" si="31"/>
        <v>6.232214022013763E-3</v>
      </c>
      <c r="I188" s="3">
        <v>-10711.517</v>
      </c>
      <c r="J188" s="6">
        <f t="shared" si="32"/>
        <v>6.7699617317041241E-3</v>
      </c>
      <c r="K188" s="3">
        <v>-35625.837</v>
      </c>
      <c r="L188" s="6">
        <f t="shared" si="33"/>
        <v>6.9690800772208763E-3</v>
      </c>
    </row>
    <row r="189" spans="1:12" x14ac:dyDescent="0.3">
      <c r="A189" t="s">
        <v>922</v>
      </c>
      <c r="B189">
        <v>1</v>
      </c>
      <c r="C189" t="s">
        <v>23</v>
      </c>
      <c r="D189" t="s">
        <v>922</v>
      </c>
      <c r="E189" s="3">
        <v>8847.6959999999999</v>
      </c>
      <c r="F189" s="6">
        <f t="shared" si="30"/>
        <v>6.2560495401342286E-3</v>
      </c>
      <c r="G189" s="3">
        <v>27366.421999999999</v>
      </c>
      <c r="H189" s="6">
        <f t="shared" si="31"/>
        <v>4.1588997967689665E-3</v>
      </c>
      <c r="I189" s="3">
        <v>-7559.5240000000003</v>
      </c>
      <c r="J189" s="6">
        <f t="shared" si="32"/>
        <v>4.7778188831608904E-3</v>
      </c>
      <c r="K189" s="3">
        <v>-21671.026000000002</v>
      </c>
      <c r="L189" s="6">
        <f t="shared" si="33"/>
        <v>4.2392580292088472E-3</v>
      </c>
    </row>
    <row r="190" spans="1:12" x14ac:dyDescent="0.3">
      <c r="A190" t="s">
        <v>923</v>
      </c>
      <c r="B190">
        <v>1</v>
      </c>
      <c r="C190" t="s">
        <v>20</v>
      </c>
      <c r="D190" t="s">
        <v>923</v>
      </c>
      <c r="E190" s="3">
        <v>8392.358000000002</v>
      </c>
      <c r="F190" s="6">
        <f t="shared" si="30"/>
        <v>5.9340880842359217E-3</v>
      </c>
      <c r="G190" s="3">
        <v>50267.971000000005</v>
      </c>
      <c r="H190" s="6">
        <f t="shared" si="31"/>
        <v>7.6392688227890498E-3</v>
      </c>
      <c r="I190" s="3">
        <v>-12965.052</v>
      </c>
      <c r="J190" s="6">
        <f t="shared" si="32"/>
        <v>8.1942553878740065E-3</v>
      </c>
      <c r="K190" s="3">
        <v>-45903.126000000004</v>
      </c>
      <c r="L190" s="6">
        <f t="shared" si="33"/>
        <v>8.9795100361785094E-3</v>
      </c>
    </row>
    <row r="191" spans="1:12" x14ac:dyDescent="0.3">
      <c r="A191" t="s">
        <v>924</v>
      </c>
      <c r="B191">
        <v>1</v>
      </c>
      <c r="C191" t="s">
        <v>291</v>
      </c>
      <c r="D191" t="s">
        <v>924</v>
      </c>
      <c r="E191" s="3">
        <v>5010.7839999999987</v>
      </c>
      <c r="F191" s="6">
        <f t="shared" si="30"/>
        <v>3.5430368469838861E-3</v>
      </c>
      <c r="G191" s="3">
        <v>20726.248000000003</v>
      </c>
      <c r="H191" s="6">
        <f t="shared" si="31"/>
        <v>3.1497865740352619E-3</v>
      </c>
      <c r="I191" s="3">
        <v>-4928.4160000000002</v>
      </c>
      <c r="J191" s="6">
        <f t="shared" si="32"/>
        <v>3.1148891158851093E-3</v>
      </c>
      <c r="K191" s="3">
        <v>-15488.804999999986</v>
      </c>
      <c r="L191" s="6">
        <f t="shared" si="33"/>
        <v>3.0298999668543648E-3</v>
      </c>
    </row>
    <row r="192" spans="1:12" x14ac:dyDescent="0.3">
      <c r="A192" t="s">
        <v>925</v>
      </c>
      <c r="B192">
        <v>1</v>
      </c>
      <c r="C192" t="s">
        <v>292</v>
      </c>
      <c r="D192" t="s">
        <v>925</v>
      </c>
      <c r="E192" s="3">
        <v>4185.777</v>
      </c>
      <c r="F192" s="6">
        <f t="shared" si="30"/>
        <v>2.9596889716774211E-3</v>
      </c>
      <c r="G192" s="3">
        <v>16181.528</v>
      </c>
      <c r="H192" s="6">
        <f t="shared" si="31"/>
        <v>2.4591213827884167E-3</v>
      </c>
      <c r="I192" s="3">
        <v>-4035.69</v>
      </c>
      <c r="J192" s="6">
        <f t="shared" si="32"/>
        <v>2.5506626989455386E-3</v>
      </c>
      <c r="K192" s="3">
        <v>-12643.019999999999</v>
      </c>
      <c r="L192" s="6">
        <f t="shared" si="33"/>
        <v>2.4732111921442037E-3</v>
      </c>
    </row>
    <row r="193" spans="1:12" x14ac:dyDescent="0.3">
      <c r="A193" t="s">
        <v>926</v>
      </c>
      <c r="B193">
        <v>1</v>
      </c>
      <c r="C193" t="s">
        <v>21</v>
      </c>
      <c r="D193" t="s">
        <v>926</v>
      </c>
      <c r="E193" s="3">
        <v>3993.56</v>
      </c>
      <c r="F193" s="6">
        <f t="shared" si="30"/>
        <v>2.823775726640975E-3</v>
      </c>
      <c r="G193" s="3">
        <v>12278.176000000001</v>
      </c>
      <c r="H193" s="6">
        <f t="shared" si="31"/>
        <v>1.865925464099531E-3</v>
      </c>
      <c r="I193" s="3">
        <v>-3285.6309999999999</v>
      </c>
      <c r="J193" s="6">
        <f t="shared" si="32"/>
        <v>2.0766055951272591E-3</v>
      </c>
      <c r="K193" s="3">
        <v>-10971.124999999998</v>
      </c>
      <c r="L193" s="6">
        <f t="shared" si="33"/>
        <v>2.146157258345955E-3</v>
      </c>
    </row>
    <row r="194" spans="1:12" x14ac:dyDescent="0.3">
      <c r="A194" t="s">
        <v>927</v>
      </c>
      <c r="B194">
        <v>1</v>
      </c>
      <c r="C194" t="s">
        <v>21</v>
      </c>
      <c r="D194" t="s">
        <v>927</v>
      </c>
      <c r="E194" s="3">
        <v>4197.6630000000005</v>
      </c>
      <c r="F194" s="6">
        <f t="shared" si="30"/>
        <v>2.9680933523019404E-3</v>
      </c>
      <c r="G194" s="3">
        <v>29358.592000000004</v>
      </c>
      <c r="H194" s="6">
        <f t="shared" si="31"/>
        <v>4.4616516657611663E-3</v>
      </c>
      <c r="I194" s="3">
        <v>-5214.3990000000003</v>
      </c>
      <c r="J194" s="6">
        <f t="shared" si="32"/>
        <v>3.2956379272736304E-3</v>
      </c>
      <c r="K194" s="3">
        <v>-7832.3179999999948</v>
      </c>
      <c r="L194" s="6">
        <f t="shared" si="33"/>
        <v>1.5321478996341454E-3</v>
      </c>
    </row>
    <row r="195" spans="1:12" x14ac:dyDescent="0.3">
      <c r="A195" t="s">
        <v>928</v>
      </c>
      <c r="B195">
        <v>1</v>
      </c>
      <c r="C195" t="s">
        <v>19</v>
      </c>
      <c r="D195" t="s">
        <v>928</v>
      </c>
      <c r="E195" s="3">
        <v>4828.1850000000004</v>
      </c>
      <c r="F195" s="6">
        <f t="shared" si="30"/>
        <v>3.4139243198379535E-3</v>
      </c>
      <c r="G195" s="3">
        <v>21095.880999999998</v>
      </c>
      <c r="H195" s="6">
        <f t="shared" si="31"/>
        <v>3.2059600339263312E-3</v>
      </c>
      <c r="I195" s="3">
        <v>-4220.2449999999999</v>
      </c>
      <c r="J195" s="6">
        <f t="shared" si="32"/>
        <v>2.6673063347064352E-3</v>
      </c>
      <c r="K195" s="3">
        <v>-13577.217999999997</v>
      </c>
      <c r="L195" s="6">
        <f t="shared" si="33"/>
        <v>2.6559577945602978E-3</v>
      </c>
    </row>
    <row r="196" spans="1:12" x14ac:dyDescent="0.3">
      <c r="A196" t="s">
        <v>929</v>
      </c>
      <c r="B196">
        <v>1</v>
      </c>
      <c r="C196" t="s">
        <v>19</v>
      </c>
      <c r="D196" t="s">
        <v>929</v>
      </c>
      <c r="E196" s="3">
        <v>4002.7149999999997</v>
      </c>
      <c r="F196" s="6">
        <f t="shared" si="30"/>
        <v>2.8302490654107441E-3</v>
      </c>
      <c r="G196" s="3">
        <v>27731.592000000001</v>
      </c>
      <c r="H196" s="6">
        <f t="shared" si="31"/>
        <v>4.2143950105307856E-3</v>
      </c>
      <c r="I196" s="3">
        <v>-5923.23</v>
      </c>
      <c r="J196" s="6">
        <f t="shared" si="32"/>
        <v>3.7436378458888522E-3</v>
      </c>
      <c r="K196" s="3">
        <v>-22468.919000000005</v>
      </c>
      <c r="L196" s="6">
        <f t="shared" si="33"/>
        <v>4.3953408241212593E-3</v>
      </c>
    </row>
    <row r="197" spans="1:12" x14ac:dyDescent="0.3">
      <c r="A197" t="s">
        <v>930</v>
      </c>
      <c r="B197">
        <v>1</v>
      </c>
      <c r="C197" t="s">
        <v>716</v>
      </c>
      <c r="D197" t="s">
        <v>930</v>
      </c>
      <c r="E197" s="3">
        <v>5636.2979999999989</v>
      </c>
      <c r="F197" s="6">
        <f t="shared" si="30"/>
        <v>3.985326746190134E-3</v>
      </c>
      <c r="G197" s="3">
        <v>28740.658000000003</v>
      </c>
      <c r="H197" s="6">
        <f t="shared" si="31"/>
        <v>4.3677436792872084E-3</v>
      </c>
      <c r="I197" s="3">
        <v>-8294.2829999999994</v>
      </c>
      <c r="J197" s="6">
        <f t="shared" si="32"/>
        <v>5.2422059827682745E-3</v>
      </c>
      <c r="K197" s="3">
        <v>-31501.847999999994</v>
      </c>
      <c r="L197" s="6">
        <f t="shared" si="33"/>
        <v>6.1623506920676779E-3</v>
      </c>
    </row>
    <row r="198" spans="1:12" x14ac:dyDescent="0.3">
      <c r="A198" t="s">
        <v>931</v>
      </c>
      <c r="B198">
        <v>1</v>
      </c>
      <c r="C198" t="s">
        <v>18</v>
      </c>
      <c r="D198" t="s">
        <v>931</v>
      </c>
      <c r="E198" s="3">
        <v>8151.6309999999994</v>
      </c>
      <c r="F198" s="6">
        <f t="shared" si="30"/>
        <v>5.7638742751665428E-3</v>
      </c>
      <c r="G198" s="3">
        <v>72739.899000000005</v>
      </c>
      <c r="H198" s="6">
        <f t="shared" si="31"/>
        <v>1.1054347958534558E-2</v>
      </c>
      <c r="I198" s="3">
        <v>-16595.921999999999</v>
      </c>
      <c r="J198" s="6">
        <f t="shared" si="32"/>
        <v>1.0489061151874805E-2</v>
      </c>
      <c r="K198" s="3">
        <v>-53386.457000000017</v>
      </c>
      <c r="L198" s="6">
        <f t="shared" si="33"/>
        <v>1.0443389551019085E-2</v>
      </c>
    </row>
    <row r="199" spans="1:12" x14ac:dyDescent="0.3">
      <c r="A199" t="s">
        <v>932</v>
      </c>
      <c r="B199">
        <v>1</v>
      </c>
      <c r="C199" t="s">
        <v>716</v>
      </c>
      <c r="D199" t="s">
        <v>932</v>
      </c>
      <c r="E199" s="3">
        <v>4356.9269999999988</v>
      </c>
      <c r="F199" s="6">
        <f t="shared" si="30"/>
        <v>3.080706113178888E-3</v>
      </c>
      <c r="G199" s="3">
        <v>33923.412999999993</v>
      </c>
      <c r="H199" s="6">
        <f t="shared" si="31"/>
        <v>5.1553716240804043E-3</v>
      </c>
      <c r="I199" s="3">
        <v>-8763.1710000000003</v>
      </c>
      <c r="J199" s="6">
        <f t="shared" si="32"/>
        <v>5.5385555863263223E-3</v>
      </c>
      <c r="K199" s="3">
        <v>-30749.218000000023</v>
      </c>
      <c r="L199" s="6">
        <f t="shared" si="33"/>
        <v>6.0151221865726752E-3</v>
      </c>
    </row>
    <row r="200" spans="1:12" x14ac:dyDescent="0.3">
      <c r="A200" t="s">
        <v>933</v>
      </c>
      <c r="B200">
        <v>1</v>
      </c>
      <c r="C200" t="s">
        <v>23</v>
      </c>
      <c r="D200" t="s">
        <v>933</v>
      </c>
      <c r="E200" s="3">
        <v>5406.6040000000003</v>
      </c>
      <c r="F200" s="6">
        <f t="shared" si="30"/>
        <v>3.8229141765141889E-3</v>
      </c>
      <c r="G200" s="3">
        <v>16191.048000000001</v>
      </c>
      <c r="H200" s="6">
        <f t="shared" si="31"/>
        <v>2.4605681457618607E-3</v>
      </c>
      <c r="I200" s="3">
        <v>-4210.0469999999996</v>
      </c>
      <c r="J200" s="6">
        <f t="shared" si="32"/>
        <v>2.6608609292853433E-3</v>
      </c>
      <c r="K200" s="3">
        <v>-11827.721999999998</v>
      </c>
      <c r="L200" s="6">
        <f t="shared" si="33"/>
        <v>2.3137236536816537E-3</v>
      </c>
    </row>
    <row r="201" spans="1:12" x14ac:dyDescent="0.3">
      <c r="A201" t="s">
        <v>934</v>
      </c>
      <c r="B201">
        <v>1</v>
      </c>
      <c r="C201" t="s">
        <v>18</v>
      </c>
      <c r="D201" t="s">
        <v>934</v>
      </c>
      <c r="E201" s="3">
        <v>3469.4740000000006</v>
      </c>
      <c r="F201" s="6">
        <f t="shared" si="30"/>
        <v>2.4532037744298251E-3</v>
      </c>
      <c r="G201" s="3">
        <v>19610.861999999997</v>
      </c>
      <c r="H201" s="6">
        <f t="shared" si="31"/>
        <v>2.9802803591300409E-3</v>
      </c>
      <c r="I201" s="3">
        <v>-5271.4920000000002</v>
      </c>
      <c r="J201" s="6">
        <f t="shared" si="32"/>
        <v>3.3317222116143251E-3</v>
      </c>
      <c r="K201" s="3">
        <v>-20680.109000000011</v>
      </c>
      <c r="L201" s="6">
        <f t="shared" si="33"/>
        <v>4.0454161294977073E-3</v>
      </c>
    </row>
    <row r="202" spans="1:12" x14ac:dyDescent="0.3">
      <c r="A202" t="s">
        <v>935</v>
      </c>
      <c r="B202">
        <v>1</v>
      </c>
      <c r="C202" t="s">
        <v>22</v>
      </c>
      <c r="D202" t="s">
        <v>935</v>
      </c>
      <c r="E202" s="3">
        <v>3303.5080000000007</v>
      </c>
      <c r="F202" s="6">
        <f t="shared" si="30"/>
        <v>2.3358521477489448E-3</v>
      </c>
      <c r="G202" s="3">
        <v>24404.089000000004</v>
      </c>
      <c r="H202" s="6">
        <f t="shared" si="31"/>
        <v>3.7087113829652922E-3</v>
      </c>
      <c r="I202" s="3">
        <v>-6130.0020000000004</v>
      </c>
      <c r="J202" s="6">
        <f t="shared" si="32"/>
        <v>3.8743232126009553E-3</v>
      </c>
      <c r="K202" s="3">
        <v>-22731.969999999998</v>
      </c>
      <c r="L202" s="6">
        <f t="shared" si="33"/>
        <v>4.4467985199332337E-3</v>
      </c>
    </row>
    <row r="203" spans="1:12" x14ac:dyDescent="0.3">
      <c r="A203" t="s">
        <v>936</v>
      </c>
      <c r="B203">
        <v>1</v>
      </c>
      <c r="C203" t="s">
        <v>21</v>
      </c>
      <c r="D203" t="s">
        <v>936</v>
      </c>
      <c r="E203" s="3">
        <v>6157.9110000000001</v>
      </c>
      <c r="F203" s="6">
        <f t="shared" si="30"/>
        <v>4.3541500837887635E-3</v>
      </c>
      <c r="G203" s="3">
        <v>64615.783999999992</v>
      </c>
      <c r="H203" s="6">
        <f t="shared" si="31"/>
        <v>9.8197188856353756E-3</v>
      </c>
      <c r="I203" s="3">
        <v>-15982.200999999999</v>
      </c>
      <c r="J203" s="6">
        <f t="shared" si="32"/>
        <v>1.0101173265971887E-2</v>
      </c>
      <c r="K203" s="3">
        <v>-56305.472000000023</v>
      </c>
      <c r="L203" s="6">
        <f t="shared" si="33"/>
        <v>1.1014403483452699E-2</v>
      </c>
    </row>
    <row r="204" spans="1:12" x14ac:dyDescent="0.3">
      <c r="A204" t="s">
        <v>937</v>
      </c>
      <c r="B204">
        <v>1</v>
      </c>
      <c r="C204" t="s">
        <v>23</v>
      </c>
      <c r="D204" t="s">
        <v>937</v>
      </c>
      <c r="E204" s="3">
        <v>17802.287</v>
      </c>
      <c r="F204" s="6">
        <f t="shared" si="30"/>
        <v>1.2587682646384726E-2</v>
      </c>
      <c r="G204" s="3">
        <v>32764.287999999997</v>
      </c>
      <c r="H204" s="6">
        <f t="shared" si="31"/>
        <v>4.9792183539550724E-3</v>
      </c>
      <c r="I204" s="3">
        <v>-8197.3559999999998</v>
      </c>
      <c r="J204" s="6">
        <f t="shared" si="32"/>
        <v>5.180945558052626E-3</v>
      </c>
      <c r="K204" s="3">
        <v>-14644.40800000001</v>
      </c>
      <c r="L204" s="6">
        <f t="shared" si="33"/>
        <v>2.86472011971239E-3</v>
      </c>
    </row>
    <row r="205" spans="1:12" x14ac:dyDescent="0.3">
      <c r="A205" t="s">
        <v>938</v>
      </c>
      <c r="B205">
        <v>1</v>
      </c>
      <c r="C205" t="s">
        <v>18</v>
      </c>
      <c r="D205" t="s">
        <v>938</v>
      </c>
      <c r="E205" s="3">
        <v>11795.869000000001</v>
      </c>
      <c r="F205" s="6">
        <f t="shared" ref="F205:F225" si="34">E205/E$235</f>
        <v>8.3406505866537011E-3</v>
      </c>
      <c r="G205" s="3">
        <v>114400.234</v>
      </c>
      <c r="H205" s="6">
        <f t="shared" ref="H205:H225" si="35">G205/G$235</f>
        <v>1.7385506586609031E-2</v>
      </c>
      <c r="I205" s="3">
        <v>-29731.710999999999</v>
      </c>
      <c r="J205" s="6">
        <f t="shared" ref="J205:J225" si="36">I205/I$235</f>
        <v>1.8791226834451794E-2</v>
      </c>
      <c r="K205" s="3">
        <v>-96656.001000000004</v>
      </c>
      <c r="L205" s="6">
        <f t="shared" ref="L205:L225" si="37">K205/K$235</f>
        <v>1.8907721688417908E-2</v>
      </c>
    </row>
    <row r="206" spans="1:12" x14ac:dyDescent="0.3">
      <c r="A206" t="s">
        <v>939</v>
      </c>
      <c r="B206">
        <v>1</v>
      </c>
      <c r="C206" t="s">
        <v>20</v>
      </c>
      <c r="D206" t="s">
        <v>939</v>
      </c>
      <c r="E206" s="3">
        <v>10887.706999999999</v>
      </c>
      <c r="F206" s="6">
        <f t="shared" si="34"/>
        <v>7.698505279845308E-3</v>
      </c>
      <c r="G206" s="3">
        <v>55930.32</v>
      </c>
      <c r="H206" s="6">
        <f t="shared" si="35"/>
        <v>8.4997810996710957E-3</v>
      </c>
      <c r="I206" s="3">
        <v>-13163.502</v>
      </c>
      <c r="J206" s="6">
        <f t="shared" si="36"/>
        <v>8.3196810307270865E-3</v>
      </c>
      <c r="K206" s="3">
        <v>-35020.969000000005</v>
      </c>
      <c r="L206" s="6">
        <f t="shared" si="37"/>
        <v>6.8507565827259009E-3</v>
      </c>
    </row>
    <row r="207" spans="1:12" x14ac:dyDescent="0.3">
      <c r="A207" t="s">
        <v>940</v>
      </c>
      <c r="B207">
        <v>1</v>
      </c>
      <c r="C207" t="s">
        <v>20</v>
      </c>
      <c r="D207" t="s">
        <v>940</v>
      </c>
      <c r="E207" s="3">
        <v>4602.47</v>
      </c>
      <c r="F207" s="6">
        <f t="shared" si="34"/>
        <v>3.2543252307698617E-3</v>
      </c>
      <c r="G207" s="3">
        <v>38160.711999999992</v>
      </c>
      <c r="H207" s="6">
        <f t="shared" si="35"/>
        <v>5.7993177691025534E-3</v>
      </c>
      <c r="I207" s="3">
        <v>-9936.098</v>
      </c>
      <c r="J207" s="6">
        <f t="shared" si="36"/>
        <v>6.279876437899682E-3</v>
      </c>
      <c r="K207" s="3">
        <v>-35292.365000000013</v>
      </c>
      <c r="L207" s="6">
        <f t="shared" si="37"/>
        <v>6.903846716626123E-3</v>
      </c>
    </row>
    <row r="208" spans="1:12" x14ac:dyDescent="0.3">
      <c r="A208" t="s">
        <v>941</v>
      </c>
      <c r="B208">
        <v>1</v>
      </c>
      <c r="C208" t="s">
        <v>22</v>
      </c>
      <c r="D208" t="s">
        <v>941</v>
      </c>
      <c r="E208" s="3">
        <v>11045.518999999998</v>
      </c>
      <c r="F208" s="6">
        <f t="shared" si="34"/>
        <v>7.8100913571729717E-3</v>
      </c>
      <c r="G208" s="3">
        <v>34319.898000000001</v>
      </c>
      <c r="H208" s="6">
        <f t="shared" si="35"/>
        <v>5.2156258065936311E-3</v>
      </c>
      <c r="I208" s="3">
        <v>-9448.4410000000007</v>
      </c>
      <c r="J208" s="6">
        <f t="shared" si="36"/>
        <v>5.9716643304831849E-3</v>
      </c>
      <c r="K208" s="3">
        <v>-31815.913999999997</v>
      </c>
      <c r="L208" s="6">
        <f t="shared" si="37"/>
        <v>6.2237878760847852E-3</v>
      </c>
    </row>
    <row r="209" spans="1:12" x14ac:dyDescent="0.3">
      <c r="A209" t="s">
        <v>942</v>
      </c>
      <c r="B209">
        <v>1</v>
      </c>
      <c r="C209" t="s">
        <v>22</v>
      </c>
      <c r="D209" t="s">
        <v>942</v>
      </c>
      <c r="E209" s="3">
        <v>8807.6220000000012</v>
      </c>
      <c r="F209" s="6">
        <f t="shared" si="34"/>
        <v>6.2277139226727639E-3</v>
      </c>
      <c r="G209" s="3">
        <v>17461.64</v>
      </c>
      <c r="H209" s="6">
        <f t="shared" si="35"/>
        <v>2.6536611562612339E-3</v>
      </c>
      <c r="I209" s="3">
        <v>-4550.4030000000002</v>
      </c>
      <c r="J209" s="6">
        <f t="shared" si="36"/>
        <v>2.875974913154845E-3</v>
      </c>
      <c r="K209" s="3">
        <v>-8668.5499999999975</v>
      </c>
      <c r="L209" s="6">
        <f t="shared" si="37"/>
        <v>1.695730520054673E-3</v>
      </c>
    </row>
    <row r="210" spans="1:12" x14ac:dyDescent="0.3">
      <c r="A210" t="s">
        <v>943</v>
      </c>
      <c r="B210">
        <v>1</v>
      </c>
      <c r="C210" t="s">
        <v>292</v>
      </c>
      <c r="D210" t="s">
        <v>943</v>
      </c>
      <c r="E210" s="3">
        <v>5059.4060000000009</v>
      </c>
      <c r="F210" s="6">
        <f t="shared" si="34"/>
        <v>3.5774166042382518E-3</v>
      </c>
      <c r="G210" s="3">
        <v>14612.873000000001</v>
      </c>
      <c r="H210" s="6">
        <f t="shared" si="35"/>
        <v>2.2207314697518998E-3</v>
      </c>
      <c r="I210" s="3">
        <v>-3458.125</v>
      </c>
      <c r="J210" s="6">
        <f t="shared" si="36"/>
        <v>2.1856263602484435E-3</v>
      </c>
      <c r="K210" s="3">
        <v>-10228.573999999997</v>
      </c>
      <c r="L210" s="6">
        <f t="shared" si="37"/>
        <v>2.0009003937726273E-3</v>
      </c>
    </row>
    <row r="211" spans="1:12" x14ac:dyDescent="0.3">
      <c r="A211" t="s">
        <v>944</v>
      </c>
      <c r="B211">
        <v>1</v>
      </c>
      <c r="C211" t="s">
        <v>292</v>
      </c>
      <c r="D211" t="s">
        <v>944</v>
      </c>
      <c r="E211" s="3">
        <v>866.73299999999995</v>
      </c>
      <c r="F211" s="6">
        <f t="shared" si="34"/>
        <v>6.1285159278406042E-4</v>
      </c>
      <c r="G211" s="3">
        <v>0</v>
      </c>
      <c r="H211" s="6">
        <f t="shared" si="35"/>
        <v>0</v>
      </c>
      <c r="I211" s="3">
        <v>0</v>
      </c>
      <c r="J211" s="6">
        <f t="shared" si="36"/>
        <v>0</v>
      </c>
      <c r="K211" s="3">
        <v>866.73299999999995</v>
      </c>
      <c r="L211" s="6">
        <f t="shared" si="37"/>
        <v>-1.6954918652353014E-4</v>
      </c>
    </row>
    <row r="212" spans="1:12" x14ac:dyDescent="0.3">
      <c r="A212" t="s">
        <v>945</v>
      </c>
      <c r="B212">
        <v>1</v>
      </c>
      <c r="C212" t="s">
        <v>716</v>
      </c>
      <c r="D212" t="s">
        <v>945</v>
      </c>
      <c r="E212" s="3">
        <v>8208.7149999999983</v>
      </c>
      <c r="F212" s="6">
        <f t="shared" si="34"/>
        <v>5.8042373631330612E-3</v>
      </c>
      <c r="G212" s="3">
        <v>46511.872999999992</v>
      </c>
      <c r="H212" s="6">
        <f t="shared" si="35"/>
        <v>7.0684512270929667E-3</v>
      </c>
      <c r="I212" s="3">
        <v>-12131.635</v>
      </c>
      <c r="J212" s="6">
        <f t="shared" si="36"/>
        <v>7.6675138258196635E-3</v>
      </c>
      <c r="K212" s="3">
        <v>-40320.553999999996</v>
      </c>
      <c r="L212" s="6">
        <f t="shared" si="37"/>
        <v>7.8874545343007238E-3</v>
      </c>
    </row>
    <row r="213" spans="1:12" x14ac:dyDescent="0.3">
      <c r="A213" t="s">
        <v>946</v>
      </c>
      <c r="B213">
        <v>1</v>
      </c>
      <c r="C213" t="s">
        <v>18</v>
      </c>
      <c r="D213" t="s">
        <v>946</v>
      </c>
      <c r="E213" s="3">
        <v>7659.6030000000001</v>
      </c>
      <c r="F213" s="6">
        <f t="shared" si="34"/>
        <v>5.4159699684257637E-3</v>
      </c>
      <c r="G213" s="3">
        <v>23110.182000000001</v>
      </c>
      <c r="H213" s="6">
        <f t="shared" si="35"/>
        <v>3.5120751709190861E-3</v>
      </c>
      <c r="I213" s="3">
        <v>-5375.5910000000003</v>
      </c>
      <c r="J213" s="6">
        <f t="shared" si="36"/>
        <v>3.3975155298071329E-3</v>
      </c>
      <c r="K213" s="3">
        <v>-11199.001999999997</v>
      </c>
      <c r="L213" s="6">
        <f t="shared" si="37"/>
        <v>2.1907342618492508E-3</v>
      </c>
    </row>
    <row r="214" spans="1:12" x14ac:dyDescent="0.3">
      <c r="A214" t="s">
        <v>947</v>
      </c>
      <c r="B214">
        <v>1</v>
      </c>
      <c r="C214" t="s">
        <v>23</v>
      </c>
      <c r="D214" t="s">
        <v>947</v>
      </c>
      <c r="E214" s="3">
        <v>4338.5410000000002</v>
      </c>
      <c r="F214" s="6">
        <f t="shared" si="34"/>
        <v>3.0677056973819508E-3</v>
      </c>
      <c r="G214" s="3">
        <v>14235.841</v>
      </c>
      <c r="H214" s="6">
        <f t="shared" si="35"/>
        <v>2.1634335771674985E-3</v>
      </c>
      <c r="I214" s="3">
        <v>-4220.0599999999995</v>
      </c>
      <c r="J214" s="6">
        <f t="shared" si="36"/>
        <v>2.6671894098189179E-3</v>
      </c>
      <c r="K214" s="3">
        <v>-14766.361999999996</v>
      </c>
      <c r="L214" s="6">
        <f t="shared" si="37"/>
        <v>2.8885766031891795E-3</v>
      </c>
    </row>
    <row r="215" spans="1:12" x14ac:dyDescent="0.3">
      <c r="A215" t="s">
        <v>948</v>
      </c>
      <c r="B215">
        <v>1</v>
      </c>
      <c r="C215" t="s">
        <v>715</v>
      </c>
      <c r="D215" t="s">
        <v>948</v>
      </c>
      <c r="E215" s="3">
        <v>5153.6919999999991</v>
      </c>
      <c r="F215" s="6">
        <f t="shared" si="34"/>
        <v>3.6440845692023603E-3</v>
      </c>
      <c r="G215" s="3">
        <v>38294.762000000002</v>
      </c>
      <c r="H215" s="6">
        <f t="shared" si="35"/>
        <v>5.8196894683242104E-3</v>
      </c>
      <c r="I215" s="3">
        <v>-9885.2029999999995</v>
      </c>
      <c r="J215" s="6">
        <f t="shared" si="36"/>
        <v>6.2477094533040277E-3</v>
      </c>
      <c r="K215" s="3">
        <v>-34120.393000000018</v>
      </c>
      <c r="L215" s="6">
        <f t="shared" si="37"/>
        <v>6.6745870723892544E-3</v>
      </c>
    </row>
    <row r="216" spans="1:12" x14ac:dyDescent="0.3">
      <c r="A216" t="s">
        <v>949</v>
      </c>
      <c r="B216">
        <v>1</v>
      </c>
      <c r="C216" t="s">
        <v>19</v>
      </c>
      <c r="D216" t="s">
        <v>949</v>
      </c>
      <c r="E216" s="3">
        <v>9576.0819999999985</v>
      </c>
      <c r="F216" s="6">
        <f t="shared" si="34"/>
        <v>6.771078413226184E-3</v>
      </c>
      <c r="G216" s="3">
        <v>70236.793000000005</v>
      </c>
      <c r="H216" s="6">
        <f t="shared" si="35"/>
        <v>1.0673948685487785E-2</v>
      </c>
      <c r="I216" s="3">
        <v>-18745.188999999998</v>
      </c>
      <c r="J216" s="6">
        <f t="shared" si="36"/>
        <v>1.1847454677387069E-2</v>
      </c>
      <c r="K216" s="3">
        <v>-60328.673999999999</v>
      </c>
      <c r="L216" s="6">
        <f t="shared" si="37"/>
        <v>1.1801417046245204E-2</v>
      </c>
    </row>
    <row r="217" spans="1:12" x14ac:dyDescent="0.3">
      <c r="A217" t="s">
        <v>950</v>
      </c>
      <c r="B217">
        <v>1</v>
      </c>
      <c r="C217" t="s">
        <v>20</v>
      </c>
      <c r="D217" t="s">
        <v>950</v>
      </c>
      <c r="E217" s="3">
        <v>7578.9160000000011</v>
      </c>
      <c r="F217" s="6">
        <f t="shared" si="34"/>
        <v>5.3589176161246898E-3</v>
      </c>
      <c r="G217" s="3">
        <v>35403.601999999992</v>
      </c>
      <c r="H217" s="6">
        <f t="shared" si="35"/>
        <v>5.3803172794269329E-3</v>
      </c>
      <c r="I217" s="3">
        <v>-8784.8870000000006</v>
      </c>
      <c r="J217" s="6">
        <f t="shared" si="36"/>
        <v>5.5522806720416026E-3</v>
      </c>
      <c r="K217" s="3">
        <v>-28482.762000000017</v>
      </c>
      <c r="L217" s="6">
        <f t="shared" si="37"/>
        <v>5.5717610002657333E-3</v>
      </c>
    </row>
    <row r="218" spans="1:12" x14ac:dyDescent="0.3">
      <c r="A218" t="s">
        <v>951</v>
      </c>
      <c r="B218">
        <v>1</v>
      </c>
      <c r="C218" t="s">
        <v>19</v>
      </c>
      <c r="D218" t="s">
        <v>951</v>
      </c>
      <c r="E218" s="3">
        <v>7496.2069999999985</v>
      </c>
      <c r="F218" s="6">
        <f t="shared" si="34"/>
        <v>5.300435543343824E-3</v>
      </c>
      <c r="G218" s="3">
        <v>31458.660000000003</v>
      </c>
      <c r="H218" s="6">
        <f t="shared" si="35"/>
        <v>4.7808008909832654E-3</v>
      </c>
      <c r="I218" s="3">
        <v>-8191.2470000000003</v>
      </c>
      <c r="J218" s="6">
        <f t="shared" si="36"/>
        <v>5.1770845086588774E-3</v>
      </c>
      <c r="K218" s="3">
        <v>-27754.158000000007</v>
      </c>
      <c r="L218" s="6">
        <f t="shared" si="37"/>
        <v>5.4292324297627158E-3</v>
      </c>
    </row>
    <row r="219" spans="1:12" x14ac:dyDescent="0.3">
      <c r="A219" t="s">
        <v>1040</v>
      </c>
      <c r="B219">
        <v>1</v>
      </c>
      <c r="C219" t="s">
        <v>21</v>
      </c>
      <c r="D219" t="s">
        <v>1040</v>
      </c>
      <c r="E219" s="3">
        <v>168.98</v>
      </c>
      <c r="F219" s="6">
        <f t="shared" si="34"/>
        <v>1.194827728362143E-4</v>
      </c>
      <c r="G219" s="3">
        <v>0</v>
      </c>
      <c r="H219" s="6">
        <f t="shared" si="35"/>
        <v>0</v>
      </c>
      <c r="I219" s="3">
        <v>0</v>
      </c>
      <c r="J219" s="6">
        <f t="shared" si="36"/>
        <v>0</v>
      </c>
      <c r="K219" s="3">
        <v>168.98</v>
      </c>
      <c r="L219" s="6">
        <f t="shared" si="37"/>
        <v>-3.3055648670058857E-5</v>
      </c>
    </row>
    <row r="220" spans="1:12" x14ac:dyDescent="0.3">
      <c r="A220" t="s">
        <v>952</v>
      </c>
      <c r="B220">
        <v>1</v>
      </c>
      <c r="C220" t="s">
        <v>292</v>
      </c>
      <c r="D220" t="s">
        <v>952</v>
      </c>
      <c r="E220" s="3">
        <v>4040.7029999999991</v>
      </c>
      <c r="F220" s="6">
        <f t="shared" si="34"/>
        <v>2.8571097091230294E-3</v>
      </c>
      <c r="G220" s="3">
        <v>23254.953000000001</v>
      </c>
      <c r="H220" s="6">
        <f t="shared" si="35"/>
        <v>3.5340761501657719E-3</v>
      </c>
      <c r="I220" s="3">
        <v>-6137.3070000000007</v>
      </c>
      <c r="J220" s="6">
        <f t="shared" si="36"/>
        <v>3.8789401655918436E-3</v>
      </c>
      <c r="K220" s="3">
        <v>-21647.664999999997</v>
      </c>
      <c r="L220" s="6">
        <f t="shared" si="37"/>
        <v>4.2346881806552827E-3</v>
      </c>
    </row>
    <row r="221" spans="1:12" x14ac:dyDescent="0.3">
      <c r="A221" t="s">
        <v>953</v>
      </c>
      <c r="B221">
        <v>1</v>
      </c>
      <c r="C221" t="s">
        <v>23</v>
      </c>
      <c r="D221" t="s">
        <v>953</v>
      </c>
      <c r="E221" s="3">
        <v>5598.6689999999999</v>
      </c>
      <c r="F221" s="6">
        <f t="shared" si="34"/>
        <v>3.9587199450358329E-3</v>
      </c>
      <c r="G221" s="3">
        <v>36214.627</v>
      </c>
      <c r="H221" s="6">
        <f t="shared" si="35"/>
        <v>5.5035694790632091E-3</v>
      </c>
      <c r="I221" s="3">
        <v>-9836.3950000000004</v>
      </c>
      <c r="J221" s="6">
        <f t="shared" si="36"/>
        <v>6.2168615078448545E-3</v>
      </c>
      <c r="K221" s="3">
        <v>-36234.678000000014</v>
      </c>
      <c r="L221" s="6">
        <f t="shared" si="37"/>
        <v>7.0881807648284501E-3</v>
      </c>
    </row>
    <row r="222" spans="1:12" x14ac:dyDescent="0.3">
      <c r="A222" t="s">
        <v>954</v>
      </c>
      <c r="B222">
        <v>1</v>
      </c>
      <c r="C222" t="s">
        <v>23</v>
      </c>
      <c r="D222" t="s">
        <v>954</v>
      </c>
      <c r="E222" s="3">
        <v>6700.5420000000022</v>
      </c>
      <c r="F222" s="6">
        <f t="shared" si="34"/>
        <v>4.7378348778879947E-3</v>
      </c>
      <c r="G222" s="3">
        <v>23043.811000000002</v>
      </c>
      <c r="H222" s="6">
        <f t="shared" si="35"/>
        <v>3.501988710277233E-3</v>
      </c>
      <c r="I222" s="3">
        <v>-6735.8310000000001</v>
      </c>
      <c r="J222" s="6">
        <f t="shared" si="36"/>
        <v>4.2572231460050267E-3</v>
      </c>
      <c r="K222" s="3">
        <v>-24491.494999999988</v>
      </c>
      <c r="L222" s="6">
        <f t="shared" si="37"/>
        <v>4.7909945207983357E-3</v>
      </c>
    </row>
    <row r="223" spans="1:12" x14ac:dyDescent="0.3">
      <c r="A223" t="s">
        <v>955</v>
      </c>
      <c r="B223">
        <v>1</v>
      </c>
      <c r="C223" t="s">
        <v>715</v>
      </c>
      <c r="D223" t="s">
        <v>955</v>
      </c>
      <c r="E223" s="3">
        <v>13404.269999999997</v>
      </c>
      <c r="F223" s="6">
        <f t="shared" si="34"/>
        <v>9.4779225200928036E-3</v>
      </c>
      <c r="G223" s="3">
        <v>20089.487999999998</v>
      </c>
      <c r="H223" s="6">
        <f t="shared" si="35"/>
        <v>3.0530175833871375E-3</v>
      </c>
      <c r="I223" s="3">
        <v>-4628.9139999999998</v>
      </c>
      <c r="J223" s="6">
        <f t="shared" si="36"/>
        <v>2.9255959393379542E-3</v>
      </c>
      <c r="K223" s="3">
        <v>-3651.3290000000079</v>
      </c>
      <c r="L223" s="6">
        <f t="shared" si="37"/>
        <v>7.1426824832996575E-4</v>
      </c>
    </row>
    <row r="224" spans="1:12" x14ac:dyDescent="0.3">
      <c r="A224" t="s">
        <v>956</v>
      </c>
      <c r="B224">
        <v>1</v>
      </c>
      <c r="C224" t="s">
        <v>715</v>
      </c>
      <c r="D224" t="s">
        <v>956</v>
      </c>
      <c r="E224" s="3">
        <v>12176.026999999998</v>
      </c>
      <c r="F224" s="6">
        <f t="shared" si="34"/>
        <v>8.6094535926654735E-3</v>
      </c>
      <c r="G224" s="3">
        <v>157609.179</v>
      </c>
      <c r="H224" s="6">
        <f t="shared" si="35"/>
        <v>2.395200887101806E-2</v>
      </c>
      <c r="I224" s="3">
        <v>-35774.894999999997</v>
      </c>
      <c r="J224" s="6">
        <f t="shared" si="36"/>
        <v>2.2610678777406898E-2</v>
      </c>
      <c r="K224" s="3">
        <v>-122647.27799999996</v>
      </c>
      <c r="L224" s="6">
        <f t="shared" si="37"/>
        <v>2.3992101620943531E-2</v>
      </c>
    </row>
    <row r="225" spans="1:12" x14ac:dyDescent="0.3">
      <c r="A225" t="s">
        <v>957</v>
      </c>
      <c r="B225">
        <v>1</v>
      </c>
      <c r="C225" t="s">
        <v>716</v>
      </c>
      <c r="D225" t="s">
        <v>957</v>
      </c>
      <c r="E225" s="3">
        <v>4864.4279999999999</v>
      </c>
      <c r="F225" s="6">
        <f t="shared" si="34"/>
        <v>3.4395511048770284E-3</v>
      </c>
      <c r="G225" s="3">
        <v>19767.578000000005</v>
      </c>
      <c r="H225" s="6">
        <f t="shared" si="35"/>
        <v>3.0040966307840582E-3</v>
      </c>
      <c r="I225" s="3">
        <v>-5497.8879999999999</v>
      </c>
      <c r="J225" s="6">
        <f t="shared" si="36"/>
        <v>3.4748104647731341E-3</v>
      </c>
      <c r="K225" s="3">
        <v>-18935.817999999996</v>
      </c>
      <c r="L225" s="6">
        <f t="shared" si="37"/>
        <v>3.7042001839754793E-3</v>
      </c>
    </row>
    <row r="226" spans="1:12" x14ac:dyDescent="0.3">
      <c r="A226" t="s">
        <v>958</v>
      </c>
      <c r="B226">
        <v>1</v>
      </c>
      <c r="C226" t="s">
        <v>291</v>
      </c>
      <c r="D226" t="s">
        <v>958</v>
      </c>
      <c r="E226">
        <v>7232.5460000000012</v>
      </c>
      <c r="F226" s="6">
        <f t="shared" ref="F226:F234" si="38">E226/E$235</f>
        <v>5.1140055080214847E-3</v>
      </c>
      <c r="G226">
        <v>42169.816000000013</v>
      </c>
      <c r="H226" s="6">
        <f t="shared" ref="H226:H234" si="39">G226/G$235</f>
        <v>6.4085849144687162E-3</v>
      </c>
      <c r="I226">
        <v>-9349.2049999999999</v>
      </c>
      <c r="J226" s="6">
        <f t="shared" ref="J226:J234" si="40">I226/I$235</f>
        <v>5.9089445567660362E-3</v>
      </c>
      <c r="K226">
        <v>-31675.923999999992</v>
      </c>
      <c r="L226" s="6">
        <f t="shared" ref="L226:L234" si="41">K226/K$235</f>
        <v>6.1964032136553751E-3</v>
      </c>
    </row>
    <row r="227" spans="1:12" x14ac:dyDescent="0.3">
      <c r="A227" t="s">
        <v>959</v>
      </c>
      <c r="B227">
        <v>1</v>
      </c>
      <c r="C227" t="s">
        <v>22</v>
      </c>
      <c r="D227" t="s">
        <v>959</v>
      </c>
      <c r="E227" s="3">
        <v>7328.2819999999992</v>
      </c>
      <c r="F227" s="6">
        <f t="shared" si="38"/>
        <v>5.1816987423702107E-3</v>
      </c>
      <c r="G227" s="3">
        <v>21218.465000000004</v>
      </c>
      <c r="H227" s="6">
        <f t="shared" si="39"/>
        <v>3.2245892348020306E-3</v>
      </c>
      <c r="I227" s="3">
        <v>-6215.5559999999996</v>
      </c>
      <c r="J227" s="6">
        <f t="shared" si="40"/>
        <v>3.9283956008531714E-3</v>
      </c>
      <c r="K227">
        <v>-22076.160999999996</v>
      </c>
      <c r="L227" s="6">
        <f t="shared" si="41"/>
        <v>4.3185100130172516E-3</v>
      </c>
    </row>
    <row r="228" spans="1:12" x14ac:dyDescent="0.3">
      <c r="A228" t="s">
        <v>960</v>
      </c>
      <c r="B228">
        <v>1</v>
      </c>
      <c r="C228" t="s">
        <v>715</v>
      </c>
      <c r="D228" t="s">
        <v>960</v>
      </c>
      <c r="E228" s="3">
        <v>4774.7290000000021</v>
      </c>
      <c r="F228" s="6">
        <f t="shared" si="38"/>
        <v>3.3761265265799794E-3</v>
      </c>
      <c r="G228" s="3">
        <v>20254.492999999999</v>
      </c>
      <c r="H228" s="6">
        <f t="shared" si="39"/>
        <v>3.0780935418359937E-3</v>
      </c>
      <c r="I228" s="3">
        <v>-5238.6869999999999</v>
      </c>
      <c r="J228" s="6">
        <f t="shared" si="40"/>
        <v>3.3109885849386118E-3</v>
      </c>
      <c r="K228">
        <v>-17364.55799999999</v>
      </c>
      <c r="L228" s="6">
        <f t="shared" si="41"/>
        <v>3.3968323384948491E-3</v>
      </c>
    </row>
    <row r="229" spans="1:12" x14ac:dyDescent="0.3">
      <c r="A229" t="s">
        <v>961</v>
      </c>
      <c r="B229">
        <v>1</v>
      </c>
      <c r="C229" t="s">
        <v>292</v>
      </c>
      <c r="D229" t="s">
        <v>961</v>
      </c>
      <c r="E229" s="3">
        <v>9088.6939999999995</v>
      </c>
      <c r="F229" s="6">
        <f t="shared" si="38"/>
        <v>6.4264549685161786E-3</v>
      </c>
      <c r="G229" s="6">
        <v>49794.681999999993</v>
      </c>
      <c r="H229" s="6">
        <f t="shared" si="39"/>
        <v>7.5673426672283033E-3</v>
      </c>
      <c r="I229" s="3">
        <v>-12312.098</v>
      </c>
      <c r="J229" s="6">
        <f t="shared" si="40"/>
        <v>7.78157120947396E-3</v>
      </c>
      <c r="K229">
        <v>-38864.726999999999</v>
      </c>
      <c r="L229" s="6">
        <f t="shared" si="41"/>
        <v>7.6026675427254744E-3</v>
      </c>
    </row>
    <row r="230" spans="1:12" x14ac:dyDescent="0.3">
      <c r="A230" t="s">
        <v>1041</v>
      </c>
      <c r="B230">
        <v>1</v>
      </c>
      <c r="C230" t="s">
        <v>17</v>
      </c>
      <c r="D230" t="s">
        <v>1041</v>
      </c>
      <c r="E230" s="3">
        <v>0</v>
      </c>
      <c r="F230" s="6">
        <f t="shared" si="38"/>
        <v>0</v>
      </c>
      <c r="G230" s="6">
        <v>135.72</v>
      </c>
      <c r="H230" s="6">
        <f t="shared" si="39"/>
        <v>2.0625490625609889E-5</v>
      </c>
      <c r="I230" s="3">
        <v>0</v>
      </c>
      <c r="J230" s="6">
        <f t="shared" si="40"/>
        <v>0</v>
      </c>
      <c r="K230">
        <v>119.34100000000001</v>
      </c>
      <c r="L230" s="6">
        <f t="shared" si="41"/>
        <v>-2.3345331802186618E-5</v>
      </c>
    </row>
    <row r="231" spans="1:12" x14ac:dyDescent="0.3">
      <c r="A231" t="s">
        <v>962</v>
      </c>
      <c r="B231">
        <v>1</v>
      </c>
      <c r="C231" t="s">
        <v>20</v>
      </c>
      <c r="D231" t="s">
        <v>962</v>
      </c>
      <c r="E231" s="3">
        <v>8470.1710000000021</v>
      </c>
      <c r="F231" s="6">
        <f t="shared" si="38"/>
        <v>5.9891082819084531E-3</v>
      </c>
      <c r="G231">
        <v>43425.085000000006</v>
      </c>
      <c r="H231" s="6">
        <f t="shared" si="39"/>
        <v>6.5993492748586255E-3</v>
      </c>
      <c r="I231">
        <v>-10947.079</v>
      </c>
      <c r="J231" s="6">
        <f t="shared" si="40"/>
        <v>6.918843139019604E-3</v>
      </c>
      <c r="K231">
        <v>-35192.787999999971</v>
      </c>
      <c r="L231" s="6">
        <f t="shared" si="41"/>
        <v>6.8843675928977541E-3</v>
      </c>
    </row>
    <row r="232" spans="1:12" x14ac:dyDescent="0.3">
      <c r="A232" t="s">
        <v>963</v>
      </c>
      <c r="B232">
        <v>1</v>
      </c>
      <c r="C232" t="s">
        <v>18</v>
      </c>
      <c r="D232" t="s">
        <v>963</v>
      </c>
      <c r="E232" s="3">
        <v>7048.558</v>
      </c>
      <c r="F232" s="6">
        <f t="shared" si="38"/>
        <v>4.9839108435133211E-3</v>
      </c>
      <c r="G232">
        <v>69260.038</v>
      </c>
      <c r="H232" s="6">
        <f t="shared" si="39"/>
        <v>1.052551034849974E-2</v>
      </c>
      <c r="I232">
        <v>-16771.634000000002</v>
      </c>
      <c r="J232" s="6">
        <f t="shared" si="40"/>
        <v>1.0600115778012375E-2</v>
      </c>
      <c r="K232">
        <v>-58746.764999999999</v>
      </c>
      <c r="L232" s="6">
        <f t="shared" si="41"/>
        <v>1.1491966057181384E-2</v>
      </c>
    </row>
    <row r="233" spans="1:12" x14ac:dyDescent="0.3">
      <c r="A233" t="s">
        <v>964</v>
      </c>
      <c r="B233">
        <v>1</v>
      </c>
      <c r="C233" t="s">
        <v>21</v>
      </c>
      <c r="D233" t="s">
        <v>964</v>
      </c>
      <c r="E233" s="3">
        <v>5247.5490000000009</v>
      </c>
      <c r="F233" s="6">
        <f t="shared" si="38"/>
        <v>3.7104491958450921E-3</v>
      </c>
      <c r="G233">
        <v>21909.735000000001</v>
      </c>
      <c r="H233" s="6">
        <f t="shared" si="39"/>
        <v>3.3296421592403248E-3</v>
      </c>
      <c r="I233">
        <v>-5680.4690000000001</v>
      </c>
      <c r="J233" s="6">
        <f t="shared" si="40"/>
        <v>3.5902064803828996E-3</v>
      </c>
      <c r="K233">
        <v>-20044.465</v>
      </c>
      <c r="L233" s="6">
        <f t="shared" si="41"/>
        <v>3.9210722737560147E-3</v>
      </c>
    </row>
    <row r="234" spans="1:12" x14ac:dyDescent="0.3">
      <c r="A234" t="s">
        <v>965</v>
      </c>
      <c r="B234">
        <v>1</v>
      </c>
      <c r="C234" t="s">
        <v>21</v>
      </c>
      <c r="D234" t="s">
        <v>965</v>
      </c>
      <c r="E234" s="3">
        <v>5389.2180000000008</v>
      </c>
      <c r="F234" s="6">
        <f t="shared" si="38"/>
        <v>3.8106208430514692E-3</v>
      </c>
      <c r="G234">
        <v>41189.403999999995</v>
      </c>
      <c r="H234" s="6">
        <f t="shared" si="39"/>
        <v>6.2595908198972757E-3</v>
      </c>
      <c r="I234">
        <v>-9559.7849999999999</v>
      </c>
      <c r="J234" s="6">
        <f t="shared" si="40"/>
        <v>6.0420366800817398E-3</v>
      </c>
      <c r="K234">
        <v>-32292.383000000005</v>
      </c>
      <c r="L234" s="6">
        <f t="shared" si="41"/>
        <v>6.3169941245530921E-3</v>
      </c>
    </row>
    <row r="235" spans="1:12" x14ac:dyDescent="0.3">
      <c r="E235" s="11">
        <f t="shared" ref="E235:L235" si="42">SUM(E15:E234)</f>
        <v>1414262.4579999994</v>
      </c>
      <c r="F235" s="24">
        <f t="shared" si="42"/>
        <v>1.0000000000000007</v>
      </c>
      <c r="G235" s="11">
        <f t="shared" si="42"/>
        <v>6580207.106999997</v>
      </c>
      <c r="H235" s="24">
        <f t="shared" si="42"/>
        <v>1.0000000000000004</v>
      </c>
      <c r="I235" s="11">
        <f t="shared" si="42"/>
        <v>-1582212.3410000005</v>
      </c>
      <c r="J235" s="24">
        <f t="shared" si="42"/>
        <v>0.99999999999999944</v>
      </c>
      <c r="K235" s="11">
        <f t="shared" si="42"/>
        <v>-5111985.5999999987</v>
      </c>
      <c r="L235" s="24">
        <f t="shared" si="42"/>
        <v>1.0000000000000004</v>
      </c>
    </row>
    <row r="236" spans="1:12" x14ac:dyDescent="0.3">
      <c r="L236"/>
    </row>
    <row r="237" spans="1:12" x14ac:dyDescent="0.3">
      <c r="E237" s="3"/>
      <c r="L237"/>
    </row>
    <row r="238" spans="1:12" x14ac:dyDescent="0.3">
      <c r="E238" s="3"/>
      <c r="L238"/>
    </row>
    <row r="239" spans="1:12" x14ac:dyDescent="0.3">
      <c r="E239" s="3"/>
      <c r="H239"/>
      <c r="J239"/>
      <c r="L239"/>
    </row>
    <row r="240" spans="1:12" x14ac:dyDescent="0.3">
      <c r="E240" s="3"/>
      <c r="H240"/>
      <c r="J240"/>
      <c r="L240"/>
    </row>
    <row r="241" spans="4:12" x14ac:dyDescent="0.3">
      <c r="E241" s="3"/>
      <c r="H241"/>
      <c r="J241"/>
      <c r="L241"/>
    </row>
    <row r="242" spans="4:12" x14ac:dyDescent="0.3">
      <c r="E242" s="3"/>
      <c r="H242"/>
      <c r="J242"/>
      <c r="L242"/>
    </row>
    <row r="243" spans="4:12" x14ac:dyDescent="0.3">
      <c r="H243"/>
      <c r="J243"/>
      <c r="L243"/>
    </row>
    <row r="244" spans="4:12" x14ac:dyDescent="0.3">
      <c r="D244" s="7" t="s">
        <v>15</v>
      </c>
      <c r="H244"/>
      <c r="J244"/>
      <c r="L244"/>
    </row>
    <row r="245" spans="4:12" x14ac:dyDescent="0.3">
      <c r="D245" s="1" t="s">
        <v>5</v>
      </c>
      <c r="E245" s="1" t="s">
        <v>14</v>
      </c>
      <c r="F245"/>
      <c r="H245"/>
      <c r="J245"/>
      <c r="L245"/>
    </row>
    <row r="246" spans="4:12" x14ac:dyDescent="0.3">
      <c r="D246" s="2" t="str">
        <f t="shared" ref="D246:D277" si="43">D15</f>
        <v>[ ABM ] - AV BOLIVAR DE MATURIN</v>
      </c>
      <c r="E246" s="3">
        <f t="shared" ref="E246:E277" si="44">K15</f>
        <v>391.17899999999997</v>
      </c>
      <c r="F246"/>
      <c r="H246"/>
      <c r="J246"/>
      <c r="L246"/>
    </row>
    <row r="247" spans="4:12" x14ac:dyDescent="0.3">
      <c r="D247" s="2" t="str">
        <f t="shared" si="43"/>
        <v>[ ACB ] - AV LIBERTADOR CIUDAD BOLIVAR</v>
      </c>
      <c r="E247" s="3">
        <f t="shared" si="44"/>
        <v>-16530.113000000005</v>
      </c>
      <c r="F247"/>
      <c r="H247"/>
      <c r="J247"/>
      <c r="L247"/>
    </row>
    <row r="248" spans="4:12" x14ac:dyDescent="0.3">
      <c r="D248" s="2" t="str">
        <f t="shared" si="43"/>
        <v>[ ACG ] - ACHAGUAS</v>
      </c>
      <c r="E248" s="3">
        <f t="shared" si="44"/>
        <v>-23149.699999999997</v>
      </c>
      <c r="F248"/>
      <c r="H248"/>
      <c r="J248"/>
      <c r="L248"/>
    </row>
    <row r="249" spans="4:12" x14ac:dyDescent="0.3">
      <c r="D249" s="2" t="str">
        <f t="shared" si="43"/>
        <v>[ ACO ] - ANACO</v>
      </c>
      <c r="E249" s="3">
        <f t="shared" si="44"/>
        <v>-51230.972000000002</v>
      </c>
      <c r="F249"/>
      <c r="H249"/>
      <c r="J249"/>
      <c r="L249"/>
    </row>
    <row r="250" spans="4:12" x14ac:dyDescent="0.3">
      <c r="D250" s="2" t="str">
        <f t="shared" si="43"/>
        <v>[ ADO ] - ALTAGRACIA DEL ORITUCO</v>
      </c>
      <c r="E250" s="3">
        <f t="shared" si="44"/>
        <v>-37569.912000000011</v>
      </c>
      <c r="F250"/>
      <c r="H250"/>
      <c r="J250"/>
      <c r="L250"/>
    </row>
    <row r="251" spans="4:12" x14ac:dyDescent="0.3">
      <c r="D251" s="2" t="str">
        <f t="shared" si="43"/>
        <v>[ ADS - BQT ] - AEDOS BARQUISIMETO</v>
      </c>
      <c r="E251" s="3">
        <f t="shared" si="44"/>
        <v>-11.032999999999999</v>
      </c>
      <c r="F251"/>
      <c r="H251"/>
      <c r="J251"/>
      <c r="L251"/>
    </row>
    <row r="252" spans="4:12" x14ac:dyDescent="0.3">
      <c r="D252" s="2" t="str">
        <f t="shared" si="43"/>
        <v>[ ADS - TCY ] - AEDOS TOCUYITO</v>
      </c>
      <c r="E252" s="3">
        <f t="shared" si="44"/>
        <v>11815.102000000003</v>
      </c>
      <c r="F252"/>
      <c r="H252"/>
      <c r="J252"/>
      <c r="L252"/>
    </row>
    <row r="253" spans="4:12" x14ac:dyDescent="0.3">
      <c r="D253" s="2" t="str">
        <f t="shared" si="43"/>
        <v>[ ANT ] - ANTIMANO</v>
      </c>
      <c r="E253" s="3">
        <f t="shared" si="44"/>
        <v>765.2210000000016</v>
      </c>
      <c r="F253"/>
      <c r="H253"/>
      <c r="J253"/>
      <c r="L253"/>
    </row>
    <row r="254" spans="4:12" x14ac:dyDescent="0.3">
      <c r="D254" s="2" t="str">
        <f t="shared" si="43"/>
        <v>[ APU ] - APURE</v>
      </c>
      <c r="E254" s="3">
        <f t="shared" si="44"/>
        <v>-36968.137999999984</v>
      </c>
      <c r="F254"/>
      <c r="H254"/>
      <c r="J254"/>
      <c r="L254"/>
    </row>
    <row r="255" spans="4:12" x14ac:dyDescent="0.3">
      <c r="D255" s="2" t="str">
        <f t="shared" si="43"/>
        <v>[ ARO - INT ] - AEROPUERTO INTERNACIONAL</v>
      </c>
      <c r="E255" s="3">
        <f t="shared" si="44"/>
        <v>1625.87</v>
      </c>
      <c r="F255"/>
      <c r="H255"/>
      <c r="J255"/>
      <c r="L255"/>
    </row>
    <row r="256" spans="4:12" x14ac:dyDescent="0.3">
      <c r="D256" s="2" t="str">
        <f t="shared" si="43"/>
        <v>[ ARO - NAC ] - AEROPUERTO NACIONAL</v>
      </c>
      <c r="E256" s="3">
        <f t="shared" si="44"/>
        <v>9872.1049999999996</v>
      </c>
      <c r="F256"/>
      <c r="H256"/>
      <c r="J256"/>
      <c r="L256"/>
    </row>
    <row r="257" spans="4:12" x14ac:dyDescent="0.3">
      <c r="D257" s="2" t="str">
        <f t="shared" si="43"/>
        <v>[ ARY ] - AROA YARACUY</v>
      </c>
      <c r="E257" s="3">
        <f t="shared" si="44"/>
        <v>-15.447999999999997</v>
      </c>
      <c r="F257"/>
      <c r="H257"/>
      <c r="J257"/>
      <c r="L257"/>
    </row>
    <row r="258" spans="4:12" x14ac:dyDescent="0.3">
      <c r="D258" s="2" t="str">
        <f t="shared" si="43"/>
        <v>[ ATV ] - ALTA VISTA</v>
      </c>
      <c r="E258" s="3">
        <f t="shared" si="44"/>
        <v>-21472.504000000001</v>
      </c>
      <c r="F258"/>
      <c r="H258"/>
      <c r="J258"/>
      <c r="L258"/>
    </row>
    <row r="259" spans="4:12" x14ac:dyDescent="0.3">
      <c r="D259" s="2" t="str">
        <f t="shared" si="43"/>
        <v>[ AVM ] - AVENIDA MARIÑO</v>
      </c>
      <c r="E259" s="3">
        <f t="shared" si="44"/>
        <v>-15320.970999999998</v>
      </c>
      <c r="F259"/>
      <c r="H259"/>
      <c r="J259"/>
      <c r="L259"/>
    </row>
    <row r="260" spans="4:12" x14ac:dyDescent="0.3">
      <c r="D260" s="2" t="str">
        <f t="shared" si="43"/>
        <v>[ BAC ] - BUENOS AIRES CANGURO</v>
      </c>
      <c r="E260" s="3">
        <f t="shared" si="44"/>
        <v>-17234.061000000002</v>
      </c>
      <c r="F260"/>
      <c r="H260"/>
      <c r="J260"/>
      <c r="L260"/>
    </row>
    <row r="261" spans="4:12" x14ac:dyDescent="0.3">
      <c r="D261" s="2" t="str">
        <f t="shared" si="43"/>
        <v>[ BCC ] - BISCUCUY</v>
      </c>
      <c r="E261" s="3">
        <f t="shared" si="44"/>
        <v>-7565.0640000000039</v>
      </c>
      <c r="F261"/>
      <c r="H261"/>
      <c r="J261"/>
      <c r="L261"/>
    </row>
    <row r="262" spans="4:12" x14ac:dyDescent="0.3">
      <c r="D262" s="2" t="str">
        <f t="shared" si="43"/>
        <v>[ BCD ] - BARINAS CC DORADO</v>
      </c>
      <c r="E262" s="3">
        <f t="shared" si="44"/>
        <v>-12467.007999999998</v>
      </c>
      <c r="F262"/>
      <c r="H262"/>
      <c r="J262"/>
      <c r="L262"/>
    </row>
    <row r="263" spans="4:12" x14ac:dyDescent="0.3">
      <c r="D263" s="2" t="str">
        <f t="shared" si="43"/>
        <v>[ BCN ] - BARCELONA</v>
      </c>
      <c r="E263" s="3">
        <f t="shared" si="44"/>
        <v>-33502.481</v>
      </c>
      <c r="F263"/>
      <c r="H263"/>
      <c r="J263"/>
      <c r="L263"/>
    </row>
    <row r="264" spans="4:12" x14ac:dyDescent="0.3">
      <c r="D264" s="2" t="str">
        <f t="shared" si="43"/>
        <v>[ BCO ] - BOCONO</v>
      </c>
      <c r="E264" s="3">
        <f t="shared" si="44"/>
        <v>-18409.788000000008</v>
      </c>
      <c r="F264"/>
      <c r="H264"/>
      <c r="J264"/>
      <c r="L264"/>
    </row>
    <row r="265" spans="4:12" x14ac:dyDescent="0.3">
      <c r="D265" s="2" t="str">
        <f t="shared" si="43"/>
        <v>[ BJM ] - BEJUMA</v>
      </c>
      <c r="E265" s="3">
        <f t="shared" si="44"/>
        <v>-17828.094000000005</v>
      </c>
      <c r="F265"/>
      <c r="H265"/>
      <c r="J265"/>
      <c r="L265"/>
    </row>
    <row r="266" spans="4:12" x14ac:dyDescent="0.3">
      <c r="D266" s="2" t="str">
        <f t="shared" si="43"/>
        <v>[ BLS ] - BAILADORES</v>
      </c>
      <c r="E266" s="3">
        <f t="shared" si="44"/>
        <v>-1508.7129999999995</v>
      </c>
      <c r="F266"/>
      <c r="H266"/>
      <c r="J266"/>
      <c r="L266"/>
    </row>
    <row r="267" spans="4:12" x14ac:dyDescent="0.3">
      <c r="D267" s="2" t="str">
        <f t="shared" si="43"/>
        <v>[ BNS ] - BARINAS SHOP</v>
      </c>
      <c r="E267" s="3">
        <f t="shared" si="44"/>
        <v>-44573.699000000037</v>
      </c>
      <c r="F267"/>
      <c r="H267"/>
      <c r="J267"/>
      <c r="L267"/>
    </row>
    <row r="268" spans="4:12" x14ac:dyDescent="0.3">
      <c r="D268" s="2" t="str">
        <f t="shared" si="43"/>
        <v>[ BRC ] - BARRANCAS</v>
      </c>
      <c r="E268" s="3">
        <f t="shared" si="44"/>
        <v>-15197.118999999999</v>
      </c>
      <c r="F268"/>
      <c r="H268"/>
      <c r="J268"/>
      <c r="L268"/>
    </row>
    <row r="269" spans="4:12" x14ac:dyDescent="0.3">
      <c r="D269" s="2" t="str">
        <f t="shared" si="43"/>
        <v>[ BTA ] - BARUTA</v>
      </c>
      <c r="E269" s="3">
        <f t="shared" si="44"/>
        <v>-25271.416000000012</v>
      </c>
      <c r="F269"/>
      <c r="H269"/>
      <c r="J269"/>
      <c r="L269"/>
    </row>
    <row r="270" spans="4:12" x14ac:dyDescent="0.3">
      <c r="D270" s="2" t="str">
        <f t="shared" si="43"/>
        <v>[ BVC ] - BAZAR VALENCIA CANGURO</v>
      </c>
      <c r="E270" s="3">
        <f t="shared" si="44"/>
        <v>-42727.476999999999</v>
      </c>
      <c r="F270"/>
      <c r="H270"/>
      <c r="J270"/>
      <c r="L270"/>
    </row>
    <row r="271" spans="4:12" x14ac:dyDescent="0.3">
      <c r="D271" s="2" t="str">
        <f t="shared" si="43"/>
        <v>[ BZC ] - BAZAR 4</v>
      </c>
      <c r="E271" s="3">
        <f t="shared" si="44"/>
        <v>-15765.053000000007</v>
      </c>
      <c r="F271"/>
      <c r="H271"/>
      <c r="J271"/>
      <c r="L271"/>
    </row>
    <row r="272" spans="4:12" x14ac:dyDescent="0.3">
      <c r="D272" s="2" t="str">
        <f t="shared" si="43"/>
        <v>[ BZD ] - BAZAR 2</v>
      </c>
      <c r="E272" s="3">
        <f t="shared" si="44"/>
        <v>-40901.817000000017</v>
      </c>
      <c r="F272"/>
      <c r="H272"/>
      <c r="J272"/>
      <c r="L272"/>
    </row>
    <row r="273" spans="4:12" x14ac:dyDescent="0.3">
      <c r="D273" s="2" t="str">
        <f t="shared" si="43"/>
        <v>[ BZT ] - BAZAR 3</v>
      </c>
      <c r="E273" s="3">
        <f t="shared" si="44"/>
        <v>-11794.329999999996</v>
      </c>
      <c r="F273"/>
      <c r="H273"/>
      <c r="J273"/>
      <c r="L273"/>
    </row>
    <row r="274" spans="4:12" x14ac:dyDescent="0.3">
      <c r="D274" s="2" t="str">
        <f t="shared" si="43"/>
        <v>[ BZU ] - BAZAR 1</v>
      </c>
      <c r="E274" s="3">
        <f t="shared" si="44"/>
        <v>-21881.146999999997</v>
      </c>
      <c r="F274"/>
      <c r="H274"/>
      <c r="J274"/>
      <c r="L274"/>
    </row>
    <row r="275" spans="4:12" x14ac:dyDescent="0.3">
      <c r="D275" s="2" t="str">
        <f t="shared" si="43"/>
        <v>[ CAG ] - CAGUA</v>
      </c>
      <c r="E275" s="3">
        <f t="shared" si="44"/>
        <v>-32236.259000000005</v>
      </c>
      <c r="F275"/>
      <c r="H275"/>
      <c r="J275"/>
      <c r="L275"/>
    </row>
    <row r="276" spans="4:12" x14ac:dyDescent="0.3">
      <c r="D276" s="2" t="str">
        <f t="shared" si="43"/>
        <v>[ CAT ] - CATIA</v>
      </c>
      <c r="E276" s="3">
        <f t="shared" si="44"/>
        <v>-69209.456000000006</v>
      </c>
      <c r="F276"/>
      <c r="H276"/>
      <c r="J276"/>
      <c r="L276"/>
    </row>
    <row r="277" spans="4:12" x14ac:dyDescent="0.3">
      <c r="D277" s="2" t="str">
        <f t="shared" si="43"/>
        <v>[ CBM ] - CABIMAS</v>
      </c>
      <c r="E277" s="3">
        <f t="shared" si="44"/>
        <v>-34696.870000000003</v>
      </c>
      <c r="F277"/>
      <c r="H277"/>
      <c r="J277"/>
      <c r="L277"/>
    </row>
    <row r="278" spans="4:12" x14ac:dyDescent="0.3">
      <c r="D278" s="2" t="str">
        <f t="shared" ref="D278:D309" si="45">D47</f>
        <v>[ CBQ ] - CHABASQUEN</v>
      </c>
      <c r="E278" s="3">
        <f t="shared" ref="E278:E309" si="46">K47</f>
        <v>-7826.7119999999977</v>
      </c>
      <c r="F278"/>
      <c r="H278"/>
      <c r="J278"/>
      <c r="L278"/>
    </row>
    <row r="279" spans="4:12" x14ac:dyDescent="0.3">
      <c r="D279" s="2" t="str">
        <f t="shared" si="45"/>
        <v>[ CBR ] - CABUDARE</v>
      </c>
      <c r="E279" s="3">
        <f t="shared" si="46"/>
        <v>-17501.990999999998</v>
      </c>
      <c r="F279"/>
      <c r="H279"/>
      <c r="J279"/>
      <c r="L279"/>
    </row>
    <row r="280" spans="4:12" x14ac:dyDescent="0.3">
      <c r="D280" s="2" t="str">
        <f t="shared" si="45"/>
        <v>[ CBV ] - CIUDAD BOLIVAR</v>
      </c>
      <c r="E280" s="3">
        <f t="shared" si="46"/>
        <v>-29517.658999999992</v>
      </c>
      <c r="F280"/>
      <c r="H280"/>
      <c r="J280"/>
      <c r="L280"/>
    </row>
    <row r="281" spans="4:12" x14ac:dyDescent="0.3">
      <c r="D281" s="2" t="str">
        <f t="shared" si="45"/>
        <v>[ CCA ] - CENTRO COMERCIAL AVIADORES</v>
      </c>
      <c r="E281" s="3">
        <f t="shared" si="46"/>
        <v>-19042.614999999991</v>
      </c>
      <c r="F281"/>
      <c r="H281"/>
      <c r="J281"/>
      <c r="L281"/>
    </row>
    <row r="282" spans="4:12" x14ac:dyDescent="0.3">
      <c r="D282" s="2" t="str">
        <f t="shared" si="45"/>
        <v>[ CCB ] - CALLE CAMEJO BARINAS</v>
      </c>
      <c r="E282" s="3">
        <f t="shared" si="46"/>
        <v>-16942.881000000001</v>
      </c>
      <c r="F282"/>
      <c r="H282"/>
      <c r="J282"/>
      <c r="L282"/>
    </row>
    <row r="283" spans="4:12" x14ac:dyDescent="0.3">
      <c r="D283" s="2" t="str">
        <f t="shared" si="45"/>
        <v>[ CCM ] - CENTRO COMERCIAL METROCENTER</v>
      </c>
      <c r="E283" s="3">
        <f t="shared" si="46"/>
        <v>-26328.485999999997</v>
      </c>
      <c r="F283"/>
      <c r="H283"/>
      <c r="J283"/>
      <c r="L283"/>
    </row>
    <row r="284" spans="4:12" x14ac:dyDescent="0.3">
      <c r="D284" s="2" t="str">
        <f t="shared" si="45"/>
        <v>[ CCO ] - CAICARA DEL ORINOCO</v>
      </c>
      <c r="E284" s="3">
        <f t="shared" si="46"/>
        <v>-17878.850999999999</v>
      </c>
      <c r="F284"/>
      <c r="H284"/>
      <c r="J284"/>
      <c r="L284"/>
    </row>
    <row r="285" spans="4:12" x14ac:dyDescent="0.3">
      <c r="D285" s="2" t="str">
        <f t="shared" si="45"/>
        <v>[ CCT ] - CC CIUDAD TAMANACO</v>
      </c>
      <c r="E285" s="3">
        <f t="shared" si="46"/>
        <v>-12029.404999999999</v>
      </c>
      <c r="F285"/>
      <c r="H285"/>
      <c r="J285"/>
      <c r="L285"/>
    </row>
    <row r="286" spans="4:12" x14ac:dyDescent="0.3">
      <c r="D286" s="2" t="str">
        <f t="shared" si="45"/>
        <v>[ CDL ] - LA CANDELARIA</v>
      </c>
      <c r="E286" s="3">
        <f t="shared" si="46"/>
        <v>-18964.174999999996</v>
      </c>
      <c r="F286"/>
      <c r="H286"/>
      <c r="J286"/>
      <c r="L286"/>
    </row>
    <row r="287" spans="4:12" x14ac:dyDescent="0.3">
      <c r="D287" s="2" t="str">
        <f t="shared" si="45"/>
        <v>[ CDO ] - CEDENO</v>
      </c>
      <c r="E287" s="3">
        <f t="shared" si="46"/>
        <v>-25436.896000000008</v>
      </c>
      <c r="F287"/>
      <c r="H287"/>
      <c r="J287"/>
      <c r="L287"/>
    </row>
    <row r="288" spans="4:12" x14ac:dyDescent="0.3">
      <c r="D288" s="2" t="str">
        <f t="shared" si="45"/>
        <v>[ CEN - MYR ] - CENDIS MAYOR</v>
      </c>
      <c r="E288" s="3">
        <f t="shared" si="46"/>
        <v>-2703.529</v>
      </c>
      <c r="F288"/>
      <c r="H288"/>
      <c r="J288"/>
      <c r="L288"/>
    </row>
    <row r="289" spans="4:12" x14ac:dyDescent="0.3">
      <c r="D289" s="2" t="str">
        <f t="shared" si="45"/>
        <v>[ CEN - SWM ] - CENDIS SHOWROOM</v>
      </c>
      <c r="E289" s="3">
        <f t="shared" si="46"/>
        <v>-1035.213</v>
      </c>
      <c r="F289"/>
      <c r="H289"/>
      <c r="J289"/>
      <c r="L289"/>
    </row>
    <row r="290" spans="4:12" x14ac:dyDescent="0.3">
      <c r="D290" s="2" t="str">
        <f t="shared" si="45"/>
        <v>[ CHA ] - CHACAO</v>
      </c>
      <c r="E290" s="3">
        <f t="shared" si="46"/>
        <v>-24328.323999999997</v>
      </c>
      <c r="F290"/>
      <c r="H290"/>
      <c r="J290"/>
      <c r="L290"/>
    </row>
    <row r="291" spans="4:12" x14ac:dyDescent="0.3">
      <c r="D291" s="2" t="str">
        <f t="shared" si="45"/>
        <v>[ CHC ] - CHICHIRIVICHE</v>
      </c>
      <c r="E291" s="3">
        <f t="shared" si="46"/>
        <v>-6307.3859999999977</v>
      </c>
      <c r="F291"/>
      <c r="H291"/>
      <c r="J291"/>
      <c r="L291"/>
    </row>
    <row r="292" spans="4:12" x14ac:dyDescent="0.3">
      <c r="D292" s="2" t="str">
        <f t="shared" si="45"/>
        <v>[ CHI ] - CHIVACOA</v>
      </c>
      <c r="E292" s="3">
        <f t="shared" si="46"/>
        <v>-26912.347999999998</v>
      </c>
      <c r="F292"/>
      <c r="H292"/>
      <c r="J292"/>
      <c r="L292"/>
    </row>
    <row r="293" spans="4:12" x14ac:dyDescent="0.3">
      <c r="D293" s="2" t="str">
        <f t="shared" si="45"/>
        <v>[ CHV ] - CHARALLAVE</v>
      </c>
      <c r="E293" s="3">
        <f t="shared" si="46"/>
        <v>-63248.910000000011</v>
      </c>
      <c r="F293"/>
      <c r="H293"/>
      <c r="J293"/>
      <c r="L293"/>
    </row>
    <row r="294" spans="4:12" x14ac:dyDescent="0.3">
      <c r="D294" s="2" t="str">
        <f t="shared" si="45"/>
        <v>[ CJP ] - CINCO DE JULIO</v>
      </c>
      <c r="E294" s="3">
        <f t="shared" si="46"/>
        <v>-23522.856999999989</v>
      </c>
      <c r="F294"/>
      <c r="H294"/>
      <c r="J294"/>
      <c r="L294"/>
    </row>
    <row r="295" spans="4:12" x14ac:dyDescent="0.3">
      <c r="D295" s="2" t="str">
        <f t="shared" si="45"/>
        <v>[ CLB ] - CALABOZO</v>
      </c>
      <c r="E295" s="3">
        <f t="shared" si="46"/>
        <v>-44930.757999999973</v>
      </c>
      <c r="F295"/>
      <c r="H295"/>
      <c r="J295"/>
      <c r="L295"/>
    </row>
    <row r="296" spans="4:12" x14ac:dyDescent="0.3">
      <c r="D296" s="2" t="str">
        <f t="shared" si="45"/>
        <v>[ CLL ] - CALLAO</v>
      </c>
      <c r="E296" s="3">
        <f t="shared" si="46"/>
        <v>-11992.953999999996</v>
      </c>
      <c r="F296"/>
      <c r="H296"/>
      <c r="J296"/>
      <c r="L296"/>
    </row>
    <row r="297" spans="4:12" x14ac:dyDescent="0.3">
      <c r="D297" s="2" t="str">
        <f t="shared" si="45"/>
        <v>[ CLP ] - CATIA LIFE PHONE</v>
      </c>
      <c r="E297" s="3">
        <f t="shared" si="46"/>
        <v>-46899.647000000012</v>
      </c>
      <c r="F297"/>
      <c r="H297"/>
      <c r="J297"/>
      <c r="L297"/>
    </row>
    <row r="298" spans="4:12" x14ac:dyDescent="0.3">
      <c r="D298" s="2" t="str">
        <f t="shared" si="45"/>
        <v>[ CLT ] - COLONIA TOVAR</v>
      </c>
      <c r="E298" s="3">
        <f t="shared" si="46"/>
        <v>-10142.544999999998</v>
      </c>
      <c r="F298"/>
      <c r="H298"/>
      <c r="J298"/>
      <c r="L298"/>
    </row>
    <row r="299" spans="4:12" x14ac:dyDescent="0.3">
      <c r="D299" s="2" t="str">
        <f t="shared" si="45"/>
        <v>[ CMC ] - CUA</v>
      </c>
      <c r="E299" s="3">
        <f t="shared" si="46"/>
        <v>-45628.571999999971</v>
      </c>
      <c r="F299"/>
      <c r="H299"/>
      <c r="J299"/>
      <c r="L299"/>
    </row>
    <row r="300" spans="4:12" x14ac:dyDescent="0.3">
      <c r="D300" s="2" t="str">
        <f t="shared" si="45"/>
        <v>[ CMO ] - COMERCIO</v>
      </c>
      <c r="E300" s="3">
        <f t="shared" si="46"/>
        <v>-20920.775999999998</v>
      </c>
      <c r="F300"/>
      <c r="H300"/>
      <c r="J300"/>
      <c r="L300"/>
    </row>
    <row r="301" spans="4:12" x14ac:dyDescent="0.3">
      <c r="D301" s="2" t="str">
        <f t="shared" si="45"/>
        <v>[ CNA ] - CUMANACOA</v>
      </c>
      <c r="E301" s="3">
        <f t="shared" si="46"/>
        <v>-28902.058999999994</v>
      </c>
      <c r="F301"/>
      <c r="H301"/>
      <c r="J301"/>
      <c r="L301"/>
    </row>
    <row r="302" spans="4:12" x14ac:dyDescent="0.3">
      <c r="D302" s="2" t="str">
        <f t="shared" si="45"/>
        <v>[ COD ] - COSMOS SHOP</v>
      </c>
      <c r="E302" s="3">
        <f t="shared" si="46"/>
        <v>-61749.768999999971</v>
      </c>
      <c r="F302"/>
      <c r="H302"/>
      <c r="J302"/>
      <c r="L302"/>
    </row>
    <row r="303" spans="4:12" x14ac:dyDescent="0.3">
      <c r="D303" s="2" t="str">
        <f t="shared" si="45"/>
        <v>[ COE ] - SAN CARLOS</v>
      </c>
      <c r="E303" s="3">
        <f t="shared" si="46"/>
        <v>-52758.391000000003</v>
      </c>
      <c r="F303"/>
      <c r="H303"/>
      <c r="J303"/>
      <c r="L303"/>
    </row>
    <row r="304" spans="4:12" x14ac:dyDescent="0.3">
      <c r="D304" s="2" t="str">
        <f t="shared" si="45"/>
        <v>[ COR ] - CORO</v>
      </c>
      <c r="E304" s="3">
        <f t="shared" si="46"/>
        <v>-52666.260000000017</v>
      </c>
      <c r="F304"/>
      <c r="H304"/>
      <c r="J304"/>
      <c r="L304"/>
    </row>
    <row r="305" spans="4:12" x14ac:dyDescent="0.3">
      <c r="D305" s="2" t="str">
        <f t="shared" si="45"/>
        <v>[ CPN ] - CARUPANO</v>
      </c>
      <c r="E305" s="3">
        <f t="shared" si="46"/>
        <v>-57484.96699999999</v>
      </c>
      <c r="F305"/>
      <c r="H305"/>
      <c r="J305"/>
      <c r="L305"/>
    </row>
    <row r="306" spans="4:12" x14ac:dyDescent="0.3">
      <c r="D306" s="2" t="str">
        <f t="shared" si="45"/>
        <v>[ CRN ] - CLARINES</v>
      </c>
      <c r="E306" s="3">
        <f t="shared" si="46"/>
        <v>-13241.610999999999</v>
      </c>
      <c r="F306"/>
      <c r="H306"/>
      <c r="J306"/>
      <c r="L306"/>
    </row>
    <row r="307" spans="4:12" x14ac:dyDescent="0.3">
      <c r="D307" s="2" t="str">
        <f t="shared" si="45"/>
        <v>[ CRP ] - CARIPE</v>
      </c>
      <c r="E307" s="3">
        <f t="shared" si="46"/>
        <v>-33525.022999999994</v>
      </c>
      <c r="F307"/>
      <c r="H307"/>
      <c r="J307"/>
      <c r="L307"/>
    </row>
    <row r="308" spans="4:12" x14ac:dyDescent="0.3">
      <c r="D308" s="2" t="str">
        <f t="shared" si="45"/>
        <v>[ CRR ] - CARORA</v>
      </c>
      <c r="E308" s="3">
        <f t="shared" si="46"/>
        <v>-47276.453000000001</v>
      </c>
      <c r="F308"/>
      <c r="H308"/>
      <c r="J308"/>
      <c r="L308"/>
    </row>
    <row r="309" spans="4:12" x14ac:dyDescent="0.3">
      <c r="D309" s="2" t="str">
        <f t="shared" si="45"/>
        <v>[ CRT ] - CARIPITO</v>
      </c>
      <c r="E309" s="3">
        <f t="shared" si="46"/>
        <v>-25604.990000000009</v>
      </c>
      <c r="F309"/>
      <c r="H309"/>
      <c r="J309"/>
      <c r="L309"/>
    </row>
    <row r="310" spans="4:12" x14ac:dyDescent="0.3">
      <c r="D310" s="2" t="str">
        <f t="shared" ref="D310:D341" si="47">D79</f>
        <v>[ CSZ ] - CAJA SECA ZULIA</v>
      </c>
      <c r="E310" s="3">
        <f t="shared" ref="E310:E341" si="48">K79</f>
        <v>-13967.755000000008</v>
      </c>
      <c r="F310"/>
      <c r="H310"/>
      <c r="J310"/>
      <c r="L310"/>
    </row>
    <row r="311" spans="4:12" x14ac:dyDescent="0.3">
      <c r="D311" s="2" t="str">
        <f t="shared" si="47"/>
        <v>[ CTA ] - CANTAURA</v>
      </c>
      <c r="E311" s="3">
        <f t="shared" si="48"/>
        <v>-21503.214000000007</v>
      </c>
      <c r="F311"/>
      <c r="H311"/>
      <c r="J311"/>
      <c r="L311"/>
    </row>
    <row r="312" spans="4:12" x14ac:dyDescent="0.3">
      <c r="D312" s="2" t="str">
        <f t="shared" si="47"/>
        <v>[ CTD ] - CITY 2</v>
      </c>
      <c r="E312" s="3">
        <f t="shared" si="48"/>
        <v>-9347.6899999999951</v>
      </c>
      <c r="F312"/>
      <c r="H312"/>
      <c r="J312"/>
      <c r="L312"/>
    </row>
    <row r="313" spans="4:12" x14ac:dyDescent="0.3">
      <c r="D313" s="2" t="str">
        <f t="shared" si="47"/>
        <v>[ CTL ] - CARTANAL</v>
      </c>
      <c r="E313" s="3">
        <f t="shared" si="48"/>
        <v>-42149.214000000007</v>
      </c>
      <c r="F313"/>
      <c r="H313"/>
      <c r="J313"/>
      <c r="L313"/>
    </row>
    <row r="314" spans="4:12" x14ac:dyDescent="0.3">
      <c r="D314" s="2" t="str">
        <f t="shared" si="47"/>
        <v>[ CTM ] - CATIA LA MAR</v>
      </c>
      <c r="E314" s="3">
        <f t="shared" si="48"/>
        <v>20147.583999999999</v>
      </c>
      <c r="F314"/>
      <c r="H314"/>
      <c r="J314"/>
      <c r="L314"/>
    </row>
    <row r="315" spans="4:12" x14ac:dyDescent="0.3">
      <c r="D315" s="2" t="str">
        <f t="shared" si="47"/>
        <v>[ CTO ] - CEMENTERIO</v>
      </c>
      <c r="E315" s="3">
        <f t="shared" si="48"/>
        <v>-25327.582000000002</v>
      </c>
      <c r="F315"/>
      <c r="H315"/>
      <c r="J315"/>
      <c r="L315"/>
    </row>
    <row r="316" spans="4:12" x14ac:dyDescent="0.3">
      <c r="D316" s="2" t="str">
        <f t="shared" si="47"/>
        <v>[ CTS ] - CIUDAD TAMANACO SEGUNDO</v>
      </c>
      <c r="E316" s="3">
        <f t="shared" si="48"/>
        <v>-16728.505999999998</v>
      </c>
      <c r="F316"/>
      <c r="H316"/>
      <c r="J316"/>
      <c r="L316"/>
    </row>
    <row r="317" spans="4:12" x14ac:dyDescent="0.3">
      <c r="D317" s="2" t="str">
        <f t="shared" si="47"/>
        <v>[ CTT ] - CITY 3</v>
      </c>
      <c r="E317" s="3">
        <f t="shared" si="48"/>
        <v>-45040.945999999989</v>
      </c>
      <c r="F317"/>
      <c r="H317"/>
      <c r="J317"/>
      <c r="L317"/>
    </row>
    <row r="318" spans="4:12" x14ac:dyDescent="0.3">
      <c r="D318" s="2" t="str">
        <f t="shared" si="47"/>
        <v>[ CTU ] - CITY 1</v>
      </c>
      <c r="E318" s="3">
        <f t="shared" si="48"/>
        <v>-6104.9289999999964</v>
      </c>
      <c r="F318"/>
      <c r="H318"/>
      <c r="J318"/>
      <c r="L318"/>
    </row>
    <row r="319" spans="4:12" x14ac:dyDescent="0.3">
      <c r="D319" s="2" t="str">
        <f t="shared" si="47"/>
        <v>[ CUA ] - CUMANA SHOP</v>
      </c>
      <c r="E319" s="3">
        <f t="shared" si="48"/>
        <v>-48673.082999999999</v>
      </c>
      <c r="F319"/>
      <c r="H319"/>
      <c r="J319"/>
      <c r="L319"/>
    </row>
    <row r="320" spans="4:12" x14ac:dyDescent="0.3">
      <c r="D320" s="2" t="str">
        <f t="shared" si="47"/>
        <v>[ CUG ] - CAUCAGUA</v>
      </c>
      <c r="E320" s="3">
        <f t="shared" si="48"/>
        <v>-11100.916000000003</v>
      </c>
      <c r="F320"/>
      <c r="H320"/>
      <c r="J320"/>
      <c r="L320"/>
    </row>
    <row r="321" spans="4:12" x14ac:dyDescent="0.3">
      <c r="D321" s="2" t="str">
        <f t="shared" si="47"/>
        <v>[ DCA ] - DUACA</v>
      </c>
      <c r="E321" s="3">
        <f t="shared" si="48"/>
        <v>-17324.526000000005</v>
      </c>
      <c r="F321"/>
      <c r="H321"/>
      <c r="J321"/>
      <c r="L321"/>
    </row>
    <row r="322" spans="4:12" x14ac:dyDescent="0.3">
      <c r="D322" s="2" t="str">
        <f t="shared" si="47"/>
        <v>[ ECJ ] - EL CUJI</v>
      </c>
      <c r="E322" s="3">
        <f t="shared" si="48"/>
        <v>-18906.165000000008</v>
      </c>
      <c r="F322"/>
      <c r="H322"/>
      <c r="J322"/>
      <c r="L322"/>
    </row>
    <row r="323" spans="4:12" x14ac:dyDescent="0.3">
      <c r="D323" s="2" t="str">
        <f t="shared" si="47"/>
        <v>[ ECM ] ECOMMERCE</v>
      </c>
      <c r="E323" s="3">
        <f t="shared" si="48"/>
        <v>-68446.982999999978</v>
      </c>
      <c r="F323"/>
      <c r="H323"/>
      <c r="J323"/>
      <c r="L323"/>
    </row>
    <row r="324" spans="4:12" x14ac:dyDescent="0.3">
      <c r="D324" s="2" t="str">
        <f t="shared" si="47"/>
        <v>[ EJD ] - EJIDO</v>
      </c>
      <c r="E324" s="3">
        <f t="shared" si="48"/>
        <v>-16958.823999999997</v>
      </c>
      <c r="F324"/>
      <c r="H324"/>
      <c r="J324"/>
      <c r="L324"/>
    </row>
    <row r="325" spans="4:12" x14ac:dyDescent="0.3">
      <c r="D325" s="2" t="str">
        <f t="shared" si="47"/>
        <v>[ ELZ ] - ELORZA</v>
      </c>
      <c r="E325" s="3">
        <f t="shared" si="48"/>
        <v>-10871.643999999997</v>
      </c>
      <c r="F325"/>
      <c r="H325"/>
      <c r="J325"/>
      <c r="L325"/>
    </row>
    <row r="326" spans="4:12" x14ac:dyDescent="0.3">
      <c r="D326" s="2" t="str">
        <f t="shared" si="47"/>
        <v>[ EMT ] - EL MANTECO</v>
      </c>
      <c r="E326" s="3">
        <f t="shared" si="48"/>
        <v>-3622.1830000000009</v>
      </c>
      <c r="F326"/>
      <c r="H326"/>
      <c r="J326"/>
      <c r="L326"/>
    </row>
    <row r="327" spans="4:12" x14ac:dyDescent="0.3">
      <c r="D327" s="2" t="str">
        <f t="shared" si="47"/>
        <v>[ FAM ] - FLOR AMARILLO</v>
      </c>
      <c r="E327" s="3">
        <f t="shared" si="48"/>
        <v>-18817.617999999995</v>
      </c>
      <c r="F327"/>
      <c r="H327"/>
      <c r="J327"/>
      <c r="L327"/>
    </row>
    <row r="328" spans="4:12" x14ac:dyDescent="0.3">
      <c r="D328" s="2" t="str">
        <f t="shared" si="47"/>
        <v>[ FMD ] - FREEMARKET 2</v>
      </c>
      <c r="E328" s="3">
        <f t="shared" si="48"/>
        <v>-16621.678999999996</v>
      </c>
      <c r="F328"/>
      <c r="H328"/>
      <c r="J328"/>
      <c r="L328"/>
    </row>
    <row r="329" spans="4:12" x14ac:dyDescent="0.3">
      <c r="D329" s="2" t="str">
        <f t="shared" si="47"/>
        <v>[ FOR - CHV ] - FORUM CHARALLAVE</v>
      </c>
      <c r="E329" s="3">
        <f t="shared" si="48"/>
        <v>-10636.114000000001</v>
      </c>
      <c r="F329"/>
      <c r="H329"/>
      <c r="J329"/>
      <c r="L329"/>
    </row>
    <row r="330" spans="4:12" x14ac:dyDescent="0.3">
      <c r="D330" s="2" t="str">
        <f t="shared" si="47"/>
        <v>[ FOR - GTE ] - FORUM GUATIRE</v>
      </c>
      <c r="E330" s="3">
        <f t="shared" si="48"/>
        <v>-18236.063000000009</v>
      </c>
      <c r="F330"/>
      <c r="H330"/>
      <c r="J330"/>
      <c r="L330"/>
    </row>
    <row r="331" spans="4:12" x14ac:dyDescent="0.3">
      <c r="D331" s="2" t="str">
        <f t="shared" si="47"/>
        <v>[ FOR - ISF ] - FORUM IPSFA</v>
      </c>
      <c r="E331" s="3">
        <f t="shared" si="48"/>
        <v>-13450.395999999999</v>
      </c>
      <c r="F331"/>
      <c r="H331"/>
      <c r="J331"/>
      <c r="L331"/>
    </row>
    <row r="332" spans="4:12" x14ac:dyDescent="0.3">
      <c r="D332" s="2" t="str">
        <f t="shared" si="47"/>
        <v>[ FOR - PRS ] - FORUM PARAISO</v>
      </c>
      <c r="E332" s="3">
        <f t="shared" si="48"/>
        <v>-7977.4570000000031</v>
      </c>
      <c r="F332"/>
      <c r="H332"/>
      <c r="J332"/>
      <c r="L332"/>
    </row>
    <row r="333" spans="4:12" x14ac:dyDescent="0.3">
      <c r="D333" s="2" t="str">
        <f t="shared" si="47"/>
        <v>[ FOR - PZV ] - FORUM PLAZA VENEZUELA</v>
      </c>
      <c r="E333" s="3">
        <f t="shared" si="48"/>
        <v>-2704.1210000000005</v>
      </c>
      <c r="F333"/>
      <c r="H333"/>
      <c r="J333"/>
      <c r="L333"/>
    </row>
    <row r="334" spans="4:12" x14ac:dyDescent="0.3">
      <c r="D334" s="2" t="str">
        <f t="shared" si="47"/>
        <v>[ FRM ] - FREEMARKET</v>
      </c>
      <c r="E334" s="3">
        <f t="shared" si="48"/>
        <v>-32726.108000000004</v>
      </c>
      <c r="F334"/>
      <c r="H334"/>
      <c r="J334"/>
      <c r="L334"/>
    </row>
    <row r="335" spans="4:12" x14ac:dyDescent="0.3">
      <c r="D335" s="2" t="str">
        <f t="shared" si="47"/>
        <v>[ GCA ] - GUACARA</v>
      </c>
      <c r="E335" s="3">
        <f t="shared" si="48"/>
        <v>-56937.347999999998</v>
      </c>
      <c r="F335"/>
      <c r="H335"/>
      <c r="J335"/>
      <c r="L335"/>
    </row>
    <row r="336" spans="4:12" x14ac:dyDescent="0.3">
      <c r="D336" s="2" t="str">
        <f t="shared" si="47"/>
        <v>[ GIA ] - GUIRIA</v>
      </c>
      <c r="E336" s="3">
        <f t="shared" si="48"/>
        <v>-17032.056000000004</v>
      </c>
      <c r="F336"/>
      <c r="H336"/>
      <c r="J336"/>
      <c r="L336"/>
    </row>
    <row r="337" spans="4:12" x14ac:dyDescent="0.3">
      <c r="D337" s="2" t="str">
        <f t="shared" si="47"/>
        <v>[ GNO ] - GUANARITO</v>
      </c>
      <c r="E337" s="3">
        <f t="shared" si="48"/>
        <v>-9733.8959999999988</v>
      </c>
      <c r="F337"/>
      <c r="H337"/>
      <c r="J337"/>
      <c r="L337"/>
    </row>
    <row r="338" spans="4:12" x14ac:dyDescent="0.3">
      <c r="D338" s="2" t="str">
        <f t="shared" si="47"/>
        <v>[ GNR ] - GUANARE</v>
      </c>
      <c r="E338" s="3">
        <f t="shared" si="48"/>
        <v>-33331.457999999999</v>
      </c>
      <c r="F338"/>
      <c r="H338"/>
      <c r="J338"/>
      <c r="L338"/>
    </row>
    <row r="339" spans="4:12" x14ac:dyDescent="0.3">
      <c r="D339" s="2" t="str">
        <f t="shared" si="47"/>
        <v>[ GNT ] - GUANTA</v>
      </c>
      <c r="E339" s="3">
        <f t="shared" si="48"/>
        <v>-13428.610000000004</v>
      </c>
      <c r="F339"/>
      <c r="H339"/>
      <c r="J339"/>
      <c r="L339"/>
    </row>
    <row r="340" spans="4:12" x14ac:dyDescent="0.3">
      <c r="D340" s="2" t="str">
        <f t="shared" si="47"/>
        <v>[ GPT ] - GUASIPATI</v>
      </c>
      <c r="E340" s="3">
        <f t="shared" si="48"/>
        <v>-16354.121000000006</v>
      </c>
      <c r="F340"/>
      <c r="H340"/>
      <c r="J340"/>
      <c r="L340"/>
    </row>
    <row r="341" spans="4:12" x14ac:dyDescent="0.3">
      <c r="D341" s="2" t="str">
        <f t="shared" si="47"/>
        <v>[ GRA ] - GUARENAS</v>
      </c>
      <c r="E341" s="3">
        <f t="shared" si="48"/>
        <v>-42182.445000000022</v>
      </c>
      <c r="F341"/>
      <c r="H341"/>
      <c r="J341"/>
      <c r="L341"/>
    </row>
    <row r="342" spans="4:12" x14ac:dyDescent="0.3">
      <c r="D342" s="2" t="str">
        <f t="shared" ref="D342:D373" si="49">D111</f>
        <v>[ GTE ] - GUATIRE</v>
      </c>
      <c r="E342" s="3">
        <f t="shared" ref="E342:E373" si="50">K111</f>
        <v>-45499.148000000001</v>
      </c>
      <c r="F342"/>
      <c r="H342"/>
      <c r="J342"/>
      <c r="L342"/>
    </row>
    <row r="343" spans="4:12" x14ac:dyDescent="0.3">
      <c r="D343" s="2" t="str">
        <f t="shared" si="49"/>
        <v>[ GTN ] - GATO NEGRO</v>
      </c>
      <c r="E343" s="3">
        <f t="shared" si="50"/>
        <v>-27590.536</v>
      </c>
      <c r="F343"/>
      <c r="H343"/>
      <c r="J343"/>
      <c r="L343"/>
    </row>
    <row r="344" spans="4:12" x14ac:dyDescent="0.3">
      <c r="D344" s="2" t="str">
        <f t="shared" si="49"/>
        <v>[ HGT ] - HIGUEROTE</v>
      </c>
      <c r="E344" s="3">
        <f t="shared" si="50"/>
        <v>-46896.55799999999</v>
      </c>
      <c r="F344"/>
      <c r="H344"/>
      <c r="J344"/>
      <c r="L344"/>
    </row>
    <row r="345" spans="4:12" x14ac:dyDescent="0.3">
      <c r="D345" s="2" t="str">
        <f t="shared" si="49"/>
        <v>[ IGD ] - CALLE IGUALDAD</v>
      </c>
      <c r="E345" s="3">
        <f t="shared" si="50"/>
        <v>-13508.124</v>
      </c>
      <c r="F345"/>
      <c r="H345"/>
      <c r="J345"/>
      <c r="L345"/>
    </row>
    <row r="346" spans="4:12" x14ac:dyDescent="0.3">
      <c r="D346" s="2" t="str">
        <f t="shared" si="49"/>
        <v>[ LBD ] - LA BANDERA</v>
      </c>
      <c r="E346" s="3">
        <f t="shared" si="50"/>
        <v>-11911.556999999999</v>
      </c>
      <c r="F346"/>
      <c r="H346"/>
      <c r="J346"/>
      <c r="L346"/>
    </row>
    <row r="347" spans="4:12" x14ac:dyDescent="0.3">
      <c r="D347" s="2" t="str">
        <f t="shared" si="49"/>
        <v>[ LCH ] - LECHERIA</v>
      </c>
      <c r="E347" s="3">
        <f t="shared" si="50"/>
        <v>-16849.707999999991</v>
      </c>
      <c r="F347"/>
      <c r="H347"/>
      <c r="J347"/>
      <c r="L347"/>
    </row>
    <row r="348" spans="4:12" x14ac:dyDescent="0.3">
      <c r="D348" s="2" t="str">
        <f t="shared" si="49"/>
        <v>[ LLN ] - LLANERO</v>
      </c>
      <c r="E348" s="3">
        <f t="shared" si="50"/>
        <v>-14657.733000000004</v>
      </c>
      <c r="F348"/>
      <c r="H348"/>
      <c r="J348"/>
      <c r="L348"/>
    </row>
    <row r="349" spans="4:12" x14ac:dyDescent="0.3">
      <c r="D349" s="2" t="str">
        <f t="shared" si="49"/>
        <v>[ LMU ] - LA MARRON 1</v>
      </c>
      <c r="E349" s="3">
        <f t="shared" si="50"/>
        <v>-36394.716000000008</v>
      </c>
      <c r="F349"/>
      <c r="H349"/>
      <c r="J349"/>
      <c r="L349"/>
    </row>
    <row r="350" spans="4:12" x14ac:dyDescent="0.3">
      <c r="D350" s="2" t="str">
        <f t="shared" si="49"/>
        <v>[ LPG ] - LA PARAGUA</v>
      </c>
      <c r="E350" s="3">
        <f t="shared" si="50"/>
        <v>-9019.4170000000013</v>
      </c>
      <c r="F350"/>
      <c r="H350"/>
      <c r="J350"/>
      <c r="L350"/>
    </row>
    <row r="351" spans="4:12" x14ac:dyDescent="0.3">
      <c r="D351" s="2" t="str">
        <f t="shared" si="49"/>
        <v>[ MCQ ] - MACHIQUES</v>
      </c>
      <c r="E351" s="3">
        <f t="shared" si="50"/>
        <v>-3362.6699999999978</v>
      </c>
      <c r="F351"/>
      <c r="H351"/>
      <c r="J351"/>
      <c r="L351"/>
    </row>
    <row r="352" spans="4:12" x14ac:dyDescent="0.3">
      <c r="D352" s="2" t="str">
        <f t="shared" si="49"/>
        <v>[ MCY ] - MARACAY</v>
      </c>
      <c r="E352" s="3">
        <f t="shared" si="50"/>
        <v>-32537.763000000006</v>
      </c>
      <c r="F352"/>
      <c r="H352"/>
      <c r="J352"/>
      <c r="L352"/>
    </row>
    <row r="353" spans="4:12" x14ac:dyDescent="0.3">
      <c r="D353" s="2" t="str">
        <f t="shared" si="49"/>
        <v>[ MDB ] - MINAS DE BARUTA</v>
      </c>
      <c r="E353" s="3">
        <f t="shared" si="50"/>
        <v>-14739.957</v>
      </c>
      <c r="F353"/>
      <c r="H353"/>
      <c r="J353"/>
      <c r="L353"/>
    </row>
    <row r="354" spans="4:12" x14ac:dyDescent="0.3">
      <c r="D354" s="2" t="str">
        <f t="shared" si="49"/>
        <v>[ MEC ] - MARACAY ESTACION CENTRAL</v>
      </c>
      <c r="E354" s="3">
        <f t="shared" si="50"/>
        <v>-12302.043</v>
      </c>
      <c r="F354"/>
      <c r="H354"/>
      <c r="J354"/>
      <c r="L354"/>
    </row>
    <row r="355" spans="4:12" x14ac:dyDescent="0.3">
      <c r="D355" s="2" t="str">
        <f t="shared" si="49"/>
        <v>[ MGT ] - MARGARITA SHOP</v>
      </c>
      <c r="E355" s="3">
        <f t="shared" si="50"/>
        <v>-20862.623000000003</v>
      </c>
      <c r="F355"/>
      <c r="H355"/>
      <c r="J355"/>
      <c r="L355"/>
    </row>
    <row r="356" spans="4:12" x14ac:dyDescent="0.3">
      <c r="D356" s="2" t="str">
        <f t="shared" si="49"/>
        <v>[ MGZ ] - MENE GRANDE ZULIA</v>
      </c>
      <c r="E356" s="3">
        <f t="shared" si="50"/>
        <v>-16568.209999999988</v>
      </c>
      <c r="F356"/>
      <c r="H356"/>
      <c r="J356"/>
      <c r="L356"/>
    </row>
    <row r="357" spans="4:12" x14ac:dyDescent="0.3">
      <c r="D357" s="2" t="str">
        <f t="shared" si="49"/>
        <v>[ MID ] - MERIDA SHOP</v>
      </c>
      <c r="E357" s="3">
        <f t="shared" si="50"/>
        <v>-31129.047999999988</v>
      </c>
      <c r="F357"/>
      <c r="H357"/>
      <c r="J357"/>
      <c r="L357"/>
    </row>
    <row r="358" spans="4:12" x14ac:dyDescent="0.3">
      <c r="D358" s="2" t="str">
        <f t="shared" si="49"/>
        <v>[ MJN ] - MOJAN</v>
      </c>
      <c r="E358" s="3">
        <f t="shared" si="50"/>
        <v>-13368.694</v>
      </c>
      <c r="F358"/>
      <c r="H358"/>
      <c r="J358"/>
      <c r="L358"/>
    </row>
    <row r="359" spans="4:12" x14ac:dyDescent="0.3">
      <c r="D359" s="2" t="str">
        <f t="shared" si="49"/>
        <v>[ MKD ] - MACROCENTRO 2 SHOP</v>
      </c>
      <c r="E359" s="3">
        <f t="shared" si="50"/>
        <v>-38779.071000000025</v>
      </c>
      <c r="F359"/>
      <c r="H359"/>
      <c r="J359"/>
      <c r="L359"/>
    </row>
    <row r="360" spans="4:12" x14ac:dyDescent="0.3">
      <c r="D360" s="2" t="str">
        <f t="shared" si="49"/>
        <v>[ MKU ] - MACROCENTRO 1</v>
      </c>
      <c r="E360" s="3">
        <f t="shared" si="50"/>
        <v>-12592.194999999992</v>
      </c>
      <c r="F360"/>
      <c r="H360"/>
      <c r="J360"/>
      <c r="L360"/>
    </row>
    <row r="361" spans="4:12" x14ac:dyDescent="0.3">
      <c r="D361" s="2" t="str">
        <f t="shared" si="49"/>
        <v>[ MNT ] - MONAY TRUJILLO</v>
      </c>
      <c r="E361" s="3">
        <f t="shared" si="50"/>
        <v>-18868.491999999998</v>
      </c>
      <c r="F361"/>
      <c r="H361"/>
      <c r="J361"/>
      <c r="L361"/>
    </row>
    <row r="362" spans="4:12" x14ac:dyDescent="0.3">
      <c r="D362" s="2" t="str">
        <f t="shared" si="49"/>
        <v>[ MOC ] - CANGURO MOVIL</v>
      </c>
      <c r="E362" s="3">
        <f t="shared" si="50"/>
        <v>73.849999999999994</v>
      </c>
      <c r="F362"/>
      <c r="H362"/>
      <c r="J362"/>
      <c r="L362"/>
    </row>
    <row r="363" spans="4:12" x14ac:dyDescent="0.3">
      <c r="D363" s="2" t="str">
        <f t="shared" si="49"/>
        <v>[ MPC ] - MARKET PLACE CANGURO</v>
      </c>
      <c r="E363" s="3">
        <f t="shared" si="50"/>
        <v>-15214.876999999989</v>
      </c>
      <c r="F363"/>
      <c r="H363"/>
      <c r="J363"/>
      <c r="L363"/>
    </row>
    <row r="364" spans="4:12" x14ac:dyDescent="0.3">
      <c r="D364" s="2" t="str">
        <f t="shared" si="49"/>
        <v>[ MRN ] - MORON</v>
      </c>
      <c r="E364" s="3">
        <f t="shared" si="50"/>
        <v>-27071.797999999988</v>
      </c>
      <c r="F364"/>
      <c r="H364"/>
      <c r="J364"/>
      <c r="L364"/>
    </row>
    <row r="365" spans="4:12" x14ac:dyDescent="0.3">
      <c r="D365" s="2" t="str">
        <f t="shared" si="49"/>
        <v>[ MTC ] - MANTECAL</v>
      </c>
      <c r="E365" s="3">
        <f t="shared" si="50"/>
        <v>-7268.9029999999984</v>
      </c>
      <c r="F365"/>
      <c r="H365"/>
      <c r="J365"/>
      <c r="L365"/>
    </row>
    <row r="366" spans="4:12" x14ac:dyDescent="0.3">
      <c r="D366" s="2" t="str">
        <f t="shared" si="49"/>
        <v>[ MTP ] - METROPOLIS</v>
      </c>
      <c r="E366" s="3">
        <f t="shared" si="50"/>
        <v>-27800.086999999996</v>
      </c>
      <c r="F366"/>
      <c r="H366"/>
      <c r="J366"/>
      <c r="L366"/>
    </row>
    <row r="367" spans="4:12" x14ac:dyDescent="0.3">
      <c r="D367" s="2" t="str">
        <f t="shared" si="49"/>
        <v>[ MUN ] - MATURIN SHOP</v>
      </c>
      <c r="E367" s="3">
        <f t="shared" si="50"/>
        <v>-59654.22100000002</v>
      </c>
      <c r="F367"/>
      <c r="H367"/>
      <c r="J367"/>
      <c r="L367"/>
    </row>
    <row r="368" spans="4:12" x14ac:dyDescent="0.3">
      <c r="D368" s="2" t="str">
        <f t="shared" si="49"/>
        <v xml:space="preserve">[ MVT - BVT ] MOVISTAR BELLA VISTA </v>
      </c>
      <c r="E368" s="3">
        <f t="shared" si="50"/>
        <v>-467.44900000000018</v>
      </c>
      <c r="F368"/>
      <c r="H368"/>
      <c r="J368"/>
      <c r="L368"/>
    </row>
    <row r="369" spans="4:12" x14ac:dyDescent="0.3">
      <c r="D369" s="2" t="str">
        <f t="shared" si="49"/>
        <v>[ MVT - CCT ] - MOVISTAR CIUDAD TAMANACO</v>
      </c>
      <c r="E369" s="3">
        <f t="shared" si="50"/>
        <v>-2654.9900000000011</v>
      </c>
      <c r="F369"/>
      <c r="H369"/>
      <c r="J369"/>
      <c r="L369"/>
    </row>
    <row r="370" spans="4:12" x14ac:dyDescent="0.3">
      <c r="D370" s="2" t="str">
        <f t="shared" si="49"/>
        <v>[ MVT - GRZ ] - MOVISTAR LAS GARZAS</v>
      </c>
      <c r="E370" s="3">
        <f t="shared" si="50"/>
        <v>-751.26200000000028</v>
      </c>
      <c r="F370"/>
      <c r="H370"/>
      <c r="J370"/>
      <c r="L370"/>
    </row>
    <row r="371" spans="4:12" x14ac:dyDescent="0.3">
      <c r="D371" s="2" t="str">
        <f t="shared" si="49"/>
        <v>[ MVT - LNS ] MOVISTAR LOS LEONES</v>
      </c>
      <c r="E371" s="3">
        <f t="shared" si="50"/>
        <v>-1628.2280000000001</v>
      </c>
      <c r="F371"/>
      <c r="H371"/>
      <c r="J371"/>
      <c r="L371"/>
    </row>
    <row r="372" spans="4:12" x14ac:dyDescent="0.3">
      <c r="D372" s="2" t="str">
        <f t="shared" si="49"/>
        <v>[ MVT - LVÑ ] MOVISTAR LA VIÑA</v>
      </c>
      <c r="E372" s="3">
        <f t="shared" si="50"/>
        <v>-170.63699999999949</v>
      </c>
      <c r="F372"/>
      <c r="H372"/>
      <c r="J372"/>
      <c r="L372"/>
    </row>
    <row r="373" spans="4:12" x14ac:dyDescent="0.3">
      <c r="D373" s="2" t="str">
        <f t="shared" si="49"/>
        <v>[ MVT - PCC ] - MOVISTAR PARQUE CENTRAL CANAIMA</v>
      </c>
      <c r="E373" s="3">
        <f t="shared" si="50"/>
        <v>922.91</v>
      </c>
      <c r="F373"/>
      <c r="H373"/>
      <c r="J373"/>
      <c r="L373"/>
    </row>
    <row r="374" spans="4:12" x14ac:dyDescent="0.3">
      <c r="D374" s="2" t="str">
        <f t="shared" ref="D374:D383" si="51">D143</f>
        <v>[ MVT - SCB ] MOVISTAR SAN CRISTÓBAL</v>
      </c>
      <c r="E374" s="3">
        <f t="shared" ref="E374:E383" si="52">K143</f>
        <v>128.45399999999984</v>
      </c>
      <c r="F374"/>
      <c r="H374"/>
      <c r="J374"/>
      <c r="L374"/>
    </row>
    <row r="375" spans="4:12" x14ac:dyDescent="0.3">
      <c r="D375" s="2" t="str">
        <f t="shared" si="51"/>
        <v xml:space="preserve">[ MVT- LDC ] MOVISTAR LAS DELICIAS </v>
      </c>
      <c r="E375" s="3">
        <f t="shared" si="52"/>
        <v>-540.87800000000004</v>
      </c>
      <c r="F375"/>
      <c r="H375"/>
      <c r="J375"/>
      <c r="L375"/>
    </row>
    <row r="376" spans="4:12" x14ac:dyDescent="0.3">
      <c r="D376" s="2" t="str">
        <f t="shared" si="51"/>
        <v>[ NGA ] - NIRGUA</v>
      </c>
      <c r="E376" s="3">
        <f t="shared" si="52"/>
        <v>-24375.771999999986</v>
      </c>
      <c r="F376"/>
      <c r="H376"/>
      <c r="J376"/>
      <c r="L376"/>
    </row>
    <row r="377" spans="4:12" x14ac:dyDescent="0.3">
      <c r="D377" s="2" t="str">
        <f t="shared" si="51"/>
        <v>[ NGT ] - NAIGUATA</v>
      </c>
      <c r="E377" s="3">
        <f t="shared" si="52"/>
        <v>-12195.553</v>
      </c>
      <c r="F377"/>
      <c r="H377"/>
      <c r="J377"/>
      <c r="L377"/>
    </row>
    <row r="378" spans="4:12" x14ac:dyDescent="0.3">
      <c r="D378" s="2" t="str">
        <f t="shared" si="51"/>
        <v>[ OCT ] - OCUMARE DEL TUY</v>
      </c>
      <c r="E378" s="3">
        <f t="shared" si="52"/>
        <v>-54499.437000000034</v>
      </c>
      <c r="F378"/>
      <c r="H378"/>
      <c r="J378"/>
      <c r="L378"/>
    </row>
    <row r="379" spans="4:12" x14ac:dyDescent="0.3">
      <c r="D379" s="2" t="str">
        <f t="shared" si="51"/>
        <v>[ ODA ] - CIUDAD OJEDA</v>
      </c>
      <c r="E379" s="3">
        <f t="shared" si="52"/>
        <v>-42628.29099999999</v>
      </c>
      <c r="F379"/>
      <c r="H379"/>
      <c r="J379"/>
      <c r="L379"/>
    </row>
    <row r="380" spans="4:12" x14ac:dyDescent="0.3">
      <c r="D380" s="2" t="str">
        <f t="shared" si="51"/>
        <v>[ OPO ] - OSPINO</v>
      </c>
      <c r="E380" s="3">
        <f t="shared" si="52"/>
        <v>-12726.782999999996</v>
      </c>
      <c r="F380"/>
      <c r="H380"/>
      <c r="J380"/>
      <c r="L380"/>
    </row>
    <row r="381" spans="4:12" x14ac:dyDescent="0.3">
      <c r="D381" s="2" t="str">
        <f t="shared" si="51"/>
        <v>[ ORK ] - ORINOKIA</v>
      </c>
      <c r="E381" s="3">
        <f t="shared" si="52"/>
        <v>-28953.087999999992</v>
      </c>
      <c r="F381"/>
      <c r="H381"/>
      <c r="J381"/>
      <c r="L381"/>
    </row>
    <row r="382" spans="4:12" x14ac:dyDescent="0.3">
      <c r="D382" s="2" t="str">
        <f t="shared" si="51"/>
        <v>[ PDB ] - PEDRAZA</v>
      </c>
      <c r="E382" s="3">
        <f t="shared" si="52"/>
        <v>-7348.3270000000011</v>
      </c>
      <c r="F382"/>
      <c r="H382"/>
      <c r="J382"/>
      <c r="L382"/>
    </row>
    <row r="383" spans="4:12" x14ac:dyDescent="0.3">
      <c r="D383" s="2" t="str">
        <f t="shared" si="51"/>
        <v>[ PDM ] - PUNTA DE MATA</v>
      </c>
      <c r="E383" s="3">
        <f t="shared" si="52"/>
        <v>-49210.929000000004</v>
      </c>
      <c r="F383"/>
      <c r="H383"/>
      <c r="J383"/>
      <c r="L383"/>
    </row>
    <row r="384" spans="4:12" x14ac:dyDescent="0.3">
      <c r="D384" s="2" t="e">
        <f>#REF!</f>
        <v>#REF!</v>
      </c>
      <c r="E384" s="3" t="e">
        <f>#REF!</f>
        <v>#REF!</v>
      </c>
      <c r="F384"/>
      <c r="H384"/>
      <c r="J384"/>
      <c r="L384"/>
    </row>
    <row r="385" spans="4:12" x14ac:dyDescent="0.3">
      <c r="D385" s="2" t="str">
        <f>D153</f>
        <v>[ PDV - GUO ] - PDVSA GUARAGUO</v>
      </c>
      <c r="E385" s="3">
        <f>K153</f>
        <v>183.98099999999999</v>
      </c>
      <c r="F385"/>
      <c r="H385"/>
      <c r="J385"/>
      <c r="L385"/>
    </row>
    <row r="386" spans="4:12" x14ac:dyDescent="0.3">
      <c r="D386" s="2" t="e">
        <f>#REF!</f>
        <v>#REF!</v>
      </c>
      <c r="E386" s="3" t="e">
        <f>#REF!</f>
        <v>#REF!</v>
      </c>
      <c r="F386"/>
      <c r="H386"/>
      <c r="J386"/>
      <c r="L386"/>
    </row>
    <row r="387" spans="4:12" x14ac:dyDescent="0.3">
      <c r="D387" s="2" t="str">
        <f t="shared" ref="D387:D438" si="53">D154</f>
        <v>[ PDV - LGN ] - PDVSA LAGUNA</v>
      </c>
      <c r="E387" s="3">
        <f t="shared" ref="E387:E438" si="54">K154</f>
        <v>-14.718999999999999</v>
      </c>
      <c r="F387"/>
      <c r="H387"/>
      <c r="J387"/>
      <c r="L387"/>
    </row>
    <row r="388" spans="4:12" x14ac:dyDescent="0.3">
      <c r="D388" s="2" t="str">
        <f t="shared" si="53"/>
        <v>[ PDV - MUN ] - PDVSA MATURIN</v>
      </c>
      <c r="E388" s="3">
        <f t="shared" si="54"/>
        <v>-5.0540000000000003</v>
      </c>
      <c r="F388"/>
      <c r="H388"/>
      <c r="J388"/>
      <c r="L388"/>
    </row>
    <row r="389" spans="4:12" x14ac:dyDescent="0.3">
      <c r="D389" s="2" t="str">
        <f t="shared" si="53"/>
        <v>[ PDV - PCD ] - PDVSA PETROCEDEÑO</v>
      </c>
      <c r="E389" s="3">
        <f t="shared" si="54"/>
        <v>64.493000000000009</v>
      </c>
      <c r="F389"/>
      <c r="H389"/>
      <c r="J389"/>
      <c r="L389"/>
    </row>
    <row r="390" spans="4:12" x14ac:dyDescent="0.3">
      <c r="D390" s="2" t="str">
        <f t="shared" si="53"/>
        <v>[ PDV - PT ] - PDVSA PETROPIAR</v>
      </c>
      <c r="E390" s="3">
        <f t="shared" si="54"/>
        <v>-9.718</v>
      </c>
      <c r="F390"/>
      <c r="H390"/>
      <c r="J390"/>
      <c r="L390"/>
    </row>
    <row r="391" spans="4:12" x14ac:dyDescent="0.3">
      <c r="D391" s="2" t="str">
        <f t="shared" si="53"/>
        <v>[ PDV - STM ] - PDVSA SANTOME</v>
      </c>
      <c r="E391" s="3">
        <f t="shared" si="54"/>
        <v>51.658000000000001</v>
      </c>
      <c r="F391"/>
      <c r="H391"/>
      <c r="J391"/>
      <c r="L391"/>
    </row>
    <row r="392" spans="4:12" x14ac:dyDescent="0.3">
      <c r="D392" s="2" t="str">
        <f t="shared" si="53"/>
        <v>[ PFO ] - PUNTO FIJO</v>
      </c>
      <c r="E392" s="3">
        <f t="shared" si="54"/>
        <v>-27455.010999999995</v>
      </c>
      <c r="F392"/>
      <c r="H392"/>
      <c r="J392"/>
      <c r="L392"/>
    </row>
    <row r="393" spans="4:12" x14ac:dyDescent="0.3">
      <c r="D393" s="2" t="str">
        <f t="shared" si="53"/>
        <v>[ PLN ] - PALO NEGRO</v>
      </c>
      <c r="E393" s="3">
        <f t="shared" si="54"/>
        <v>-19046.54</v>
      </c>
      <c r="F393"/>
      <c r="H393"/>
      <c r="J393"/>
      <c r="L393"/>
    </row>
    <row r="394" spans="4:12" x14ac:dyDescent="0.3">
      <c r="D394" s="2" t="str">
        <f t="shared" si="53"/>
        <v>[ PLS ] - PUERTO LA CRUZ SHOP</v>
      </c>
      <c r="E394" s="3">
        <f t="shared" si="54"/>
        <v>-37977.276000000013</v>
      </c>
      <c r="F394"/>
      <c r="H394"/>
      <c r="J394"/>
      <c r="L394"/>
    </row>
    <row r="395" spans="4:12" x14ac:dyDescent="0.3">
      <c r="D395" s="2" t="str">
        <f t="shared" si="53"/>
        <v>[ PML ] - PLAZA MAYOR LECHERIA</v>
      </c>
      <c r="E395" s="3">
        <f t="shared" si="54"/>
        <v>-18549.021000000008</v>
      </c>
      <c r="F395"/>
      <c r="H395"/>
      <c r="J395"/>
      <c r="L395"/>
    </row>
    <row r="396" spans="4:12" x14ac:dyDescent="0.3">
      <c r="D396" s="2" t="str">
        <f t="shared" si="53"/>
        <v>[ PPT ] - PROPATRIA</v>
      </c>
      <c r="E396" s="3">
        <f t="shared" si="54"/>
        <v>-21560.177000000007</v>
      </c>
      <c r="F396"/>
      <c r="H396"/>
      <c r="J396"/>
      <c r="L396"/>
    </row>
    <row r="397" spans="4:12" x14ac:dyDescent="0.3">
      <c r="D397" s="2" t="str">
        <f t="shared" si="53"/>
        <v>[ PRG ] - PARIAGUAN</v>
      </c>
      <c r="E397" s="3">
        <f t="shared" si="54"/>
        <v>-26548.492000000013</v>
      </c>
      <c r="F397"/>
      <c r="H397"/>
      <c r="J397"/>
      <c r="L397"/>
    </row>
    <row r="398" spans="4:12" x14ac:dyDescent="0.3">
      <c r="D398" s="2" t="str">
        <f t="shared" si="53"/>
        <v>[ PRT ] - PUERTO PIRITU</v>
      </c>
      <c r="E398" s="3">
        <f t="shared" si="54"/>
        <v>-28303.633000000005</v>
      </c>
      <c r="F398"/>
      <c r="H398"/>
      <c r="J398"/>
      <c r="L398"/>
    </row>
    <row r="399" spans="4:12" x14ac:dyDescent="0.3">
      <c r="D399" s="2" t="str">
        <f t="shared" si="53"/>
        <v>[ PSA ] - ACARIGUA</v>
      </c>
      <c r="E399" s="3">
        <f t="shared" si="54"/>
        <v>-40488.466000000008</v>
      </c>
      <c r="F399"/>
      <c r="H399"/>
      <c r="J399"/>
      <c r="L399"/>
    </row>
    <row r="400" spans="4:12" x14ac:dyDescent="0.3">
      <c r="D400" s="2" t="str">
        <f t="shared" si="53"/>
        <v>[ PTA ] - PUERTO AYACUCHO</v>
      </c>
      <c r="E400" s="3">
        <f t="shared" si="54"/>
        <v>-14005.415000000003</v>
      </c>
      <c r="F400"/>
      <c r="H400"/>
      <c r="J400"/>
      <c r="L400"/>
    </row>
    <row r="401" spans="4:12" x14ac:dyDescent="0.3">
      <c r="D401" s="2" t="str">
        <f t="shared" si="53"/>
        <v>[ PTC ] - PUERTO CABELLO</v>
      </c>
      <c r="E401" s="3">
        <f t="shared" si="54"/>
        <v>-50322.221999999987</v>
      </c>
      <c r="F401"/>
      <c r="H401"/>
      <c r="J401"/>
      <c r="L401"/>
    </row>
    <row r="402" spans="4:12" x14ac:dyDescent="0.3">
      <c r="D402" s="2" t="str">
        <f t="shared" si="53"/>
        <v>[ PTT ] - PETARE 3</v>
      </c>
      <c r="E402" s="3">
        <f t="shared" si="54"/>
        <v>-51709.114999999991</v>
      </c>
      <c r="F402"/>
      <c r="H402"/>
      <c r="J402"/>
      <c r="L402"/>
    </row>
    <row r="403" spans="4:12" x14ac:dyDescent="0.3">
      <c r="D403" s="2" t="str">
        <f t="shared" si="53"/>
        <v>[ PTU ] - PETARE 1</v>
      </c>
      <c r="E403" s="3">
        <f t="shared" si="54"/>
        <v>-52001.107000000018</v>
      </c>
      <c r="F403"/>
      <c r="H403"/>
      <c r="J403"/>
      <c r="L403"/>
    </row>
    <row r="404" spans="4:12" x14ac:dyDescent="0.3">
      <c r="D404" s="2" t="str">
        <f t="shared" si="53"/>
        <v>[ QBR ] - QUIBOR</v>
      </c>
      <c r="E404" s="3">
        <f t="shared" si="54"/>
        <v>10205.329999999998</v>
      </c>
      <c r="F404"/>
      <c r="H404"/>
      <c r="J404"/>
      <c r="L404"/>
    </row>
    <row r="405" spans="4:12" x14ac:dyDescent="0.3">
      <c r="D405" s="2" t="str">
        <f t="shared" si="53"/>
        <v>[ QTC ] - QUINTA CRESPO</v>
      </c>
      <c r="E405" s="3">
        <f t="shared" si="54"/>
        <v>-11823.951999999999</v>
      </c>
      <c r="F405"/>
      <c r="H405"/>
      <c r="J405"/>
      <c r="L405"/>
    </row>
    <row r="406" spans="4:12" x14ac:dyDescent="0.3">
      <c r="D406" s="2" t="str">
        <f t="shared" si="53"/>
        <v>[ RCO ] - RIO CHICO</v>
      </c>
      <c r="E406" s="3">
        <f t="shared" si="54"/>
        <v>-45565.65800000001</v>
      </c>
      <c r="F406"/>
      <c r="H406"/>
      <c r="J406"/>
      <c r="L406"/>
    </row>
    <row r="407" spans="4:12" x14ac:dyDescent="0.3">
      <c r="D407" s="2" t="str">
        <f t="shared" si="53"/>
        <v>[ SAM - CDL ] - SAMBIL CANDELARIA</v>
      </c>
      <c r="E407" s="3">
        <f t="shared" si="54"/>
        <v>-51208.5</v>
      </c>
      <c r="F407"/>
      <c r="H407"/>
      <c r="J407"/>
      <c r="L407"/>
    </row>
    <row r="408" spans="4:12" x14ac:dyDescent="0.3">
      <c r="D408" s="2" t="str">
        <f t="shared" si="53"/>
        <v>[ SAM - CHA ] - SAMBIL CHACAO</v>
      </c>
      <c r="E408" s="3">
        <f t="shared" si="54"/>
        <v>-31215.39599999999</v>
      </c>
      <c r="F408"/>
      <c r="H408"/>
      <c r="J408"/>
      <c r="L408"/>
    </row>
    <row r="409" spans="4:12" x14ac:dyDescent="0.3">
      <c r="D409" s="2" t="str">
        <f t="shared" si="53"/>
        <v>[ SAM - LAR ] - SAMBIL LARA</v>
      </c>
      <c r="E409" s="3">
        <f t="shared" si="54"/>
        <v>-40271.286000000015</v>
      </c>
      <c r="F409"/>
      <c r="H409"/>
      <c r="J409"/>
      <c r="L409"/>
    </row>
    <row r="410" spans="4:12" x14ac:dyDescent="0.3">
      <c r="D410" s="2" t="str">
        <f t="shared" si="53"/>
        <v>[ SAM - MGT ] - SAMBIL MARGARITA</v>
      </c>
      <c r="E410" s="3">
        <f t="shared" si="54"/>
        <v>-15873.82</v>
      </c>
      <c r="F410"/>
      <c r="H410"/>
      <c r="J410"/>
      <c r="L410"/>
    </row>
    <row r="411" spans="4:12" x14ac:dyDescent="0.3">
      <c r="D411" s="2" t="str">
        <f t="shared" si="53"/>
        <v>[ SAM - PFO ] - SAMBIL PUNTO FIJO</v>
      </c>
      <c r="E411" s="3">
        <f t="shared" si="54"/>
        <v>-18744.608000000007</v>
      </c>
      <c r="F411"/>
      <c r="H411"/>
      <c r="J411"/>
      <c r="L411"/>
    </row>
    <row r="412" spans="4:12" x14ac:dyDescent="0.3">
      <c r="D412" s="2" t="str">
        <f t="shared" si="53"/>
        <v>[ SAM - VLC ] - SAMBIL VALENCIA</v>
      </c>
      <c r="E412" s="3">
        <f t="shared" si="54"/>
        <v>-13653.199999999993</v>
      </c>
      <c r="F412"/>
      <c r="H412"/>
      <c r="J412"/>
      <c r="L412"/>
    </row>
    <row r="413" spans="4:12" x14ac:dyDescent="0.3">
      <c r="D413" s="2" t="str">
        <f t="shared" si="53"/>
        <v>[ SAM - ZUL ] - SAMBIL ZULIA</v>
      </c>
      <c r="E413" s="3">
        <f t="shared" si="54"/>
        <v>-14912.302</v>
      </c>
      <c r="F413"/>
      <c r="H413"/>
      <c r="J413"/>
      <c r="L413"/>
    </row>
    <row r="414" spans="4:12" x14ac:dyDescent="0.3">
      <c r="D414" s="2" t="str">
        <f t="shared" si="53"/>
        <v>[ SBB ] - SANTA BARBARA</v>
      </c>
      <c r="E414" s="3">
        <f t="shared" si="54"/>
        <v>-9236.7860000000001</v>
      </c>
      <c r="F414"/>
      <c r="H414"/>
      <c r="J414"/>
      <c r="L414"/>
    </row>
    <row r="415" spans="4:12" x14ac:dyDescent="0.3">
      <c r="D415" s="2" t="str">
        <f t="shared" si="53"/>
        <v>[ SBC ] - SABANA CITY</v>
      </c>
      <c r="E415" s="3">
        <f t="shared" si="54"/>
        <v>-47058.914000000026</v>
      </c>
      <c r="F415"/>
      <c r="H415"/>
      <c r="J415"/>
      <c r="L415"/>
    </row>
    <row r="416" spans="4:12" x14ac:dyDescent="0.3">
      <c r="D416" s="2" t="str">
        <f t="shared" si="53"/>
        <v>[ SBO ] - EL SOMBRERO</v>
      </c>
      <c r="E416" s="3">
        <f t="shared" si="54"/>
        <v>-34901.179999999986</v>
      </c>
      <c r="F416"/>
      <c r="H416"/>
      <c r="J416"/>
      <c r="L416"/>
    </row>
    <row r="417" spans="4:12" x14ac:dyDescent="0.3">
      <c r="D417" s="2" t="str">
        <f t="shared" si="53"/>
        <v>[ SBZ ] - SANTA BARBARA DE ZULIA</v>
      </c>
      <c r="E417" s="3">
        <f t="shared" si="54"/>
        <v>315.95</v>
      </c>
      <c r="F417"/>
      <c r="H417"/>
      <c r="J417"/>
      <c r="L417"/>
    </row>
    <row r="418" spans="4:12" x14ac:dyDescent="0.3">
      <c r="D418" s="2" t="str">
        <f t="shared" si="53"/>
        <v>[ SCM ] - SAN CASIMIRO</v>
      </c>
      <c r="E418" s="3">
        <f t="shared" si="54"/>
        <v>-14368.445000000007</v>
      </c>
      <c r="F418"/>
      <c r="H418"/>
      <c r="J418"/>
      <c r="L418"/>
    </row>
    <row r="419" spans="4:12" x14ac:dyDescent="0.3">
      <c r="D419" s="2" t="str">
        <f t="shared" si="53"/>
        <v>[ SCP ] - SOCOPO</v>
      </c>
      <c r="E419" s="3">
        <f t="shared" si="54"/>
        <v>-4875.1829999999991</v>
      </c>
      <c r="F419"/>
      <c r="H419"/>
      <c r="J419"/>
      <c r="L419"/>
    </row>
    <row r="420" spans="4:12" x14ac:dyDescent="0.3">
      <c r="D420" s="2" t="str">
        <f t="shared" si="53"/>
        <v>[ SEU ] - SANTA ELENA DE UAIREN</v>
      </c>
      <c r="E420" s="3">
        <f t="shared" si="54"/>
        <v>-24335.156000000003</v>
      </c>
      <c r="F420"/>
      <c r="H420"/>
      <c r="J420"/>
      <c r="L420"/>
    </row>
    <row r="421" spans="4:12" x14ac:dyDescent="0.3">
      <c r="D421" s="2" t="str">
        <f t="shared" si="53"/>
        <v>[ SFX ] - SAN FELIX</v>
      </c>
      <c r="E421" s="3">
        <f t="shared" si="54"/>
        <v>-35625.837</v>
      </c>
      <c r="F421"/>
      <c r="H421"/>
      <c r="J421"/>
      <c r="L421"/>
    </row>
    <row r="422" spans="4:12" x14ac:dyDescent="0.3">
      <c r="D422" s="2" t="str">
        <f t="shared" si="53"/>
        <v>[ SGO ] - SABANA GRANDE OUTLET</v>
      </c>
      <c r="E422" s="3">
        <f t="shared" si="54"/>
        <v>-21671.026000000002</v>
      </c>
      <c r="F422"/>
      <c r="H422"/>
      <c r="J422"/>
      <c r="L422"/>
    </row>
    <row r="423" spans="4:12" x14ac:dyDescent="0.3">
      <c r="D423" s="2" t="str">
        <f t="shared" si="53"/>
        <v>[ SJM ] - SAN JUAN DE LOS MORROS</v>
      </c>
      <c r="E423" s="3">
        <f t="shared" si="54"/>
        <v>-45903.126000000004</v>
      </c>
      <c r="F423"/>
      <c r="H423"/>
      <c r="J423"/>
      <c r="L423"/>
    </row>
    <row r="424" spans="4:12" x14ac:dyDescent="0.3">
      <c r="D424" s="2" t="str">
        <f t="shared" si="53"/>
        <v>[ SMT ] - SABANA MENDOZA</v>
      </c>
      <c r="E424" s="3">
        <f t="shared" si="54"/>
        <v>-15488.804999999986</v>
      </c>
      <c r="F424"/>
      <c r="H424"/>
      <c r="J424"/>
      <c r="L424"/>
    </row>
    <row r="425" spans="4:12" x14ac:dyDescent="0.3">
      <c r="D425" s="2" t="str">
        <f t="shared" si="53"/>
        <v>[ SMZ ] - SIERRA MAESTRA</v>
      </c>
      <c r="E425" s="3">
        <f t="shared" si="54"/>
        <v>-12643.019999999999</v>
      </c>
      <c r="F425"/>
      <c r="H425"/>
      <c r="J425"/>
      <c r="L425"/>
    </row>
    <row r="426" spans="4:12" x14ac:dyDescent="0.3">
      <c r="D426" s="2" t="str">
        <f t="shared" si="53"/>
        <v>[ SNR ] - SANARE</v>
      </c>
      <c r="E426" s="3">
        <f t="shared" si="54"/>
        <v>-10971.124999999998</v>
      </c>
      <c r="F426"/>
      <c r="H426"/>
      <c r="J426"/>
      <c r="L426"/>
    </row>
    <row r="427" spans="4:12" x14ac:dyDescent="0.3">
      <c r="D427" s="2" t="str">
        <f t="shared" si="53"/>
        <v>[ SNT ] - SABANETA</v>
      </c>
      <c r="E427" s="3">
        <f t="shared" si="54"/>
        <v>-7832.3179999999948</v>
      </c>
      <c r="F427"/>
    </row>
    <row r="428" spans="4:12" x14ac:dyDescent="0.3">
      <c r="D428" s="2" t="str">
        <f t="shared" si="53"/>
        <v>[ SRO ] - SAN RAFAEL DE ONOTO</v>
      </c>
      <c r="E428" s="3">
        <f t="shared" si="54"/>
        <v>-13577.217999999997</v>
      </c>
      <c r="F428"/>
    </row>
    <row r="429" spans="4:12" x14ac:dyDescent="0.3">
      <c r="D429" s="2" t="str">
        <f t="shared" si="53"/>
        <v>[ STL ] - SANTA LUCIA</v>
      </c>
      <c r="E429" s="3">
        <f t="shared" si="54"/>
        <v>-22468.919000000005</v>
      </c>
      <c r="F429"/>
    </row>
    <row r="430" spans="4:12" x14ac:dyDescent="0.3">
      <c r="D430" s="2" t="str">
        <f t="shared" si="53"/>
        <v>[ STR ] - SANTA RITA ARAGUA</v>
      </c>
      <c r="E430" s="3">
        <f t="shared" si="54"/>
        <v>-31501.847999999994</v>
      </c>
      <c r="F430"/>
    </row>
    <row r="431" spans="4:12" x14ac:dyDescent="0.3">
      <c r="D431" s="2" t="str">
        <f t="shared" si="53"/>
        <v>[ STT ] - SANTA TERESA DEL TUY</v>
      </c>
      <c r="E431" s="3">
        <f t="shared" si="54"/>
        <v>-53386.457000000017</v>
      </c>
      <c r="F431"/>
    </row>
    <row r="432" spans="4:12" x14ac:dyDescent="0.3">
      <c r="D432" s="2" t="str">
        <f t="shared" si="53"/>
        <v>[ TBD ] - TEMBLADOR</v>
      </c>
      <c r="E432" s="3">
        <f t="shared" si="54"/>
        <v>-30749.218000000023</v>
      </c>
      <c r="F432"/>
    </row>
    <row r="433" spans="4:5" x14ac:dyDescent="0.3">
      <c r="D433" s="2" t="str">
        <f t="shared" si="53"/>
        <v>[ TCC ] - TUCACAS</v>
      </c>
      <c r="E433" s="3">
        <f t="shared" si="54"/>
        <v>-11827.721999999998</v>
      </c>
    </row>
    <row r="434" spans="4:5" x14ac:dyDescent="0.3">
      <c r="D434" s="2" t="str">
        <f t="shared" si="53"/>
        <v>[ TCD ] - TUCUPIDO</v>
      </c>
      <c r="E434" s="3">
        <f t="shared" si="54"/>
        <v>-20680.109000000011</v>
      </c>
    </row>
    <row r="435" spans="4:5" x14ac:dyDescent="0.3">
      <c r="D435" s="2" t="str">
        <f t="shared" si="53"/>
        <v>[ TCO ] - TOCUYO</v>
      </c>
      <c r="E435" s="3">
        <f t="shared" si="54"/>
        <v>-22731.969999999998</v>
      </c>
    </row>
    <row r="436" spans="4:5" x14ac:dyDescent="0.3">
      <c r="D436" s="2" t="str">
        <f t="shared" si="53"/>
        <v>[ TCP ] - TUCUPITA</v>
      </c>
      <c r="E436" s="3">
        <f t="shared" si="54"/>
        <v>-56305.472000000023</v>
      </c>
    </row>
    <row r="437" spans="4:5" x14ac:dyDescent="0.3">
      <c r="D437" s="2" t="str">
        <f t="shared" si="53"/>
        <v>[ TCY ] - TOCUYITO</v>
      </c>
      <c r="E437" s="3">
        <f t="shared" si="54"/>
        <v>-14644.40800000001</v>
      </c>
    </row>
    <row r="438" spans="4:5" x14ac:dyDescent="0.3">
      <c r="D438" s="2" t="str">
        <f t="shared" si="53"/>
        <v>[ TED ] - LOS TEQUES DOS</v>
      </c>
      <c r="E438" s="3">
        <f t="shared" si="54"/>
        <v>-96656.001000000004</v>
      </c>
    </row>
    <row r="439" spans="4:5" x14ac:dyDescent="0.3">
      <c r="D439" s="2" t="str">
        <f t="shared" ref="D439:D465" si="55">D206</f>
        <v>[ TEQ ] - LOS TEQUES SHOP</v>
      </c>
      <c r="E439" s="3">
        <f t="shared" ref="E439:E467" si="56">K206</f>
        <v>-35020.969000000005</v>
      </c>
    </row>
    <row r="440" spans="4:5" x14ac:dyDescent="0.3">
      <c r="D440" s="2" t="str">
        <f t="shared" si="55"/>
        <v>[ TGO ] - EL TIGRITO</v>
      </c>
      <c r="E440" s="3">
        <f t="shared" si="56"/>
        <v>-35292.365000000013</v>
      </c>
    </row>
    <row r="441" spans="4:5" x14ac:dyDescent="0.3">
      <c r="D441" s="2" t="str">
        <f t="shared" si="55"/>
        <v>[ TGR ] - TIGRE SHOP</v>
      </c>
      <c r="E441" s="3">
        <f t="shared" si="56"/>
        <v>-31815.913999999997</v>
      </c>
    </row>
    <row r="442" spans="4:5" x14ac:dyDescent="0.3">
      <c r="D442" s="2" t="str">
        <f t="shared" si="55"/>
        <v>[ THA ] - TACHIRA</v>
      </c>
      <c r="E442" s="3">
        <f t="shared" si="56"/>
        <v>-8668.5499999999975</v>
      </c>
    </row>
    <row r="443" spans="4:5" x14ac:dyDescent="0.3">
      <c r="D443" s="2" t="str">
        <f t="shared" si="55"/>
        <v>[ TJL ] - TRUJILLO</v>
      </c>
      <c r="E443" s="3">
        <f t="shared" si="56"/>
        <v>-10228.573999999997</v>
      </c>
    </row>
    <row r="444" spans="4:5" x14ac:dyDescent="0.3">
      <c r="D444" s="2" t="str">
        <f t="shared" si="55"/>
        <v>[ TLG ] - TERMINAL LA GUAIRA</v>
      </c>
      <c r="E444" s="3">
        <f t="shared" si="56"/>
        <v>866.73299999999995</v>
      </c>
    </row>
    <row r="445" spans="4:5" x14ac:dyDescent="0.3">
      <c r="D445" s="2" t="str">
        <f t="shared" si="55"/>
        <v>[ TMO ] - TURMERO</v>
      </c>
      <c r="E445" s="3">
        <f t="shared" si="56"/>
        <v>-40320.553999999996</v>
      </c>
    </row>
    <row r="446" spans="4:5" x14ac:dyDescent="0.3">
      <c r="D446" s="2" t="str">
        <f t="shared" si="55"/>
        <v>[ TMR ] - TUMEREMO</v>
      </c>
      <c r="E446" s="3">
        <f t="shared" si="56"/>
        <v>-11199.001999999997</v>
      </c>
    </row>
    <row r="447" spans="4:5" x14ac:dyDescent="0.3">
      <c r="D447" s="2" t="str">
        <f t="shared" si="55"/>
        <v>[ TPV ] - TERMINAL PLAZA VENEZUELA</v>
      </c>
      <c r="E447" s="3">
        <f t="shared" si="56"/>
        <v>-14766.361999999996</v>
      </c>
    </row>
    <row r="448" spans="4:5" x14ac:dyDescent="0.3">
      <c r="D448" s="2" t="str">
        <f t="shared" si="55"/>
        <v>[ TQO ] - TINAQUILLO</v>
      </c>
      <c r="E448" s="3">
        <f t="shared" si="56"/>
        <v>-34120.393000000018</v>
      </c>
    </row>
    <row r="449" spans="4:5" x14ac:dyDescent="0.3">
      <c r="D449" s="2" t="str">
        <f t="shared" si="55"/>
        <v>[ TQT ] - LOS TEQUES TRES</v>
      </c>
      <c r="E449" s="3">
        <f t="shared" si="56"/>
        <v>-60328.673999999999</v>
      </c>
    </row>
    <row r="450" spans="4:5" x14ac:dyDescent="0.3">
      <c r="D450" s="2" t="str">
        <f t="shared" si="55"/>
        <v>[ TRN ] - TUREN</v>
      </c>
      <c r="E450" s="3">
        <f t="shared" si="56"/>
        <v>-28482.762000000017</v>
      </c>
    </row>
    <row r="451" spans="4:5" x14ac:dyDescent="0.3">
      <c r="D451" s="2" t="str">
        <f t="shared" si="55"/>
        <v>[ TRU ] - VALERA SHOP</v>
      </c>
      <c r="E451" s="3">
        <f t="shared" si="56"/>
        <v>-27754.158000000007</v>
      </c>
    </row>
    <row r="452" spans="4:5" x14ac:dyDescent="0.3">
      <c r="D452" s="2" t="str">
        <f t="shared" si="55"/>
        <v>[ TVR ] - TOVAR MERIDA</v>
      </c>
      <c r="E452" s="3">
        <f t="shared" si="56"/>
        <v>168.98</v>
      </c>
    </row>
    <row r="453" spans="4:5" x14ac:dyDescent="0.3">
      <c r="D453" s="2" t="str">
        <f t="shared" si="55"/>
        <v>[ UNR ] - UNARE</v>
      </c>
      <c r="E453" s="3">
        <f t="shared" si="56"/>
        <v>-21647.664999999997</v>
      </c>
    </row>
    <row r="454" spans="4:5" x14ac:dyDescent="0.3">
      <c r="D454" s="2" t="str">
        <f t="shared" si="55"/>
        <v>[ UPT ] - UPATA</v>
      </c>
      <c r="E454" s="3">
        <f t="shared" si="56"/>
        <v>-36234.678000000014</v>
      </c>
    </row>
    <row r="455" spans="4:5" x14ac:dyDescent="0.3">
      <c r="D455" s="2" t="str">
        <f t="shared" si="55"/>
        <v>[ URD ] - URDANETA SHOP</v>
      </c>
      <c r="E455" s="3">
        <f t="shared" si="56"/>
        <v>-24491.494999999988</v>
      </c>
    </row>
    <row r="456" spans="4:5" x14ac:dyDescent="0.3">
      <c r="D456" s="2" t="str">
        <f t="shared" si="55"/>
        <v>[ URF ] - URDANETA FIX</v>
      </c>
      <c r="E456" s="3">
        <f t="shared" si="56"/>
        <v>-3651.3290000000079</v>
      </c>
    </row>
    <row r="457" spans="4:5" x14ac:dyDescent="0.3">
      <c r="D457" s="2" t="str">
        <f t="shared" si="55"/>
        <v>[ VAR ] - LA GUAIRA</v>
      </c>
      <c r="E457" s="3">
        <f t="shared" si="56"/>
        <v>-122647.27799999996</v>
      </c>
    </row>
    <row r="458" spans="4:5" x14ac:dyDescent="0.3">
      <c r="D458" s="2" t="str">
        <f t="shared" si="55"/>
        <v>[ VDC ] - VILLA DE CURA</v>
      </c>
      <c r="E458" s="3">
        <f t="shared" si="56"/>
        <v>-18935.817999999996</v>
      </c>
    </row>
    <row r="459" spans="4:5" x14ac:dyDescent="0.3">
      <c r="D459" s="2" t="str">
        <f t="shared" si="55"/>
        <v>[ VDP ] - VALLE DE LA PASCUA</v>
      </c>
      <c r="E459" s="3">
        <f t="shared" si="56"/>
        <v>-31675.923999999992</v>
      </c>
    </row>
    <row r="460" spans="4:5" x14ac:dyDescent="0.3">
      <c r="D460" s="2" t="str">
        <f t="shared" si="55"/>
        <v>[ VGA ] - LA VEGA</v>
      </c>
      <c r="E460" s="3">
        <f t="shared" si="56"/>
        <v>-22076.160999999996</v>
      </c>
    </row>
    <row r="461" spans="4:5" x14ac:dyDescent="0.3">
      <c r="D461" s="2" t="str">
        <f t="shared" si="55"/>
        <v>[ VIG ] - VIGIA</v>
      </c>
      <c r="E461" s="3">
        <f t="shared" si="56"/>
        <v>-17364.55799999999</v>
      </c>
    </row>
    <row r="462" spans="4:5" x14ac:dyDescent="0.3">
      <c r="D462" s="2" t="str">
        <f t="shared" si="55"/>
        <v>[ VLL ] - EL VALLE</v>
      </c>
      <c r="E462" s="3">
        <f t="shared" si="56"/>
        <v>-38864.726999999999</v>
      </c>
    </row>
    <row r="463" spans="4:5" x14ac:dyDescent="0.3">
      <c r="D463" s="2" t="str">
        <f t="shared" si="55"/>
        <v>[ VMC ] - VENDING MACHINE CENDIS</v>
      </c>
      <c r="E463" s="3">
        <f t="shared" si="56"/>
        <v>119.34100000000001</v>
      </c>
    </row>
    <row r="464" spans="4:5" x14ac:dyDescent="0.3">
      <c r="D464" s="2" t="str">
        <f t="shared" si="55"/>
        <v>[ VTA ] - LA VICTORIA</v>
      </c>
      <c r="E464" s="3">
        <f t="shared" si="56"/>
        <v>-35192.787999999971</v>
      </c>
    </row>
    <row r="465" spans="4:5" x14ac:dyDescent="0.3">
      <c r="D465" s="2" t="str">
        <f t="shared" si="55"/>
        <v>[ YAR ] - SAN FELIPE</v>
      </c>
      <c r="E465" s="3">
        <f t="shared" si="56"/>
        <v>-58746.764999999999</v>
      </c>
    </row>
    <row r="466" spans="4:5" x14ac:dyDescent="0.3">
      <c r="D466" s="2" t="str">
        <f>D233</f>
        <v>[ YTG ] - YARITAGUA</v>
      </c>
      <c r="E466" s="3">
        <f t="shared" si="56"/>
        <v>-20044.465</v>
      </c>
    </row>
    <row r="467" spans="4:5" x14ac:dyDescent="0.3">
      <c r="D467" s="2" t="str">
        <f t="shared" ref="D467" si="57">D234</f>
        <v>[ ZAR ] - ZARAZA</v>
      </c>
      <c r="E467" s="3">
        <f t="shared" si="56"/>
        <v>-32292.383000000005</v>
      </c>
    </row>
    <row r="468" spans="4:5" x14ac:dyDescent="0.3">
      <c r="D468" s="2"/>
    </row>
  </sheetData>
  <autoFilter ref="D245:E245" xr:uid="{473750AF-992E-4E14-ABE4-95B0B0E6AA6B}"/>
  <conditionalFormatting sqref="E245">
    <cfRule type="top10" dxfId="11" priority="7" bottom="1" rank="10"/>
    <cfRule type="top10" dxfId="10" priority="8" rank="10"/>
  </conditionalFormatting>
  <conditionalFormatting sqref="E246:E467">
    <cfRule type="top10" dxfId="9" priority="102" bottom="1" rank="10"/>
    <cfRule type="top10" dxfId="8" priority="103" rank="10"/>
    <cfRule type="top10" dxfId="7" priority="104" bottom="1" rank="10"/>
    <cfRule type="top10" dxfId="6" priority="105" rank="10"/>
  </conditionalFormatting>
  <conditionalFormatting sqref="K3">
    <cfRule type="top10" dxfId="5" priority="5" bottom="1" rank="10"/>
    <cfRule type="top10" dxfId="4" priority="6" rank="10"/>
  </conditionalFormatting>
  <conditionalFormatting sqref="K14:K225">
    <cfRule type="top10" dxfId="3" priority="121" bottom="1" rank="10"/>
    <cfRule type="top10" dxfId="2" priority="122" rank="10"/>
  </conditionalFormatting>
  <conditionalFormatting sqref="K15:K225">
    <cfRule type="top10" dxfId="1" priority="125" bottom="1" rank="10"/>
    <cfRule type="top10" dxfId="0" priority="126" rank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INVENTARIO JULIO </vt:lpstr>
      <vt:lpstr>INV GARANTIAS JULIO</vt:lpstr>
      <vt:lpstr>EDR JULIO</vt:lpstr>
      <vt:lpstr>RSM JULIO</vt:lpstr>
      <vt:lpstr>Sr. Wilson 4</vt:lpstr>
      <vt:lpstr>Sr Wilson 3</vt:lpstr>
      <vt:lpstr>Sr Wilson</vt:lpstr>
      <vt:lpstr>Sr Wilson 2</vt:lpstr>
      <vt:lpstr>Analisis 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Aldryn Guzman</dc:creator>
  <cp:lastModifiedBy>Hector Velasquez</cp:lastModifiedBy>
  <dcterms:created xsi:type="dcterms:W3CDTF">2025-09-28T02:56:43Z</dcterms:created>
  <dcterms:modified xsi:type="dcterms:W3CDTF">2026-08-11T15:27:39Z</dcterms:modified>
</cp:coreProperties>
</file>